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embeddings/oleObject34.bin" ContentType="application/vnd.openxmlformats-officedocument.oleObject"/>
  <Override PartName="/xl/embeddings/oleObject35.bin" ContentType="application/vnd.openxmlformats-officedocument.oleObject"/>
  <Override PartName="/xl/embeddings/oleObject36.bin" ContentType="application/vnd.openxmlformats-officedocument.oleObject"/>
  <Override PartName="/xl/embeddings/oleObject37.bin" ContentType="application/vnd.openxmlformats-officedocument.oleObject"/>
  <Override PartName="/xl/embeddings/oleObject38.bin" ContentType="application/vnd.openxmlformats-officedocument.oleObject"/>
  <Override PartName="/xl/embeddings/oleObject39.bin" ContentType="application/vnd.openxmlformats-officedocument.oleObject"/>
  <Override PartName="/xl/embeddings/oleObject40.bin" ContentType="application/vnd.openxmlformats-officedocument.oleObject"/>
  <Override PartName="/xl/embeddings/oleObject41.bin" ContentType="application/vnd.openxmlformats-officedocument.oleObject"/>
  <Override PartName="/xl/embeddings/oleObject42.bin" ContentType="application/vnd.openxmlformats-officedocument.oleObject"/>
  <Override PartName="/xl/embeddings/oleObject43.bin" ContentType="application/vnd.openxmlformats-officedocument.oleObject"/>
  <Override PartName="/xl/embeddings/oleObject44.bin" ContentType="application/vnd.openxmlformats-officedocument.oleObject"/>
  <Override PartName="/xl/embeddings/oleObject45.bin" ContentType="application/vnd.openxmlformats-officedocument.oleObject"/>
  <Override PartName="/xl/embeddings/oleObject46.bin" ContentType="application/vnd.openxmlformats-officedocument.oleObject"/>
  <Override PartName="/xl/embeddings/oleObject47.bin" ContentType="application/vnd.openxmlformats-officedocument.oleObject"/>
  <Override PartName="/xl/embeddings/oleObject48.bin" ContentType="application/vnd.openxmlformats-officedocument.oleObject"/>
  <Override PartName="/xl/embeddings/oleObject49.bin" ContentType="application/vnd.openxmlformats-officedocument.oleObject"/>
  <Override PartName="/xl/embeddings/oleObject50.bin" ContentType="application/vnd.openxmlformats-officedocument.oleObject"/>
  <Override PartName="/xl/embeddings/oleObject51.bin" ContentType="application/vnd.openxmlformats-officedocument.oleObject"/>
  <Override PartName="/xl/embeddings/oleObject52.bin" ContentType="application/vnd.openxmlformats-officedocument.oleObject"/>
  <Override PartName="/xl/embeddings/oleObject53.bin" ContentType="application/vnd.openxmlformats-officedocument.oleObject"/>
  <Override PartName="/xl/embeddings/oleObject54.bin" ContentType="application/vnd.openxmlformats-officedocument.oleObject"/>
  <Override PartName="/xl/embeddings/oleObject55.bin" ContentType="application/vnd.openxmlformats-officedocument.oleObject"/>
  <Override PartName="/xl/embeddings/oleObject56.bin" ContentType="application/vnd.openxmlformats-officedocument.oleObject"/>
  <Override PartName="/xl/embeddings/oleObject57.bin" ContentType="application/vnd.openxmlformats-officedocument.oleObject"/>
  <Override PartName="/xl/embeddings/oleObject58.bin" ContentType="application/vnd.openxmlformats-officedocument.oleObject"/>
  <Override PartName="/xl/embeddings/oleObject59.bin" ContentType="application/vnd.openxmlformats-officedocument.oleObject"/>
  <Override PartName="/xl/embeddings/oleObject60.bin" ContentType="application/vnd.openxmlformats-officedocument.oleObject"/>
  <Override PartName="/xl/embeddings/oleObject61.bin" ContentType="application/vnd.openxmlformats-officedocument.oleObject"/>
  <Override PartName="/xl/embeddings/oleObject62.bin" ContentType="application/vnd.openxmlformats-officedocument.oleObject"/>
  <Override PartName="/xl/embeddings/oleObject63.bin" ContentType="application/vnd.openxmlformats-officedocument.oleObject"/>
  <Override PartName="/xl/embeddings/oleObject64.bin" ContentType="application/vnd.openxmlformats-officedocument.oleObject"/>
  <Override PartName="/xl/embeddings/oleObject65.bin" ContentType="application/vnd.openxmlformats-officedocument.oleObject"/>
  <Override PartName="/xl/embeddings/oleObject66.bin" ContentType="application/vnd.openxmlformats-officedocument.oleObject"/>
  <Override PartName="/xl/embeddings/oleObject67.bin" ContentType="application/vnd.openxmlformats-officedocument.oleObject"/>
  <Override PartName="/xl/embeddings/oleObject68.bin" ContentType="application/vnd.openxmlformats-officedocument.oleObject"/>
  <Override PartName="/xl/embeddings/oleObject69.bin" ContentType="application/vnd.openxmlformats-officedocument.oleObject"/>
  <Override PartName="/xl/embeddings/oleObject70.bin" ContentType="application/vnd.openxmlformats-officedocument.oleObject"/>
  <Override PartName="/xl/embeddings/oleObject71.bin" ContentType="application/vnd.openxmlformats-officedocument.oleObject"/>
  <Override PartName="/xl/embeddings/oleObject72.bin" ContentType="application/vnd.openxmlformats-officedocument.oleObject"/>
  <Override PartName="/xl/embeddings/oleObject73.bin" ContentType="application/vnd.openxmlformats-officedocument.oleObject"/>
  <Override PartName="/xl/embeddings/oleObject74.bin" ContentType="application/vnd.openxmlformats-officedocument.oleObject"/>
  <Override PartName="/xl/embeddings/oleObject75.bin" ContentType="application/vnd.openxmlformats-officedocument.oleObject"/>
  <Override PartName="/xl/embeddings/oleObject76.bin" ContentType="application/vnd.openxmlformats-officedocument.oleObject"/>
  <Override PartName="/xl/embeddings/oleObject77.bin" ContentType="application/vnd.openxmlformats-officedocument.oleObject"/>
  <Override PartName="/xl/embeddings/oleObject78.bin" ContentType="application/vnd.openxmlformats-officedocument.oleObject"/>
  <Override PartName="/xl/embeddings/oleObject79.bin" ContentType="application/vnd.openxmlformats-officedocument.oleObject"/>
  <Override PartName="/xl/embeddings/oleObject80.bin" ContentType="application/vnd.openxmlformats-officedocument.oleObject"/>
  <Override PartName="/xl/embeddings/oleObject81.bin" ContentType="application/vnd.openxmlformats-officedocument.oleObject"/>
  <Override PartName="/xl/embeddings/oleObject82.bin" ContentType="application/vnd.openxmlformats-officedocument.oleObject"/>
  <Override PartName="/xl/embeddings/oleObject83.bin" ContentType="application/vnd.openxmlformats-officedocument.oleObject"/>
  <Override PartName="/xl/embeddings/oleObject84.bin" ContentType="application/vnd.openxmlformats-officedocument.oleObject"/>
  <Override PartName="/xl/embeddings/oleObject85.bin" ContentType="application/vnd.openxmlformats-officedocument.oleObject"/>
  <Override PartName="/xl/embeddings/oleObject86.bin" ContentType="application/vnd.openxmlformats-officedocument.oleObject"/>
  <Override PartName="/xl/embeddings/oleObject87.bin" ContentType="application/vnd.openxmlformats-officedocument.oleObject"/>
  <Override PartName="/xl/embeddings/oleObject88.bin" ContentType="application/vnd.openxmlformats-officedocument.oleObject"/>
  <Override PartName="/xl/embeddings/oleObject89.bin" ContentType="application/vnd.openxmlformats-officedocument.oleObject"/>
  <Override PartName="/xl/embeddings/oleObject90.bin" ContentType="application/vnd.openxmlformats-officedocument.oleObject"/>
  <Override PartName="/xl/embeddings/oleObject91.bin" ContentType="application/vnd.openxmlformats-officedocument.oleObject"/>
  <Override PartName="/xl/embeddings/oleObject92.bin" ContentType="application/vnd.openxmlformats-officedocument.oleObject"/>
  <Override PartName="/xl/embeddings/oleObject93.bin" ContentType="application/vnd.openxmlformats-officedocument.oleObject"/>
  <Override PartName="/xl/embeddings/oleObject94.bin" ContentType="application/vnd.openxmlformats-officedocument.oleObject"/>
  <Override PartName="/xl/embeddings/oleObject95.bin" ContentType="application/vnd.openxmlformats-officedocument.oleObject"/>
  <Override PartName="/xl/embeddings/oleObject96.bin" ContentType="application/vnd.openxmlformats-officedocument.oleObject"/>
  <Override PartName="/xl/embeddings/oleObject97.bin" ContentType="application/vnd.openxmlformats-officedocument.oleObject"/>
  <Override PartName="/xl/embeddings/oleObject98.bin" ContentType="application/vnd.openxmlformats-officedocument.oleObject"/>
  <Override PartName="/xl/embeddings/oleObject99.bin" ContentType="application/vnd.openxmlformats-officedocument.oleObject"/>
  <Override PartName="/xl/embeddings/oleObject100.bin" ContentType="application/vnd.openxmlformats-officedocument.oleObject"/>
  <Override PartName="/xl/embeddings/oleObject101.bin" ContentType="application/vnd.openxmlformats-officedocument.oleObject"/>
  <Override PartName="/xl/embeddings/oleObject102.bin" ContentType="application/vnd.openxmlformats-officedocument.oleObject"/>
  <Override PartName="/xl/embeddings/oleObject103.bin" ContentType="application/vnd.openxmlformats-officedocument.oleObject"/>
  <Override PartName="/xl/embeddings/oleObject104.bin" ContentType="application/vnd.openxmlformats-officedocument.oleObject"/>
  <Override PartName="/xl/embeddings/oleObject105.bin" ContentType="application/vnd.openxmlformats-officedocument.oleObject"/>
  <Override PartName="/xl/embeddings/oleObject106.bin" ContentType="application/vnd.openxmlformats-officedocument.oleObject"/>
  <Override PartName="/xl/embeddings/oleObject107.bin" ContentType="application/vnd.openxmlformats-officedocument.oleObject"/>
  <Override PartName="/xl/embeddings/oleObject108.bin" ContentType="application/vnd.openxmlformats-officedocument.oleObject"/>
  <Override PartName="/xl/embeddings/oleObject109.bin" ContentType="application/vnd.openxmlformats-officedocument.oleObject"/>
  <Override PartName="/xl/embeddings/oleObject110.bin" ContentType="application/vnd.openxmlformats-officedocument.oleObject"/>
  <Override PartName="/xl/embeddings/oleObject111.bin" ContentType="application/vnd.openxmlformats-officedocument.oleObject"/>
  <Override PartName="/xl/embeddings/oleObject112.bin" ContentType="application/vnd.openxmlformats-officedocument.oleObject"/>
  <Override PartName="/xl/embeddings/oleObject113.bin" ContentType="application/vnd.openxmlformats-officedocument.oleObject"/>
  <Override PartName="/xl/embeddings/oleObject114.bin" ContentType="application/vnd.openxmlformats-officedocument.oleObject"/>
  <Override PartName="/xl/embeddings/oleObject115.bin" ContentType="application/vnd.openxmlformats-officedocument.oleObject"/>
  <Override PartName="/xl/embeddings/oleObject116.bin" ContentType="application/vnd.openxmlformats-officedocument.oleObject"/>
  <Override PartName="/xl/embeddings/oleObject117.bin" ContentType="application/vnd.openxmlformats-officedocument.oleObject"/>
  <Override PartName="/xl/embeddings/oleObject118.bin" ContentType="application/vnd.openxmlformats-officedocument.oleObject"/>
  <Override PartName="/xl/embeddings/oleObject119.bin" ContentType="application/vnd.openxmlformats-officedocument.oleObject"/>
  <Override PartName="/xl/embeddings/oleObject120.bin" ContentType="application/vnd.openxmlformats-officedocument.oleObject"/>
  <Override PartName="/xl/embeddings/oleObject121.bin" ContentType="application/vnd.openxmlformats-officedocument.oleObject"/>
  <Override PartName="/xl/embeddings/oleObject122.bin" ContentType="application/vnd.openxmlformats-officedocument.oleObject"/>
  <Override PartName="/xl/embeddings/oleObject123.bin" ContentType="application/vnd.openxmlformats-officedocument.oleObject"/>
  <Override PartName="/xl/embeddings/oleObject124.bin" ContentType="application/vnd.openxmlformats-officedocument.oleObject"/>
  <Override PartName="/xl/embeddings/oleObject125.bin" ContentType="application/vnd.openxmlformats-officedocument.oleObject"/>
  <Override PartName="/xl/embeddings/oleObject126.bin" ContentType="application/vnd.openxmlformats-officedocument.oleObject"/>
  <Override PartName="/xl/embeddings/oleObject127.bin" ContentType="application/vnd.openxmlformats-officedocument.oleObject"/>
  <Override PartName="/xl/embeddings/oleObject128.bin" ContentType="application/vnd.openxmlformats-officedocument.oleObject"/>
  <Override PartName="/xl/embeddings/oleObject129.bin" ContentType="application/vnd.openxmlformats-officedocument.oleObject"/>
  <Override PartName="/xl/embeddings/oleObject130.bin" ContentType="application/vnd.openxmlformats-officedocument.oleObject"/>
  <Override PartName="/xl/embeddings/oleObject131.bin" ContentType="application/vnd.openxmlformats-officedocument.oleObject"/>
  <Override PartName="/xl/embeddings/oleObject132.bin" ContentType="application/vnd.openxmlformats-officedocument.oleObject"/>
  <Override PartName="/xl/embeddings/oleObject133.bin" ContentType="application/vnd.openxmlformats-officedocument.oleObject"/>
  <Override PartName="/xl/embeddings/oleObject134.bin" ContentType="application/vnd.openxmlformats-officedocument.oleObject"/>
  <Override PartName="/xl/embeddings/oleObject135.bin" ContentType="application/vnd.openxmlformats-officedocument.oleObject"/>
  <Override PartName="/xl/embeddings/oleObject136.bin" ContentType="application/vnd.openxmlformats-officedocument.oleObject"/>
  <Override PartName="/xl/embeddings/oleObject137.bin" ContentType="application/vnd.openxmlformats-officedocument.oleObject"/>
  <Override PartName="/xl/embeddings/oleObject138.bin" ContentType="application/vnd.openxmlformats-officedocument.oleObject"/>
  <Override PartName="/xl/embeddings/oleObject139.bin" ContentType="application/vnd.openxmlformats-officedocument.oleObject"/>
  <Override PartName="/xl/embeddings/oleObject140.bin" ContentType="application/vnd.openxmlformats-officedocument.oleObject"/>
  <Override PartName="/xl/embeddings/oleObject141.bin" ContentType="application/vnd.openxmlformats-officedocument.oleObject"/>
  <Override PartName="/xl/embeddings/oleObject142.bin" ContentType="application/vnd.openxmlformats-officedocument.oleObject"/>
  <Override PartName="/xl/embeddings/oleObject143.bin" ContentType="application/vnd.openxmlformats-officedocument.oleObject"/>
  <Override PartName="/xl/embeddings/oleObject144.bin" ContentType="application/vnd.openxmlformats-officedocument.oleObject"/>
  <Override PartName="/xl/embeddings/oleObject145.bin" ContentType="application/vnd.openxmlformats-officedocument.oleObject"/>
  <Override PartName="/xl/embeddings/oleObject146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saveExternalLinkValues="0" updateLinks="always" codeName="ThisWorkbook" defaultThemeVersion="124226"/>
  <workbookProtection workbookPassword="C630" lockStructure="1"/>
  <bookViews>
    <workbookView xWindow="360" yWindow="690" windowWidth="18780" windowHeight="9750" firstSheet="5" activeTab="5"/>
  </bookViews>
  <sheets>
    <sheet name="B" sheetId="4" state="hidden" r:id="rId1"/>
    <sheet name="SUMMARY" sheetId="3" state="hidden" r:id="rId2"/>
    <sheet name="TPOrder" sheetId="1" state="hidden" r:id="rId3"/>
    <sheet name="YDWK2" sheetId="2" state="hidden" r:id="rId4"/>
    <sheet name="Worksheet" sheetId="5" state="hidden" r:id="rId5"/>
    <sheet name="VERIFY TASK" sheetId="10" r:id="rId6"/>
    <sheet name="YDWK1" sheetId="6" state="hidden" r:id="rId7"/>
    <sheet name="PRINT THIS!" sheetId="13" state="hidden" r:id="rId8"/>
    <sheet name="CLAIM CHECK" sheetId="9" state="hidden" r:id="rId9"/>
    <sheet name="CALIBRATION" sheetId="7" state="hidden" r:id="rId10"/>
    <sheet name="FREE ME" sheetId="14" r:id="rId11"/>
    <sheet name="Sheet11" sheetId="15" state="hidden" r:id="rId12"/>
  </sheets>
  <functionGroups builtInGroupCount="17"/>
  <externalReferences>
    <externalReference r:id="rId13"/>
    <externalReference r:id="rId14"/>
  </externalReferences>
  <definedNames>
    <definedName name="_xlnm.Print_Area" localSheetId="8">'CLAIM CHECK'!$B$1:$H$61</definedName>
    <definedName name="_xlnm.Print_Area" localSheetId="10">'FREE ME'!$B$1:$N$41</definedName>
    <definedName name="_xlnm.Print_Area" localSheetId="7">'PRINT THIS!'!$B$3:$K$62</definedName>
    <definedName name="_xlnm.Print_Area" localSheetId="4">Worksheet!$B$1:$O$99</definedName>
    <definedName name="PrintArea1">'PRINT THIS!'!$B$3:$K$57</definedName>
    <definedName name="PrintArea2">'CLAIM CHECK'!$B$2:$H$61</definedName>
  </definedNames>
  <calcPr calcId="145621" iterate="1" iterateCount="50"/>
</workbook>
</file>

<file path=xl/calcChain.xml><?xml version="1.0" encoding="utf-8"?>
<calcChain xmlns="http://schemas.openxmlformats.org/spreadsheetml/2006/main">
  <c r="B45" i="9" l="1"/>
  <c r="F58" i="9" l="1"/>
  <c r="E58" i="9"/>
  <c r="D58" i="9"/>
  <c r="C58" i="9"/>
  <c r="B58" i="9"/>
  <c r="E56" i="9"/>
  <c r="G56" i="9"/>
  <c r="B20" i="3" l="1"/>
  <c r="E48" i="9" l="1"/>
  <c r="Q1" i="5" l="1"/>
  <c r="H30" i="3"/>
  <c r="I41" i="5" l="1"/>
  <c r="E1537" i="2" l="1"/>
  <c r="E1536" i="2"/>
  <c r="J40" i="5"/>
  <c r="I40" i="5"/>
  <c r="J39" i="5"/>
  <c r="I39" i="5"/>
  <c r="I37" i="5"/>
  <c r="G19" i="9" l="1"/>
  <c r="E19" i="9"/>
  <c r="I20" i="5" l="1"/>
  <c r="I19" i="5"/>
  <c r="A16" i="13" l="1"/>
  <c r="CX11" i="1" l="1"/>
  <c r="J53" i="13" l="1"/>
  <c r="I53" i="13"/>
  <c r="G53" i="13"/>
  <c r="F53" i="13"/>
  <c r="D53" i="13"/>
  <c r="J51" i="13"/>
  <c r="I51" i="13"/>
  <c r="G51" i="13"/>
  <c r="F51" i="13"/>
  <c r="D51" i="13"/>
  <c r="J49" i="13"/>
  <c r="I49" i="13"/>
  <c r="G49" i="13"/>
  <c r="F49" i="13"/>
  <c r="D49" i="13"/>
  <c r="G10" i="9" l="1"/>
  <c r="A1" i="10" l="1"/>
  <c r="G8" i="9" l="1"/>
  <c r="C1466" i="2" l="1"/>
  <c r="C1465" i="2"/>
  <c r="O18" i="5" l="1"/>
  <c r="B18" i="5"/>
  <c r="L12" i="5"/>
  <c r="D12" i="5"/>
  <c r="B4" i="9" l="1"/>
  <c r="E8" i="13" l="1"/>
  <c r="C8" i="13"/>
  <c r="C7" i="13"/>
  <c r="H2" i="10" l="1"/>
  <c r="B8" i="10" s="1"/>
  <c r="B50" i="9" l="1"/>
  <c r="B12" i="9" l="1"/>
  <c r="F2" i="10" l="1"/>
  <c r="O3" i="5" l="1"/>
  <c r="M5" i="5" l="1"/>
  <c r="N27" i="5" l="1"/>
  <c r="B60" i="9" l="1"/>
  <c r="B19" i="3" l="1"/>
  <c r="K29" i="3" l="1"/>
  <c r="K28" i="3"/>
  <c r="K27" i="3"/>
  <c r="O1539" i="2" l="1"/>
  <c r="O1538" i="2"/>
  <c r="E42" i="13" l="1"/>
  <c r="C57" i="13" s="1"/>
  <c r="A3" i="10" l="1"/>
  <c r="H88" i="5" l="1"/>
  <c r="N1" i="5"/>
  <c r="E40" i="13" l="1"/>
  <c r="C34" i="13" l="1"/>
  <c r="D47" i="13" l="1"/>
  <c r="F18" i="10" l="1"/>
  <c r="L15" i="5" l="1"/>
  <c r="D15" i="5"/>
  <c r="D23" i="6"/>
  <c r="D22" i="6"/>
  <c r="BS6" i="1" l="1"/>
  <c r="I7" i="6"/>
  <c r="J7" i="6"/>
  <c r="I8" i="6"/>
  <c r="J8" i="6"/>
  <c r="I9" i="6"/>
  <c r="J9" i="6"/>
  <c r="I10" i="6"/>
  <c r="J10" i="6"/>
  <c r="I11" i="6"/>
  <c r="J11" i="6"/>
  <c r="I12" i="6"/>
  <c r="J12" i="6"/>
  <c r="I13" i="6"/>
  <c r="J13" i="6"/>
  <c r="I14" i="6"/>
  <c r="J14" i="6"/>
  <c r="F7" i="6"/>
  <c r="G7" i="6"/>
  <c r="F8" i="6"/>
  <c r="G8" i="6"/>
  <c r="F9" i="6"/>
  <c r="G9" i="6"/>
  <c r="F10" i="6"/>
  <c r="G10" i="6"/>
  <c r="F11" i="6"/>
  <c r="G11" i="6"/>
  <c r="F12" i="6"/>
  <c r="G12" i="6"/>
  <c r="F13" i="6"/>
  <c r="G13" i="6"/>
  <c r="F14" i="6"/>
  <c r="G14" i="6"/>
  <c r="E9" i="5" l="1"/>
  <c r="O15" i="5"/>
  <c r="C1611" i="2" l="1"/>
  <c r="C1612" i="2"/>
  <c r="O1" i="1" l="1"/>
  <c r="S1" i="1"/>
  <c r="W1" i="1"/>
  <c r="M15" i="5" l="1"/>
  <c r="L17" i="3"/>
  <c r="L16" i="3"/>
  <c r="L15" i="3"/>
  <c r="N1466" i="2" l="1"/>
  <c r="N1465" i="2"/>
  <c r="O1472" i="2"/>
  <c r="O1471" i="2"/>
  <c r="O1470" i="2"/>
  <c r="L1469" i="2"/>
  <c r="O1468" i="2"/>
  <c r="O1469" i="2" s="1"/>
  <c r="N15" i="5" l="1"/>
  <c r="F77" i="5" s="1"/>
  <c r="C15" i="5"/>
  <c r="E77" i="5" s="1"/>
  <c r="L22" i="3" l="1"/>
  <c r="L5" i="3"/>
  <c r="I23" i="5" l="1"/>
  <c r="E14" i="3" l="1"/>
  <c r="M1550" i="2" l="1"/>
  <c r="M1551" i="2" s="1"/>
  <c r="P1541" i="2"/>
  <c r="P1542" i="2" s="1"/>
  <c r="M1542" i="2"/>
  <c r="P1543" i="2"/>
  <c r="P1544" i="2"/>
  <c r="P1545" i="2"/>
  <c r="M1552" i="2" l="1"/>
  <c r="M1553" i="2"/>
  <c r="M1539" i="2"/>
  <c r="M1538" i="2"/>
  <c r="EP9" i="1" l="1"/>
  <c r="F22" i="2" l="1"/>
  <c r="F21" i="2"/>
  <c r="F20" i="2"/>
  <c r="F18" i="2"/>
  <c r="F19" i="2" s="1"/>
  <c r="I12" i="3" l="1"/>
  <c r="K11" i="3"/>
  <c r="I11" i="3"/>
  <c r="C1610" i="2" l="1"/>
  <c r="C1609" i="2"/>
  <c r="G85" i="5" l="1"/>
  <c r="F86" i="5" s="1"/>
  <c r="G86" i="5" s="1"/>
  <c r="M96" i="5" l="1"/>
  <c r="L97" i="5" s="1"/>
  <c r="M97" i="5" s="1"/>
  <c r="G96" i="5"/>
  <c r="F97" i="5" s="1"/>
  <c r="G97" i="5" s="1"/>
  <c r="M85" i="5"/>
  <c r="L86" i="5" s="1"/>
  <c r="M86" i="5" l="1"/>
  <c r="N5" i="5"/>
  <c r="J91" i="5"/>
  <c r="L80" i="5"/>
  <c r="K86" i="5" s="1"/>
  <c r="L82" i="5" l="1"/>
  <c r="A7" i="3"/>
  <c r="L91" i="5"/>
  <c r="L93" i="5" l="1"/>
  <c r="A58" i="6"/>
  <c r="A2" i="9" l="1"/>
  <c r="AN58" i="6" l="1"/>
  <c r="AM58" i="6"/>
  <c r="AL58" i="6"/>
  <c r="AK58" i="6"/>
  <c r="AJ58" i="6"/>
  <c r="AI58" i="6"/>
  <c r="AH58" i="6"/>
  <c r="AG58" i="6"/>
  <c r="AF58" i="6"/>
  <c r="AE58" i="6"/>
  <c r="O58" i="6" l="1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A2" i="10" l="1"/>
  <c r="AF28" i="6"/>
  <c r="AE28" i="6"/>
  <c r="O28" i="6"/>
  <c r="B28" i="6"/>
  <c r="A28" i="6"/>
  <c r="AN28" i="6"/>
  <c r="AM28" i="6"/>
  <c r="AL28" i="6"/>
  <c r="AK28" i="6"/>
  <c r="AJ28" i="6"/>
  <c r="AI28" i="6"/>
  <c r="AH28" i="6"/>
  <c r="AG28" i="6"/>
  <c r="B19" i="13" l="1"/>
  <c r="B20" i="13"/>
  <c r="B23" i="13"/>
  <c r="B21" i="13"/>
  <c r="I36" i="13"/>
  <c r="E8" i="2"/>
  <c r="B13" i="9"/>
  <c r="A4" i="3"/>
  <c r="G47" i="13"/>
  <c r="D8" i="13"/>
  <c r="J55" i="13"/>
  <c r="I55" i="13"/>
  <c r="G55" i="13"/>
  <c r="F55" i="13"/>
  <c r="D55" i="13"/>
  <c r="J47" i="13"/>
  <c r="I47" i="13"/>
  <c r="F47" i="13"/>
  <c r="J40" i="13"/>
  <c r="D36" i="13"/>
  <c r="K5" i="5"/>
  <c r="J5" i="5"/>
  <c r="E10" i="10"/>
  <c r="B22" i="3"/>
  <c r="E28" i="3"/>
  <c r="E22" i="3"/>
  <c r="E16" i="3"/>
  <c r="B28" i="3"/>
  <c r="B27" i="5"/>
  <c r="L29" i="3"/>
  <c r="L28" i="3"/>
  <c r="L27" i="3"/>
  <c r="F25" i="10"/>
  <c r="C8" i="9"/>
  <c r="N28" i="6"/>
  <c r="AA28" i="6"/>
  <c r="K28" i="6"/>
  <c r="Z28" i="6"/>
  <c r="J28" i="6"/>
  <c r="S28" i="6"/>
  <c r="C28" i="6"/>
  <c r="D28" i="6"/>
  <c r="G28" i="6"/>
  <c r="H28" i="6"/>
  <c r="P28" i="6"/>
  <c r="Q28" i="6"/>
  <c r="R28" i="6"/>
  <c r="U28" i="6"/>
  <c r="V28" i="6"/>
  <c r="W28" i="6"/>
  <c r="X28" i="6"/>
  <c r="Y28" i="6"/>
  <c r="AB28" i="6"/>
  <c r="AD28" i="6"/>
  <c r="E32" i="3"/>
  <c r="D32" i="3"/>
  <c r="E30" i="3"/>
  <c r="D30" i="3"/>
  <c r="E26" i="3"/>
  <c r="D26" i="3"/>
  <c r="E24" i="3"/>
  <c r="D24" i="3"/>
  <c r="E14" i="10" s="1"/>
  <c r="K23" i="3"/>
  <c r="J23" i="3"/>
  <c r="I23" i="3"/>
  <c r="H23" i="3"/>
  <c r="K22" i="3"/>
  <c r="J22" i="3"/>
  <c r="I22" i="3"/>
  <c r="H22" i="3"/>
  <c r="J20" i="3"/>
  <c r="I20" i="3"/>
  <c r="H20" i="3"/>
  <c r="E20" i="3"/>
  <c r="D20" i="3"/>
  <c r="L19" i="3"/>
  <c r="B44" i="9" s="1"/>
  <c r="E18" i="3"/>
  <c r="D18" i="3"/>
  <c r="E12" i="10" s="1"/>
  <c r="E1539" i="2"/>
  <c r="C1539" i="2" s="1"/>
  <c r="B17" i="3"/>
  <c r="C24" i="5" s="1"/>
  <c r="C27" i="5" s="1"/>
  <c r="A17" i="3"/>
  <c r="D8" i="9" s="1"/>
  <c r="E1538" i="2"/>
  <c r="C1538" i="2" s="1"/>
  <c r="H14" i="3"/>
  <c r="L12" i="3"/>
  <c r="C1537" i="2" s="1"/>
  <c r="D12" i="3"/>
  <c r="L11" i="3"/>
  <c r="B11" i="3"/>
  <c r="L10" i="3"/>
  <c r="D10" i="3"/>
  <c r="B10" i="3"/>
  <c r="J9" i="3"/>
  <c r="D8" i="2" s="1"/>
  <c r="I9" i="3"/>
  <c r="C8" i="2" s="1"/>
  <c r="B9" i="3"/>
  <c r="D8" i="3"/>
  <c r="B8" i="3"/>
  <c r="J7" i="3"/>
  <c r="I7" i="3"/>
  <c r="C7" i="2" s="1"/>
  <c r="E6" i="3"/>
  <c r="B6" i="3"/>
  <c r="A5" i="3"/>
  <c r="E5" i="3"/>
  <c r="H5" i="5" s="1"/>
  <c r="I4" i="3"/>
  <c r="B15" i="5" s="1"/>
  <c r="D77" i="5" s="1"/>
  <c r="E4" i="3"/>
  <c r="E5" i="5" s="1"/>
  <c r="F90" i="2"/>
  <c r="F91" i="2" s="1"/>
  <c r="F92" i="2"/>
  <c r="F93" i="2"/>
  <c r="F94" i="2"/>
  <c r="F161" i="2"/>
  <c r="F162" i="2" s="1"/>
  <c r="F163" i="2"/>
  <c r="F164" i="2"/>
  <c r="F165" i="2"/>
  <c r="F233" i="2"/>
  <c r="F234" i="2" s="1"/>
  <c r="F235" i="2"/>
  <c r="F236" i="2"/>
  <c r="F237" i="2"/>
  <c r="F305" i="2"/>
  <c r="F306" i="2" s="1"/>
  <c r="F307" i="2"/>
  <c r="F308" i="2"/>
  <c r="F309" i="2"/>
  <c r="F377" i="2"/>
  <c r="F378" i="2" s="1"/>
  <c r="F379" i="2"/>
  <c r="F380" i="2"/>
  <c r="F381" i="2"/>
  <c r="F449" i="2"/>
  <c r="F450" i="2" s="1"/>
  <c r="F451" i="2"/>
  <c r="F452" i="2"/>
  <c r="F453" i="2"/>
  <c r="F521" i="2"/>
  <c r="F522" i="2" s="1"/>
  <c r="F523" i="2"/>
  <c r="F524" i="2"/>
  <c r="F525" i="2"/>
  <c r="F593" i="2"/>
  <c r="F594" i="2" s="1"/>
  <c r="F595" i="2"/>
  <c r="F596" i="2"/>
  <c r="F597" i="2"/>
  <c r="F665" i="2"/>
  <c r="F666" i="2" s="1"/>
  <c r="F667" i="2"/>
  <c r="F668" i="2"/>
  <c r="F669" i="2"/>
  <c r="F737" i="2"/>
  <c r="F738" i="2" s="1"/>
  <c r="F739" i="2"/>
  <c r="F740" i="2"/>
  <c r="F741" i="2"/>
  <c r="F811" i="2"/>
  <c r="F812" i="2" s="1"/>
  <c r="F813" i="2"/>
  <c r="F814" i="2"/>
  <c r="F815" i="2"/>
  <c r="F885" i="2"/>
  <c r="F886" i="2" s="1"/>
  <c r="P885" i="2"/>
  <c r="P886" i="2" s="1"/>
  <c r="Z885" i="2"/>
  <c r="Z886" i="2" s="1"/>
  <c r="C886" i="2"/>
  <c r="M886" i="2"/>
  <c r="W886" i="2"/>
  <c r="F887" i="2"/>
  <c r="P887" i="2"/>
  <c r="Z887" i="2"/>
  <c r="F888" i="2"/>
  <c r="P888" i="2"/>
  <c r="Z888" i="2"/>
  <c r="F889" i="2"/>
  <c r="P889" i="2"/>
  <c r="Z889" i="2"/>
  <c r="F959" i="2"/>
  <c r="F960" i="2" s="1"/>
  <c r="P959" i="2"/>
  <c r="P960" i="2" s="1"/>
  <c r="Z959" i="2"/>
  <c r="Z960" i="2" s="1"/>
  <c r="C960" i="2"/>
  <c r="E995" i="2" s="1"/>
  <c r="M960" i="2"/>
  <c r="W960" i="2"/>
  <c r="F961" i="2"/>
  <c r="P961" i="2"/>
  <c r="Z961" i="2"/>
  <c r="F962" i="2"/>
  <c r="P962" i="2"/>
  <c r="Z962" i="2"/>
  <c r="F963" i="2"/>
  <c r="P963" i="2"/>
  <c r="Z963" i="2"/>
  <c r="F1032" i="2"/>
  <c r="F1033" i="2" s="1"/>
  <c r="C1033" i="2"/>
  <c r="F1034" i="2"/>
  <c r="F1035" i="2"/>
  <c r="F1036" i="2"/>
  <c r="F1105" i="2"/>
  <c r="F1106" i="2" s="1"/>
  <c r="C1106" i="2"/>
  <c r="F1107" i="2"/>
  <c r="F1108" i="2"/>
  <c r="F1109" i="2"/>
  <c r="F1177" i="2"/>
  <c r="F1178" i="2" s="1"/>
  <c r="C1178" i="2"/>
  <c r="F1179" i="2"/>
  <c r="F1180" i="2"/>
  <c r="F1181" i="2"/>
  <c r="F1250" i="2"/>
  <c r="F1251" i="2" s="1"/>
  <c r="C1251" i="2"/>
  <c r="F1252" i="2"/>
  <c r="F1253" i="2"/>
  <c r="F1254" i="2"/>
  <c r="F1322" i="2"/>
  <c r="F1323" i="2" s="1"/>
  <c r="C1323" i="2"/>
  <c r="F1324" i="2"/>
  <c r="F1325" i="2"/>
  <c r="F1326" i="2"/>
  <c r="F1395" i="2"/>
  <c r="F1396" i="2" s="1"/>
  <c r="C1396" i="2"/>
  <c r="F1397" i="2"/>
  <c r="F1398" i="2"/>
  <c r="F1399" i="2"/>
  <c r="K1452" i="2"/>
  <c r="F1468" i="2"/>
  <c r="F1469" i="2" s="1"/>
  <c r="C1469" i="2"/>
  <c r="F1470" i="2"/>
  <c r="F1471" i="2"/>
  <c r="F1472" i="2"/>
  <c r="F1541" i="2"/>
  <c r="F1542" i="2" s="1"/>
  <c r="C1542" i="2"/>
  <c r="F1543" i="2"/>
  <c r="F1544" i="2"/>
  <c r="F1545" i="2"/>
  <c r="F1614" i="2"/>
  <c r="F1615" i="2" s="1"/>
  <c r="C1615" i="2"/>
  <c r="F1616" i="2"/>
  <c r="F1617" i="2"/>
  <c r="F1618" i="2"/>
  <c r="I16" i="3" l="1"/>
  <c r="G7" i="2" s="1"/>
  <c r="N3" i="5"/>
  <c r="G4" i="3"/>
  <c r="B29" i="9"/>
  <c r="C14" i="2"/>
  <c r="E14" i="2" s="1"/>
  <c r="K29" i="5"/>
  <c r="M77" i="5" s="1"/>
  <c r="I15" i="5"/>
  <c r="I30" i="5"/>
  <c r="L77" i="5" s="1"/>
  <c r="H15" i="5"/>
  <c r="I29" i="5"/>
  <c r="K77" i="5" s="1"/>
  <c r="G15" i="5"/>
  <c r="F6" i="9"/>
  <c r="F9" i="10"/>
  <c r="D9" i="10"/>
  <c r="B30" i="3"/>
  <c r="C1550" i="2"/>
  <c r="C1551" i="2" s="1"/>
  <c r="C1552" i="2" s="1"/>
  <c r="C1536" i="2"/>
  <c r="C3" i="5"/>
  <c r="A26" i="3"/>
  <c r="C14" i="10"/>
  <c r="E16" i="10"/>
  <c r="B24" i="3"/>
  <c r="F8" i="9"/>
  <c r="C150" i="2"/>
  <c r="C293" i="2"/>
  <c r="C294" i="2"/>
  <c r="C151" i="2"/>
  <c r="A32" i="3"/>
  <c r="C1544" i="2"/>
  <c r="A30" i="3"/>
  <c r="E6" i="9"/>
  <c r="B33" i="9" s="1"/>
  <c r="B32" i="3"/>
  <c r="G798" i="2"/>
  <c r="G78" i="2"/>
  <c r="J16" i="3"/>
  <c r="H7" i="2" s="1"/>
  <c r="I14" i="3"/>
  <c r="G724" i="2"/>
  <c r="G6" i="2"/>
  <c r="D7" i="2"/>
  <c r="C13" i="2" s="1"/>
  <c r="D294" i="2"/>
  <c r="D151" i="2"/>
  <c r="I18" i="3"/>
  <c r="G8" i="2" s="1"/>
  <c r="J18" i="3"/>
  <c r="H8" i="2" s="1"/>
  <c r="B7" i="3"/>
  <c r="H6" i="9" s="1"/>
  <c r="A14" i="3"/>
  <c r="D7" i="5"/>
  <c r="C16" i="10"/>
  <c r="A24" i="3"/>
  <c r="B26" i="3"/>
  <c r="C12" i="10"/>
  <c r="AC28" i="6"/>
  <c r="L28" i="6"/>
  <c r="F28" i="6"/>
  <c r="E28" i="6"/>
  <c r="I28" i="6"/>
  <c r="M28" i="6"/>
  <c r="T28" i="6"/>
  <c r="D9" i="5"/>
  <c r="B32" i="9" l="1"/>
  <c r="J34" i="5"/>
  <c r="G34" i="5"/>
  <c r="E34" i="5"/>
  <c r="J84" i="5"/>
  <c r="M87" i="5"/>
  <c r="J95" i="5"/>
  <c r="E10" i="3"/>
  <c r="E12" i="3"/>
  <c r="L18" i="3"/>
  <c r="K4" i="3"/>
  <c r="L23" i="3"/>
  <c r="L6" i="3"/>
  <c r="D9" i="6" s="1"/>
  <c r="B31" i="6" s="1"/>
  <c r="A31" i="6" s="1"/>
  <c r="K20" i="3"/>
  <c r="K14" i="3" s="1"/>
  <c r="O24" i="5" s="1"/>
  <c r="O27" i="5" s="1"/>
  <c r="L13" i="3"/>
  <c r="E8" i="3"/>
  <c r="K12" i="3"/>
  <c r="D2" i="6"/>
  <c r="A32" i="9"/>
  <c r="B24" i="9"/>
  <c r="C1555" i="2"/>
  <c r="L1464" i="2"/>
  <c r="N1464" i="2" s="1"/>
  <c r="E13" i="2"/>
  <c r="C23" i="2" s="1"/>
  <c r="C24" i="2" s="1"/>
  <c r="C25" i="2" s="1"/>
  <c r="L1463" i="2"/>
  <c r="N1463" i="2" s="1"/>
  <c r="L1473" i="2" s="1"/>
  <c r="L1474" i="2" s="1"/>
  <c r="C1553" i="2"/>
  <c r="G79" i="2"/>
  <c r="C15" i="2"/>
  <c r="E15" i="2" s="1"/>
  <c r="C27" i="2" s="1"/>
  <c r="C28" i="2" s="1"/>
  <c r="C16" i="2"/>
  <c r="E16" i="2" s="1"/>
  <c r="C21" i="2" s="1"/>
  <c r="I38" i="13"/>
  <c r="C157" i="2"/>
  <c r="E157" i="2" s="1"/>
  <c r="C301" i="2"/>
  <c r="E301" i="2" s="1"/>
  <c r="H80" i="2"/>
  <c r="H800" i="2"/>
  <c r="H726" i="2"/>
  <c r="B1595" i="2"/>
  <c r="H725" i="2"/>
  <c r="H799" i="2"/>
  <c r="H79" i="2"/>
  <c r="B1596" i="2"/>
  <c r="D293" i="2"/>
  <c r="C300" i="2" s="1"/>
  <c r="E300" i="2" s="1"/>
  <c r="C310" i="2" s="1"/>
  <c r="C311" i="2" s="1"/>
  <c r="D150" i="2"/>
  <c r="C156" i="2" s="1"/>
  <c r="H29" i="3"/>
  <c r="G799" i="2"/>
  <c r="G725" i="2"/>
  <c r="H8" i="9"/>
  <c r="H24" i="3"/>
  <c r="H28" i="3"/>
  <c r="B2" i="9"/>
  <c r="B6" i="9" s="1"/>
  <c r="H27" i="3"/>
  <c r="B1597" i="2"/>
  <c r="G80" i="2"/>
  <c r="G726" i="2"/>
  <c r="G800" i="2"/>
  <c r="J24" i="3"/>
  <c r="E4" i="6" l="1"/>
  <c r="D20" i="6" s="1"/>
  <c r="C32" i="2"/>
  <c r="C26" i="2"/>
  <c r="L1475" i="2"/>
  <c r="L1476" i="2"/>
  <c r="C30" i="2"/>
  <c r="C29" i="2"/>
  <c r="C809" i="2"/>
  <c r="E809" i="2" s="1"/>
  <c r="C734" i="2"/>
  <c r="E734" i="2" s="1"/>
  <c r="C746" i="2" s="1"/>
  <c r="C747" i="2" s="1"/>
  <c r="C749" i="2" s="1"/>
  <c r="C808" i="2"/>
  <c r="E808" i="2" s="1"/>
  <c r="C820" i="2" s="1"/>
  <c r="C821" i="2" s="1"/>
  <c r="C19" i="9"/>
  <c r="C874" i="2"/>
  <c r="N873" i="2"/>
  <c r="D873" i="2"/>
  <c r="D80" i="2"/>
  <c r="C873" i="2"/>
  <c r="C80" i="2"/>
  <c r="M874" i="2"/>
  <c r="H151" i="2"/>
  <c r="G150" i="2"/>
  <c r="X874" i="2"/>
  <c r="M873" i="2"/>
  <c r="H150" i="2"/>
  <c r="W873" i="2"/>
  <c r="C79" i="2"/>
  <c r="D874" i="2"/>
  <c r="D79" i="2"/>
  <c r="D365" i="2" s="1"/>
  <c r="N874" i="2"/>
  <c r="W874" i="2"/>
  <c r="X873" i="2"/>
  <c r="G151" i="2"/>
  <c r="I66" i="2"/>
  <c r="C88" i="2"/>
  <c r="E88" i="2" s="1"/>
  <c r="C87" i="2"/>
  <c r="E87" i="2" s="1"/>
  <c r="B72" i="2"/>
  <c r="J66" i="2"/>
  <c r="K24" i="3"/>
  <c r="E156" i="2"/>
  <c r="B74" i="2"/>
  <c r="C1546" i="2"/>
  <c r="C1547" i="2" s="1"/>
  <c r="J1589" i="2"/>
  <c r="I1589" i="2"/>
  <c r="C735" i="2"/>
  <c r="E735" i="2" s="1"/>
  <c r="B73" i="2"/>
  <c r="B2" i="10"/>
  <c r="C312" i="2"/>
  <c r="C313" i="2"/>
  <c r="D21" i="6" l="1"/>
  <c r="D15" i="6"/>
  <c r="B37" i="6" s="1"/>
  <c r="D16" i="6"/>
  <c r="D17" i="6"/>
  <c r="D24" i="6"/>
  <c r="N12" i="6"/>
  <c r="N7" i="6"/>
  <c r="N14" i="6"/>
  <c r="N11" i="6"/>
  <c r="N10" i="6"/>
  <c r="N8" i="6"/>
  <c r="N9" i="6"/>
  <c r="N13" i="6"/>
  <c r="D14" i="6"/>
  <c r="D11" i="6"/>
  <c r="D7" i="6"/>
  <c r="D10" i="6"/>
  <c r="D8" i="6"/>
  <c r="D12" i="6"/>
  <c r="D27" i="6"/>
  <c r="M23" i="5" s="1"/>
  <c r="C34" i="2"/>
  <c r="C41" i="2" s="1"/>
  <c r="C36" i="2"/>
  <c r="C748" i="2"/>
  <c r="C881" i="2"/>
  <c r="E881" i="2" s="1"/>
  <c r="M881" i="2"/>
  <c r="O881" i="2" s="1"/>
  <c r="C799" i="2"/>
  <c r="G221" i="2"/>
  <c r="G653" i="2"/>
  <c r="C158" i="2"/>
  <c r="C880" i="2"/>
  <c r="G654" i="2"/>
  <c r="G222" i="2"/>
  <c r="C800" i="2"/>
  <c r="C159" i="2"/>
  <c r="H653" i="2"/>
  <c r="D799" i="2"/>
  <c r="H221" i="2"/>
  <c r="M880" i="2"/>
  <c r="N947" i="2"/>
  <c r="X947" i="2"/>
  <c r="D947" i="2"/>
  <c r="D221" i="2"/>
  <c r="C1549" i="2"/>
  <c r="C1548" i="2"/>
  <c r="D38" i="13"/>
  <c r="D948" i="2"/>
  <c r="D366" i="2"/>
  <c r="N948" i="2"/>
  <c r="D222" i="2"/>
  <c r="X948" i="2"/>
  <c r="C99" i="2"/>
  <c r="C100" i="2" s="1"/>
  <c r="D800" i="2"/>
  <c r="H654" i="2"/>
  <c r="H222" i="2"/>
  <c r="M947" i="2"/>
  <c r="C85" i="2"/>
  <c r="C947" i="2"/>
  <c r="C365" i="2"/>
  <c r="C221" i="2"/>
  <c r="C823" i="2"/>
  <c r="C822" i="2"/>
  <c r="W948" i="2"/>
  <c r="C222" i="2"/>
  <c r="C86" i="2"/>
  <c r="C948" i="2"/>
  <c r="M948" i="2"/>
  <c r="C366" i="2"/>
  <c r="C166" i="2"/>
  <c r="C167" i="2" s="1"/>
  <c r="AL47" i="6" l="1"/>
  <c r="AK47" i="6" s="1"/>
  <c r="T47" i="6"/>
  <c r="S47" i="6" s="1"/>
  <c r="D47" i="6"/>
  <c r="C47" i="6" s="1"/>
  <c r="AJ47" i="6"/>
  <c r="AI47" i="6" s="1"/>
  <c r="R47" i="6"/>
  <c r="Q47" i="6" s="1"/>
  <c r="AF47" i="6"/>
  <c r="AE47" i="6" s="1"/>
  <c r="E81" i="5"/>
  <c r="F47" i="6"/>
  <c r="E47" i="6" s="1"/>
  <c r="AH47" i="6"/>
  <c r="AG47" i="6" s="1"/>
  <c r="P47" i="6"/>
  <c r="O47" i="6" s="1"/>
  <c r="AB47" i="6"/>
  <c r="AA47" i="6" s="1"/>
  <c r="Z47" i="6"/>
  <c r="Y47" i="6" s="1"/>
  <c r="X47" i="6"/>
  <c r="W47" i="6" s="1"/>
  <c r="H47" i="6"/>
  <c r="G47" i="6" s="1"/>
  <c r="AD47" i="6"/>
  <c r="AC47" i="6" s="1"/>
  <c r="N47" i="6"/>
  <c r="M47" i="6" s="1"/>
  <c r="L47" i="6"/>
  <c r="K47" i="6" s="1"/>
  <c r="B47" i="6"/>
  <c r="A47" i="6" s="1"/>
  <c r="J47" i="6"/>
  <c r="I47" i="6" s="1"/>
  <c r="AN47" i="6"/>
  <c r="AM47" i="6" s="1"/>
  <c r="V47" i="6"/>
  <c r="U47" i="6" s="1"/>
  <c r="B36" i="6"/>
  <c r="A36" i="6" s="1"/>
  <c r="N36" i="6"/>
  <c r="M36" i="6" s="1"/>
  <c r="AH36" i="6"/>
  <c r="R36" i="6"/>
  <c r="Q36" i="6" s="1"/>
  <c r="AD36" i="6"/>
  <c r="AC36" i="6" s="1"/>
  <c r="F36" i="6"/>
  <c r="E36" i="6" s="1"/>
  <c r="AJ36" i="6"/>
  <c r="V36" i="6"/>
  <c r="U36" i="6" s="1"/>
  <c r="L36" i="6"/>
  <c r="K36" i="6" s="1"/>
  <c r="AB36" i="6"/>
  <c r="AA36" i="6" s="1"/>
  <c r="D36" i="6"/>
  <c r="C36" i="6" s="1"/>
  <c r="J36" i="6"/>
  <c r="I36" i="6" s="1"/>
  <c r="AL36" i="6"/>
  <c r="Z36" i="6"/>
  <c r="Y36" i="6" s="1"/>
  <c r="AN36" i="6"/>
  <c r="AM36" i="6" s="1"/>
  <c r="P36" i="6"/>
  <c r="O36" i="6" s="1"/>
  <c r="H36" i="6"/>
  <c r="G36" i="6" s="1"/>
  <c r="X36" i="6"/>
  <c r="W36" i="6" s="1"/>
  <c r="T36" i="6"/>
  <c r="S36" i="6" s="1"/>
  <c r="AF36" i="6"/>
  <c r="G92" i="5"/>
  <c r="D52" i="6"/>
  <c r="C52" i="6" s="1"/>
  <c r="F52" i="6"/>
  <c r="E52" i="6" s="1"/>
  <c r="B52" i="6"/>
  <c r="A52" i="6" s="1"/>
  <c r="AH52" i="6"/>
  <c r="AG52" i="6" s="1"/>
  <c r="AN52" i="6"/>
  <c r="AM52" i="6" s="1"/>
  <c r="AD52" i="6"/>
  <c r="AC52" i="6" s="1"/>
  <c r="AF52" i="6"/>
  <c r="AE52" i="6" s="1"/>
  <c r="L52" i="6"/>
  <c r="K52" i="6" s="1"/>
  <c r="X52" i="6"/>
  <c r="W52" i="6" s="1"/>
  <c r="AB52" i="6"/>
  <c r="AA52" i="6" s="1"/>
  <c r="N52" i="6"/>
  <c r="M52" i="6" s="1"/>
  <c r="AL52" i="6"/>
  <c r="AK52" i="6" s="1"/>
  <c r="AJ52" i="6"/>
  <c r="AI52" i="6" s="1"/>
  <c r="T52" i="6"/>
  <c r="S52" i="6" s="1"/>
  <c r="P52" i="6"/>
  <c r="O52" i="6" s="1"/>
  <c r="V52" i="6"/>
  <c r="U52" i="6" s="1"/>
  <c r="H52" i="6"/>
  <c r="G52" i="6" s="1"/>
  <c r="Z52" i="6"/>
  <c r="Y52" i="6" s="1"/>
  <c r="R52" i="6"/>
  <c r="Q52" i="6" s="1"/>
  <c r="J52" i="6"/>
  <c r="I52" i="6" s="1"/>
  <c r="L53" i="6"/>
  <c r="K53" i="6" s="1"/>
  <c r="AL53" i="6"/>
  <c r="AK53" i="6" s="1"/>
  <c r="D53" i="6"/>
  <c r="C53" i="6" s="1"/>
  <c r="Z53" i="6"/>
  <c r="Y53" i="6" s="1"/>
  <c r="T53" i="6"/>
  <c r="S53" i="6" s="1"/>
  <c r="AB53" i="6"/>
  <c r="AA53" i="6" s="1"/>
  <c r="AN53" i="6"/>
  <c r="AM53" i="6" s="1"/>
  <c r="V53" i="6"/>
  <c r="U53" i="6" s="1"/>
  <c r="R53" i="6"/>
  <c r="Q53" i="6" s="1"/>
  <c r="N53" i="6"/>
  <c r="M53" i="6" s="1"/>
  <c r="AF53" i="6"/>
  <c r="AE53" i="6" s="1"/>
  <c r="J53" i="6"/>
  <c r="I53" i="6" s="1"/>
  <c r="K92" i="5"/>
  <c r="M98" i="5" s="1"/>
  <c r="X53" i="6"/>
  <c r="W53" i="6" s="1"/>
  <c r="AJ53" i="6"/>
  <c r="AI53" i="6" s="1"/>
  <c r="H53" i="6"/>
  <c r="G53" i="6" s="1"/>
  <c r="AH53" i="6"/>
  <c r="AG53" i="6" s="1"/>
  <c r="AD53" i="6"/>
  <c r="AC53" i="6" s="1"/>
  <c r="F53" i="6"/>
  <c r="E53" i="6" s="1"/>
  <c r="B53" i="6"/>
  <c r="A53" i="6" s="1"/>
  <c r="P53" i="6"/>
  <c r="O53" i="6" s="1"/>
  <c r="J46" i="6"/>
  <c r="I46" i="6" s="1"/>
  <c r="P46" i="6"/>
  <c r="O46" i="6" s="1"/>
  <c r="F46" i="6"/>
  <c r="E46" i="6" s="1"/>
  <c r="T46" i="6"/>
  <c r="S46" i="6" s="1"/>
  <c r="AH46" i="6"/>
  <c r="AG46" i="6" s="1"/>
  <c r="R46" i="6"/>
  <c r="Q46" i="6" s="1"/>
  <c r="X46" i="6"/>
  <c r="W46" i="6" s="1"/>
  <c r="AF46" i="6"/>
  <c r="AE46" i="6" s="1"/>
  <c r="H46" i="6"/>
  <c r="G46" i="6" s="1"/>
  <c r="AJ46" i="6"/>
  <c r="AI46" i="6" s="1"/>
  <c r="D46" i="6"/>
  <c r="C46" i="6" s="1"/>
  <c r="AN46" i="6"/>
  <c r="AM46" i="6" s="1"/>
  <c r="AD46" i="6"/>
  <c r="AC46" i="6" s="1"/>
  <c r="N46" i="6"/>
  <c r="M46" i="6" s="1"/>
  <c r="AL46" i="6"/>
  <c r="AK46" i="6" s="1"/>
  <c r="Z46" i="6"/>
  <c r="Y46" i="6" s="1"/>
  <c r="L46" i="6"/>
  <c r="K46" i="6" s="1"/>
  <c r="AB46" i="6"/>
  <c r="AA46" i="6" s="1"/>
  <c r="B46" i="6"/>
  <c r="A46" i="6" s="1"/>
  <c r="V46" i="6"/>
  <c r="U46" i="6" s="1"/>
  <c r="K81" i="5"/>
  <c r="R49" i="6"/>
  <c r="Q49" i="6" s="1"/>
  <c r="AN49" i="6"/>
  <c r="AM49" i="6" s="1"/>
  <c r="T49" i="6"/>
  <c r="S49" i="6" s="1"/>
  <c r="AL49" i="6"/>
  <c r="AK49" i="6" s="1"/>
  <c r="P49" i="6"/>
  <c r="O49" i="6" s="1"/>
  <c r="AB49" i="6"/>
  <c r="AA49" i="6" s="1"/>
  <c r="H49" i="6"/>
  <c r="G49" i="6" s="1"/>
  <c r="F49" i="6"/>
  <c r="E49" i="6" s="1"/>
  <c r="X49" i="6"/>
  <c r="W49" i="6" s="1"/>
  <c r="B49" i="6"/>
  <c r="A49" i="6" s="1"/>
  <c r="AJ49" i="6"/>
  <c r="AI49" i="6" s="1"/>
  <c r="L49" i="6"/>
  <c r="K49" i="6" s="1"/>
  <c r="V49" i="6"/>
  <c r="U49" i="6" s="1"/>
  <c r="Z49" i="6"/>
  <c r="Y49" i="6" s="1"/>
  <c r="AH49" i="6"/>
  <c r="AG49" i="6" s="1"/>
  <c r="J49" i="6"/>
  <c r="I49" i="6" s="1"/>
  <c r="N49" i="6"/>
  <c r="M49" i="6" s="1"/>
  <c r="AD49" i="6"/>
  <c r="AC49" i="6" s="1"/>
  <c r="D49" i="6"/>
  <c r="C49" i="6" s="1"/>
  <c r="AF49" i="6"/>
  <c r="AE49" i="6" s="1"/>
  <c r="C27" i="6"/>
  <c r="J57" i="6"/>
  <c r="I57" i="6" s="1"/>
  <c r="AH57" i="6"/>
  <c r="AG57" i="6" s="1"/>
  <c r="N57" i="6"/>
  <c r="M57" i="6" s="1"/>
  <c r="X57" i="6"/>
  <c r="W57" i="6" s="1"/>
  <c r="B57" i="6"/>
  <c r="A57" i="6" s="1"/>
  <c r="Z57" i="6"/>
  <c r="Y57" i="6" s="1"/>
  <c r="AL57" i="6"/>
  <c r="AK57" i="6" s="1"/>
  <c r="H57" i="6"/>
  <c r="G57" i="6" s="1"/>
  <c r="R57" i="6"/>
  <c r="Q57" i="6" s="1"/>
  <c r="F57" i="6"/>
  <c r="E57" i="6" s="1"/>
  <c r="T57" i="6"/>
  <c r="S57" i="6" s="1"/>
  <c r="V57" i="6"/>
  <c r="U57" i="6" s="1"/>
  <c r="AN57" i="6"/>
  <c r="AM57" i="6" s="1"/>
  <c r="AD57" i="6"/>
  <c r="AC57" i="6" s="1"/>
  <c r="AB57" i="6"/>
  <c r="AA57" i="6" s="1"/>
  <c r="P57" i="6"/>
  <c r="O57" i="6" s="1"/>
  <c r="AJ57" i="6"/>
  <c r="AI57" i="6" s="1"/>
  <c r="AF57" i="6"/>
  <c r="AE57" i="6" s="1"/>
  <c r="L57" i="6"/>
  <c r="K57" i="6" s="1"/>
  <c r="D57" i="6"/>
  <c r="C57" i="6" s="1"/>
  <c r="B38" i="6"/>
  <c r="A38" i="6" s="1"/>
  <c r="AL38" i="6"/>
  <c r="AK38" i="6" s="1"/>
  <c r="V38" i="6"/>
  <c r="U38" i="6" s="1"/>
  <c r="AJ38" i="6"/>
  <c r="AI38" i="6" s="1"/>
  <c r="L38" i="6"/>
  <c r="K38" i="6" s="1"/>
  <c r="X38" i="6"/>
  <c r="W38" i="6" s="1"/>
  <c r="D38" i="6"/>
  <c r="C38" i="6" s="1"/>
  <c r="AN38" i="6"/>
  <c r="AM38" i="6" s="1"/>
  <c r="F38" i="6"/>
  <c r="E38" i="6" s="1"/>
  <c r="T38" i="6"/>
  <c r="S38" i="6" s="1"/>
  <c r="AH38" i="6"/>
  <c r="AG38" i="6" s="1"/>
  <c r="J38" i="6"/>
  <c r="I38" i="6" s="1"/>
  <c r="R38" i="6"/>
  <c r="Q38" i="6" s="1"/>
  <c r="AB38" i="6"/>
  <c r="AA38" i="6" s="1"/>
  <c r="AF38" i="6"/>
  <c r="AE38" i="6" s="1"/>
  <c r="Z38" i="6"/>
  <c r="Y38" i="6" s="1"/>
  <c r="AD38" i="6"/>
  <c r="AC38" i="6" s="1"/>
  <c r="N38" i="6"/>
  <c r="M38" i="6" s="1"/>
  <c r="H38" i="6"/>
  <c r="G38" i="6" s="1"/>
  <c r="P38" i="6"/>
  <c r="O38" i="6" s="1"/>
  <c r="B32" i="6"/>
  <c r="A32" i="6" s="1"/>
  <c r="AF32" i="6"/>
  <c r="X32" i="6"/>
  <c r="W32" i="6" s="1"/>
  <c r="F32" i="6"/>
  <c r="E32" i="6" s="1"/>
  <c r="H32" i="6"/>
  <c r="G32" i="6" s="1"/>
  <c r="D32" i="6"/>
  <c r="C32" i="6" s="1"/>
  <c r="P32" i="6"/>
  <c r="O32" i="6" s="1"/>
  <c r="AB32" i="6"/>
  <c r="AA32" i="6" s="1"/>
  <c r="J32" i="6"/>
  <c r="I32" i="6" s="1"/>
  <c r="AH32" i="6"/>
  <c r="Z32" i="6"/>
  <c r="Y32" i="6" s="1"/>
  <c r="AL32" i="6"/>
  <c r="AN32" i="6"/>
  <c r="AM32" i="6" s="1"/>
  <c r="T32" i="6"/>
  <c r="S32" i="6" s="1"/>
  <c r="AD32" i="6"/>
  <c r="AC32" i="6" s="1"/>
  <c r="N32" i="6"/>
  <c r="M32" i="6" s="1"/>
  <c r="AJ32" i="6"/>
  <c r="V32" i="6"/>
  <c r="U32" i="6" s="1"/>
  <c r="L32" i="6"/>
  <c r="K32" i="6" s="1"/>
  <c r="R32" i="6"/>
  <c r="Q32" i="6" s="1"/>
  <c r="T51" i="6"/>
  <c r="S51" i="6" s="1"/>
  <c r="B51" i="6"/>
  <c r="A51" i="6" s="1"/>
  <c r="X51" i="6"/>
  <c r="W51" i="6" s="1"/>
  <c r="R51" i="6"/>
  <c r="Q51" i="6" s="1"/>
  <c r="AN51" i="6"/>
  <c r="AM51" i="6" s="1"/>
  <c r="N51" i="6"/>
  <c r="M51" i="6" s="1"/>
  <c r="Z51" i="6"/>
  <c r="Y51" i="6" s="1"/>
  <c r="AL51" i="6"/>
  <c r="AK51" i="6" s="1"/>
  <c r="P51" i="6"/>
  <c r="O51" i="6" s="1"/>
  <c r="AB51" i="6"/>
  <c r="AA51" i="6" s="1"/>
  <c r="J51" i="6"/>
  <c r="I51" i="6" s="1"/>
  <c r="AD51" i="6"/>
  <c r="AC51" i="6" s="1"/>
  <c r="AF51" i="6"/>
  <c r="AE51" i="6" s="1"/>
  <c r="AJ51" i="6"/>
  <c r="AI51" i="6" s="1"/>
  <c r="L51" i="6"/>
  <c r="K51" i="6" s="1"/>
  <c r="V51" i="6"/>
  <c r="U51" i="6" s="1"/>
  <c r="E92" i="5"/>
  <c r="AH51" i="6"/>
  <c r="AG51" i="6" s="1"/>
  <c r="H51" i="6"/>
  <c r="G51" i="6" s="1"/>
  <c r="F51" i="6"/>
  <c r="E51" i="6" s="1"/>
  <c r="D51" i="6"/>
  <c r="C51" i="6" s="1"/>
  <c r="B33" i="6"/>
  <c r="A33" i="6" s="1"/>
  <c r="AF33" i="6"/>
  <c r="AE33" i="6" s="1"/>
  <c r="J33" i="6"/>
  <c r="I33" i="6" s="1"/>
  <c r="AD33" i="6"/>
  <c r="AC33" i="6" s="1"/>
  <c r="AB33" i="6"/>
  <c r="AA33" i="6" s="1"/>
  <c r="T33" i="6"/>
  <c r="S33" i="6" s="1"/>
  <c r="N33" i="6"/>
  <c r="M33" i="6" s="1"/>
  <c r="AH33" i="6"/>
  <c r="AG33" i="6" s="1"/>
  <c r="P33" i="6"/>
  <c r="O33" i="6" s="1"/>
  <c r="R33" i="6"/>
  <c r="Q33" i="6" s="1"/>
  <c r="X33" i="6"/>
  <c r="W33" i="6" s="1"/>
  <c r="V33" i="6"/>
  <c r="U33" i="6" s="1"/>
  <c r="L33" i="6"/>
  <c r="K33" i="6" s="1"/>
  <c r="Z33" i="6"/>
  <c r="Y33" i="6" s="1"/>
  <c r="F33" i="6"/>
  <c r="E33" i="6" s="1"/>
  <c r="D33" i="6"/>
  <c r="C33" i="6" s="1"/>
  <c r="AJ33" i="6"/>
  <c r="AI33" i="6" s="1"/>
  <c r="AN33" i="6"/>
  <c r="AM33" i="6" s="1"/>
  <c r="AL33" i="6"/>
  <c r="AK33" i="6" s="1"/>
  <c r="H33" i="6"/>
  <c r="G33" i="6" s="1"/>
  <c r="X39" i="6"/>
  <c r="W39" i="6" s="1"/>
  <c r="AH39" i="6"/>
  <c r="AG39" i="6" s="1"/>
  <c r="R39" i="6"/>
  <c r="Q39" i="6" s="1"/>
  <c r="F39" i="6"/>
  <c r="E39" i="6" s="1"/>
  <c r="B39" i="6"/>
  <c r="A39" i="6" s="1"/>
  <c r="AF39" i="6"/>
  <c r="AE39" i="6" s="1"/>
  <c r="L39" i="6"/>
  <c r="K39" i="6" s="1"/>
  <c r="AB39" i="6"/>
  <c r="AA39" i="6" s="1"/>
  <c r="H39" i="6"/>
  <c r="G39" i="6" s="1"/>
  <c r="AD39" i="6"/>
  <c r="AC39" i="6" s="1"/>
  <c r="D39" i="6"/>
  <c r="C39" i="6" s="1"/>
  <c r="AL39" i="6"/>
  <c r="AK39" i="6" s="1"/>
  <c r="V39" i="6"/>
  <c r="U39" i="6" s="1"/>
  <c r="N39" i="6"/>
  <c r="M39" i="6" s="1"/>
  <c r="Z39" i="6"/>
  <c r="Y39" i="6" s="1"/>
  <c r="AJ39" i="6"/>
  <c r="AI39" i="6" s="1"/>
  <c r="T39" i="6"/>
  <c r="S39" i="6" s="1"/>
  <c r="AN39" i="6"/>
  <c r="AM39" i="6" s="1"/>
  <c r="J39" i="6"/>
  <c r="I39" i="6" s="1"/>
  <c r="P39" i="6"/>
  <c r="O39" i="6" s="1"/>
  <c r="B34" i="6"/>
  <c r="A34" i="6" s="1"/>
  <c r="AH34" i="6"/>
  <c r="AG34" i="6" s="1"/>
  <c r="J34" i="6"/>
  <c r="I34" i="6" s="1"/>
  <c r="Z34" i="6"/>
  <c r="Y34" i="6" s="1"/>
  <c r="AJ34" i="6"/>
  <c r="AI34" i="6" s="1"/>
  <c r="T34" i="6"/>
  <c r="S34" i="6" s="1"/>
  <c r="AN34" i="6"/>
  <c r="AM34" i="6" s="1"/>
  <c r="N34" i="6"/>
  <c r="M34" i="6" s="1"/>
  <c r="H34" i="6"/>
  <c r="G34" i="6" s="1"/>
  <c r="X34" i="6"/>
  <c r="W34" i="6" s="1"/>
  <c r="L34" i="6"/>
  <c r="K34" i="6" s="1"/>
  <c r="R34" i="6"/>
  <c r="Q34" i="6" s="1"/>
  <c r="V34" i="6"/>
  <c r="U34" i="6" s="1"/>
  <c r="AF34" i="6"/>
  <c r="AE34" i="6" s="1"/>
  <c r="P34" i="6"/>
  <c r="O34" i="6" s="1"/>
  <c r="D34" i="6"/>
  <c r="C34" i="6" s="1"/>
  <c r="AD34" i="6"/>
  <c r="AC34" i="6" s="1"/>
  <c r="AL34" i="6"/>
  <c r="AK34" i="6" s="1"/>
  <c r="AB34" i="6"/>
  <c r="AA34" i="6" s="1"/>
  <c r="F34" i="6"/>
  <c r="E34" i="6" s="1"/>
  <c r="G81" i="5"/>
  <c r="X48" i="6"/>
  <c r="W48" i="6" s="1"/>
  <c r="D48" i="6"/>
  <c r="C48" i="6" s="1"/>
  <c r="V48" i="6"/>
  <c r="U48" i="6" s="1"/>
  <c r="T48" i="6"/>
  <c r="S48" i="6" s="1"/>
  <c r="B48" i="6"/>
  <c r="A48" i="6" s="1"/>
  <c r="AH48" i="6"/>
  <c r="AG48" i="6" s="1"/>
  <c r="N48" i="6"/>
  <c r="M48" i="6" s="1"/>
  <c r="R48" i="6"/>
  <c r="Q48" i="6" s="1"/>
  <c r="AN48" i="6"/>
  <c r="AM48" i="6" s="1"/>
  <c r="L48" i="6"/>
  <c r="K48" i="6" s="1"/>
  <c r="AF48" i="6"/>
  <c r="AE48" i="6" s="1"/>
  <c r="J48" i="6"/>
  <c r="I48" i="6" s="1"/>
  <c r="H48" i="6"/>
  <c r="G48" i="6" s="1"/>
  <c r="F48" i="6"/>
  <c r="E48" i="6" s="1"/>
  <c r="AL48" i="6"/>
  <c r="AK48" i="6" s="1"/>
  <c r="P48" i="6"/>
  <c r="O48" i="6" s="1"/>
  <c r="AB48" i="6"/>
  <c r="AA48" i="6" s="1"/>
  <c r="AJ48" i="6"/>
  <c r="AI48" i="6" s="1"/>
  <c r="AD48" i="6"/>
  <c r="AC48" i="6" s="1"/>
  <c r="Z48" i="6"/>
  <c r="Y48" i="6" s="1"/>
  <c r="B30" i="6"/>
  <c r="A30" i="6" s="1"/>
  <c r="R30" i="6"/>
  <c r="Q30" i="6" s="1"/>
  <c r="AF30" i="6"/>
  <c r="AE30" i="6" s="1"/>
  <c r="N30" i="6"/>
  <c r="M30" i="6" s="1"/>
  <c r="P30" i="6"/>
  <c r="O30" i="6" s="1"/>
  <c r="AJ30" i="6"/>
  <c r="AI30" i="6" s="1"/>
  <c r="AD30" i="6"/>
  <c r="AC30" i="6" s="1"/>
  <c r="J30" i="6"/>
  <c r="I30" i="6" s="1"/>
  <c r="AL30" i="6"/>
  <c r="AK30" i="6" s="1"/>
  <c r="H30" i="6"/>
  <c r="G30" i="6" s="1"/>
  <c r="AB30" i="6"/>
  <c r="AA30" i="6" s="1"/>
  <c r="V30" i="6"/>
  <c r="U30" i="6" s="1"/>
  <c r="X30" i="6"/>
  <c r="W30" i="6" s="1"/>
  <c r="T30" i="6"/>
  <c r="S30" i="6" s="1"/>
  <c r="AH30" i="6"/>
  <c r="AG30" i="6" s="1"/>
  <c r="L30" i="6"/>
  <c r="K30" i="6" s="1"/>
  <c r="AN30" i="6"/>
  <c r="AM30" i="6" s="1"/>
  <c r="Z30" i="6"/>
  <c r="Y30" i="6" s="1"/>
  <c r="D30" i="6"/>
  <c r="C30" i="6" s="1"/>
  <c r="F30" i="6"/>
  <c r="E30" i="6" s="1"/>
  <c r="AB50" i="6"/>
  <c r="AA50" i="6" s="1"/>
  <c r="X50" i="6"/>
  <c r="W50" i="6" s="1"/>
  <c r="D50" i="6"/>
  <c r="C50" i="6" s="1"/>
  <c r="AF50" i="6"/>
  <c r="AE50" i="6" s="1"/>
  <c r="V50" i="6"/>
  <c r="U50" i="6" s="1"/>
  <c r="T50" i="6"/>
  <c r="S50" i="6" s="1"/>
  <c r="B50" i="6"/>
  <c r="A50" i="6" s="1"/>
  <c r="Z50" i="6"/>
  <c r="Y50" i="6" s="1"/>
  <c r="M81" i="5"/>
  <c r="N50" i="6"/>
  <c r="M50" i="6" s="1"/>
  <c r="R50" i="6"/>
  <c r="Q50" i="6" s="1"/>
  <c r="L50" i="6"/>
  <c r="K50" i="6" s="1"/>
  <c r="AH50" i="6"/>
  <c r="AG50" i="6" s="1"/>
  <c r="AD50" i="6"/>
  <c r="AC50" i="6" s="1"/>
  <c r="AL50" i="6"/>
  <c r="AK50" i="6" s="1"/>
  <c r="P50" i="6"/>
  <c r="O50" i="6" s="1"/>
  <c r="AJ50" i="6"/>
  <c r="AI50" i="6" s="1"/>
  <c r="J50" i="6"/>
  <c r="I50" i="6" s="1"/>
  <c r="H50" i="6"/>
  <c r="G50" i="6" s="1"/>
  <c r="AN50" i="6"/>
  <c r="AM50" i="6" s="1"/>
  <c r="F50" i="6"/>
  <c r="E50" i="6" s="1"/>
  <c r="B29" i="6"/>
  <c r="A29" i="6" s="1"/>
  <c r="AN29" i="6"/>
  <c r="AM29" i="6" s="1"/>
  <c r="H29" i="6"/>
  <c r="G29" i="6" s="1"/>
  <c r="D29" i="6"/>
  <c r="C29" i="6" s="1"/>
  <c r="F29" i="6"/>
  <c r="E29" i="6" s="1"/>
  <c r="AF29" i="6"/>
  <c r="AE29" i="6" s="1"/>
  <c r="R29" i="6"/>
  <c r="Q29" i="6" s="1"/>
  <c r="T29" i="6"/>
  <c r="S29" i="6" s="1"/>
  <c r="AB29" i="6"/>
  <c r="AA29" i="6" s="1"/>
  <c r="P29" i="6"/>
  <c r="O29" i="6" s="1"/>
  <c r="AH29" i="6"/>
  <c r="AG29" i="6" s="1"/>
  <c r="N29" i="6"/>
  <c r="M29" i="6" s="1"/>
  <c r="Z29" i="6"/>
  <c r="Y29" i="6" s="1"/>
  <c r="AL29" i="6"/>
  <c r="AK29" i="6" s="1"/>
  <c r="X29" i="6"/>
  <c r="W29" i="6" s="1"/>
  <c r="L29" i="6"/>
  <c r="K29" i="6" s="1"/>
  <c r="J29" i="6"/>
  <c r="I29" i="6" s="1"/>
  <c r="AD29" i="6"/>
  <c r="AC29" i="6" s="1"/>
  <c r="AJ29" i="6"/>
  <c r="AI29" i="6" s="1"/>
  <c r="V29" i="6"/>
  <c r="U29" i="6" s="1"/>
  <c r="M92" i="5"/>
  <c r="AJ54" i="6"/>
  <c r="AI54" i="6" s="1"/>
  <c r="AH54" i="6"/>
  <c r="AG54" i="6" s="1"/>
  <c r="AD54" i="6"/>
  <c r="AC54" i="6" s="1"/>
  <c r="X54" i="6"/>
  <c r="W54" i="6" s="1"/>
  <c r="V54" i="6"/>
  <c r="U54" i="6" s="1"/>
  <c r="D54" i="6"/>
  <c r="C54" i="6" s="1"/>
  <c r="Z54" i="6"/>
  <c r="Y54" i="6" s="1"/>
  <c r="R54" i="6"/>
  <c r="Q54" i="6" s="1"/>
  <c r="F54" i="6"/>
  <c r="E54" i="6" s="1"/>
  <c r="J54" i="6"/>
  <c r="I54" i="6" s="1"/>
  <c r="B54" i="6"/>
  <c r="A54" i="6" s="1"/>
  <c r="H54" i="6"/>
  <c r="G54" i="6" s="1"/>
  <c r="AN54" i="6"/>
  <c r="AM54" i="6" s="1"/>
  <c r="T54" i="6"/>
  <c r="S54" i="6" s="1"/>
  <c r="L54" i="6"/>
  <c r="K54" i="6" s="1"/>
  <c r="P54" i="6"/>
  <c r="O54" i="6" s="1"/>
  <c r="AF54" i="6"/>
  <c r="AE54" i="6" s="1"/>
  <c r="AL54" i="6"/>
  <c r="AK54" i="6" s="1"/>
  <c r="N54" i="6"/>
  <c r="M54" i="6" s="1"/>
  <c r="AB54" i="6"/>
  <c r="AA54" i="6" s="1"/>
  <c r="C38" i="2"/>
  <c r="C39" i="2" s="1"/>
  <c r="C229" i="2"/>
  <c r="E229" i="2" s="1"/>
  <c r="C44" i="2"/>
  <c r="C43" i="2"/>
  <c r="C53" i="2"/>
  <c r="G87" i="5"/>
  <c r="G98" i="5"/>
  <c r="C954" i="2"/>
  <c r="E954" i="2" s="1"/>
  <c r="M954" i="2"/>
  <c r="O954" i="2" s="1"/>
  <c r="C373" i="2"/>
  <c r="E373" i="2" s="1"/>
  <c r="C230" i="2"/>
  <c r="E230" i="2" s="1"/>
  <c r="C242" i="2" s="1"/>
  <c r="C243" i="2" s="1"/>
  <c r="M955" i="2"/>
  <c r="O955" i="2" s="1"/>
  <c r="C955" i="2"/>
  <c r="E955" i="2" s="1"/>
  <c r="E159" i="2"/>
  <c r="C164" i="2" s="1"/>
  <c r="C1320" i="2"/>
  <c r="E1320" i="2" s="1"/>
  <c r="C1393" i="2"/>
  <c r="E1393" i="2" s="1"/>
  <c r="B217" i="2"/>
  <c r="B216" i="2"/>
  <c r="C168" i="2"/>
  <c r="C169" i="2"/>
  <c r="B144" i="2"/>
  <c r="E85" i="2"/>
  <c r="C1174" i="2"/>
  <c r="E1174" i="2" s="1"/>
  <c r="C1247" i="2"/>
  <c r="C102" i="2"/>
  <c r="C101" i="2"/>
  <c r="C807" i="2"/>
  <c r="C372" i="2"/>
  <c r="E372" i="2" s="1"/>
  <c r="O880" i="2"/>
  <c r="C806" i="2"/>
  <c r="C1559" i="2"/>
  <c r="C231" i="2"/>
  <c r="E231" i="2" s="1"/>
  <c r="C1557" i="2"/>
  <c r="C663" i="2"/>
  <c r="E663" i="2" s="1"/>
  <c r="E880" i="2"/>
  <c r="E158" i="2"/>
  <c r="C1392" i="2"/>
  <c r="E1392" i="2" s="1"/>
  <c r="C1319" i="2"/>
  <c r="E1319" i="2" s="1"/>
  <c r="B215" i="2"/>
  <c r="B145" i="2"/>
  <c r="E86" i="2"/>
  <c r="C93" i="2" s="1"/>
  <c r="C1175" i="2"/>
  <c r="E1175" i="2" s="1"/>
  <c r="C1248" i="2"/>
  <c r="B146" i="2"/>
  <c r="C228" i="2"/>
  <c r="C662" i="2"/>
  <c r="E662" i="2" s="1"/>
  <c r="M12" i="6" l="1"/>
  <c r="F92" i="5" s="1"/>
  <c r="F94" i="5" s="1"/>
  <c r="M7" i="6"/>
  <c r="D81" i="5" s="1"/>
  <c r="D83" i="5" s="1"/>
  <c r="C12" i="6"/>
  <c r="H12" i="5" s="1"/>
  <c r="M14" i="6"/>
  <c r="L92" i="5" s="1"/>
  <c r="L94" i="5" s="1"/>
  <c r="M10" i="6"/>
  <c r="L81" i="5" s="1"/>
  <c r="L83" i="5" s="1"/>
  <c r="C16" i="6"/>
  <c r="M8" i="6"/>
  <c r="F81" i="5" s="1"/>
  <c r="F83" i="5" s="1"/>
  <c r="E86" i="5" s="1"/>
  <c r="C24" i="6"/>
  <c r="C7" i="6"/>
  <c r="B24" i="5" s="1"/>
  <c r="M9" i="6"/>
  <c r="J81" i="5" s="1"/>
  <c r="J83" i="5" s="1"/>
  <c r="M11" i="6"/>
  <c r="D92" i="5" s="1"/>
  <c r="D94" i="5" s="1"/>
  <c r="E97" i="5" s="1"/>
  <c r="M13" i="6"/>
  <c r="J92" i="5" s="1"/>
  <c r="J94" i="5" s="1"/>
  <c r="K97" i="5" s="1"/>
  <c r="C17" i="6"/>
  <c r="C11" i="6"/>
  <c r="L74" i="5"/>
  <c r="H14" i="5"/>
  <c r="D30" i="5" s="1"/>
  <c r="F30" i="5" s="1"/>
  <c r="C8" i="6"/>
  <c r="B12" i="5" s="1"/>
  <c r="C55" i="2"/>
  <c r="E61" i="2" s="1"/>
  <c r="F66" i="2" s="1"/>
  <c r="F67" i="2" s="1"/>
  <c r="F68" i="2" s="1"/>
  <c r="F69" i="2" s="1"/>
  <c r="E1248" i="2"/>
  <c r="M1537" i="2"/>
  <c r="C46" i="2"/>
  <c r="C48" i="2"/>
  <c r="C50" i="2" s="1"/>
  <c r="E1247" i="2"/>
  <c r="C1259" i="2" s="1"/>
  <c r="C1260" i="2" s="1"/>
  <c r="M1536" i="2"/>
  <c r="B288" i="2"/>
  <c r="C104" i="2"/>
  <c r="C1331" i="2"/>
  <c r="C1332" i="2" s="1"/>
  <c r="C1404" i="2"/>
  <c r="C1405" i="2" s="1"/>
  <c r="C170" i="2"/>
  <c r="C171" i="2" s="1"/>
  <c r="I209" i="2"/>
  <c r="J209" i="2"/>
  <c r="C1564" i="2"/>
  <c r="C1561" i="2"/>
  <c r="C1562" i="2" s="1"/>
  <c r="M964" i="2"/>
  <c r="M965" i="2" s="1"/>
  <c r="M890" i="2"/>
  <c r="M891" i="2" s="1"/>
  <c r="C890" i="2"/>
  <c r="C891" i="2" s="1"/>
  <c r="C1186" i="2"/>
  <c r="C1187" i="2" s="1"/>
  <c r="C674" i="2"/>
  <c r="C675" i="2" s="1"/>
  <c r="C964" i="2"/>
  <c r="C965" i="2" s="1"/>
  <c r="C95" i="2"/>
  <c r="C96" i="2" s="1"/>
  <c r="J138" i="2"/>
  <c r="I138" i="2"/>
  <c r="B287" i="2"/>
  <c r="E228" i="2"/>
  <c r="B289" i="2"/>
  <c r="C382" i="2"/>
  <c r="C383" i="2" s="1"/>
  <c r="C175" i="2"/>
  <c r="C236" i="2"/>
  <c r="E806" i="2"/>
  <c r="B865" i="2"/>
  <c r="B867" i="2"/>
  <c r="B866" i="2"/>
  <c r="E807" i="2"/>
  <c r="C814" i="2" s="1"/>
  <c r="C244" i="2"/>
  <c r="C245" i="2"/>
  <c r="N12" i="5" l="1"/>
  <c r="N14" i="5" s="1"/>
  <c r="F76" i="5" s="1"/>
  <c r="I12" i="5"/>
  <c r="I14" i="5" s="1"/>
  <c r="M76" i="5" s="1"/>
  <c r="M12" i="5"/>
  <c r="M14" i="5" s="1"/>
  <c r="B14" i="5"/>
  <c r="D76" i="5" s="1"/>
  <c r="D74" i="5"/>
  <c r="L76" i="5"/>
  <c r="D14" i="9"/>
  <c r="F14" i="9" s="1"/>
  <c r="C57" i="2"/>
  <c r="O1536" i="2"/>
  <c r="P1533" i="2"/>
  <c r="L1595" i="2"/>
  <c r="O1537" i="2"/>
  <c r="L1596" i="2"/>
  <c r="L1597" i="2"/>
  <c r="C816" i="2"/>
  <c r="C817" i="2" s="1"/>
  <c r="J859" i="2"/>
  <c r="I859" i="2"/>
  <c r="C238" i="2"/>
  <c r="C239" i="2" s="1"/>
  <c r="J281" i="2"/>
  <c r="I281" i="2"/>
  <c r="C97" i="2"/>
  <c r="C98" i="2"/>
  <c r="C1619" i="2"/>
  <c r="C1620" i="2" s="1"/>
  <c r="C247" i="2"/>
  <c r="C384" i="2"/>
  <c r="C385" i="2"/>
  <c r="C967" i="2"/>
  <c r="C966" i="2"/>
  <c r="C1576" i="2"/>
  <c r="C1566" i="2"/>
  <c r="C1567" i="2"/>
  <c r="C1262" i="2"/>
  <c r="C1261" i="2"/>
  <c r="C892" i="2"/>
  <c r="C893" i="2"/>
  <c r="M893" i="2"/>
  <c r="M892" i="2"/>
  <c r="C173" i="2"/>
  <c r="C172" i="2"/>
  <c r="C825" i="2"/>
  <c r="C676" i="2"/>
  <c r="C677" i="2"/>
  <c r="C1188" i="2"/>
  <c r="C1189" i="2"/>
  <c r="M966" i="2"/>
  <c r="M967" i="2"/>
  <c r="C1406" i="2"/>
  <c r="C1407" i="2"/>
  <c r="C1333" i="2"/>
  <c r="C1334" i="2"/>
  <c r="M74" i="5" l="1"/>
  <c r="F74" i="5"/>
  <c r="B28" i="9"/>
  <c r="S1589" i="2"/>
  <c r="M1544" i="2"/>
  <c r="T1589" i="2"/>
  <c r="M1546" i="2"/>
  <c r="M1547" i="2" s="1"/>
  <c r="C177" i="2"/>
  <c r="C184" i="2" s="1"/>
  <c r="C108" i="2"/>
  <c r="C241" i="2"/>
  <c r="C240" i="2"/>
  <c r="C1569" i="2"/>
  <c r="C1571" i="2"/>
  <c r="C1573" i="2" s="1"/>
  <c r="C1622" i="2"/>
  <c r="C1621" i="2"/>
  <c r="H31" i="3"/>
  <c r="C179" i="2"/>
  <c r="C1578" i="2"/>
  <c r="E1584" i="2" s="1"/>
  <c r="F1589" i="2" s="1"/>
  <c r="C819" i="2"/>
  <c r="C818" i="2"/>
  <c r="C106" i="2"/>
  <c r="M1555" i="2" l="1"/>
  <c r="M1548" i="2"/>
  <c r="M1549" i="2"/>
  <c r="C829" i="2"/>
  <c r="C827" i="2"/>
  <c r="C834" i="2" s="1"/>
  <c r="C181" i="2"/>
  <c r="C182" i="2" s="1"/>
  <c r="F1590" i="2"/>
  <c r="F1591" i="2" s="1"/>
  <c r="F1592" i="2" s="1"/>
  <c r="J1590" i="2"/>
  <c r="J67" i="2"/>
  <c r="C187" i="2"/>
  <c r="C186" i="2"/>
  <c r="C196" i="2"/>
  <c r="C110" i="2"/>
  <c r="C111" i="2" s="1"/>
  <c r="C113" i="2"/>
  <c r="C1580" i="2"/>
  <c r="C251" i="2"/>
  <c r="C249" i="2"/>
  <c r="M1557" i="2" l="1"/>
  <c r="M1564" i="2" s="1"/>
  <c r="M1559" i="2"/>
  <c r="C831" i="2"/>
  <c r="C832" i="2" s="1"/>
  <c r="C191" i="2"/>
  <c r="C193" i="2" s="1"/>
  <c r="C189" i="2"/>
  <c r="C200" i="2" s="1"/>
  <c r="C115" i="2"/>
  <c r="C116" i="2"/>
  <c r="C125" i="2"/>
  <c r="C253" i="2"/>
  <c r="C254" i="2" s="1"/>
  <c r="C256" i="2"/>
  <c r="C198" i="2"/>
  <c r="E204" i="2" s="1"/>
  <c r="F209" i="2" s="1"/>
  <c r="C846" i="2"/>
  <c r="C837" i="2"/>
  <c r="C836" i="2"/>
  <c r="M1561" i="2" l="1"/>
  <c r="M1562" i="2" s="1"/>
  <c r="M1567" i="2"/>
  <c r="M1566" i="2"/>
  <c r="M1576" i="2"/>
  <c r="C127" i="2"/>
  <c r="E133" i="2" s="1"/>
  <c r="F138" i="2" s="1"/>
  <c r="F139" i="2" s="1"/>
  <c r="F140" i="2" s="1"/>
  <c r="F141" i="2" s="1"/>
  <c r="C848" i="2"/>
  <c r="E854" i="2" s="1"/>
  <c r="F859" i="2" s="1"/>
  <c r="F210" i="2"/>
  <c r="F211" i="2" s="1"/>
  <c r="F212" i="2" s="1"/>
  <c r="J210" i="2"/>
  <c r="C259" i="2"/>
  <c r="C258" i="2"/>
  <c r="C268" i="2"/>
  <c r="C839" i="2"/>
  <c r="C841" i="2"/>
  <c r="C843" i="2" s="1"/>
  <c r="C120" i="2"/>
  <c r="C122" i="2" s="1"/>
  <c r="C118" i="2"/>
  <c r="J139" i="2" l="1"/>
  <c r="M1578" i="2"/>
  <c r="O1584" i="2" s="1"/>
  <c r="P1589" i="2" s="1"/>
  <c r="M1569" i="2"/>
  <c r="M1571" i="2"/>
  <c r="M1573" i="2" s="1"/>
  <c r="C850" i="2"/>
  <c r="C129" i="2"/>
  <c r="C270" i="2"/>
  <c r="E276" i="2" s="1"/>
  <c r="F281" i="2" s="1"/>
  <c r="C263" i="2"/>
  <c r="C265" i="2" s="1"/>
  <c r="C261" i="2"/>
  <c r="F860" i="2"/>
  <c r="F861" i="2" s="1"/>
  <c r="F862" i="2" s="1"/>
  <c r="J860" i="2"/>
  <c r="F282" i="2" l="1"/>
  <c r="F283" i="2" s="1"/>
  <c r="F284" i="2" s="1"/>
  <c r="J282" i="2"/>
  <c r="C272" i="2"/>
  <c r="M1580" i="2"/>
  <c r="P1590" i="2"/>
  <c r="P1591" i="2" s="1"/>
  <c r="P1592" i="2" s="1"/>
  <c r="T1590" i="2"/>
  <c r="AE32" i="6"/>
  <c r="AE36" i="6"/>
  <c r="AG32" i="6"/>
  <c r="AG36" i="6"/>
  <c r="AI32" i="6"/>
  <c r="AI36" i="6"/>
  <c r="AK32" i="6"/>
  <c r="AK36" i="6"/>
  <c r="C10" i="6" l="1"/>
  <c r="G12" i="5" s="1"/>
  <c r="C14" i="6"/>
  <c r="N24" i="5" s="1"/>
  <c r="G14" i="5" l="1"/>
  <c r="K74" i="5"/>
  <c r="A37" i="6"/>
  <c r="D29" i="5" l="1"/>
  <c r="D12" i="9"/>
  <c r="F12" i="9" s="1"/>
  <c r="K76" i="5"/>
  <c r="AB37" i="6"/>
  <c r="AA37" i="6" s="1"/>
  <c r="X37" i="6"/>
  <c r="W37" i="6" s="1"/>
  <c r="D37" i="6"/>
  <c r="C37" i="6" s="1"/>
  <c r="AN37" i="6"/>
  <c r="AM37" i="6" s="1"/>
  <c r="T37" i="6"/>
  <c r="S37" i="6" s="1"/>
  <c r="P37" i="6"/>
  <c r="O37" i="6" s="1"/>
  <c r="D13" i="6"/>
  <c r="L37" i="6"/>
  <c r="K37" i="6" s="1"/>
  <c r="AJ37" i="6"/>
  <c r="AI37" i="6" s="1"/>
  <c r="AF37" i="6"/>
  <c r="AE37" i="6" s="1"/>
  <c r="N37" i="6"/>
  <c r="M37" i="6" s="1"/>
  <c r="AD37" i="6"/>
  <c r="AC37" i="6" s="1"/>
  <c r="H37" i="6"/>
  <c r="G37" i="6" s="1"/>
  <c r="AL37" i="6"/>
  <c r="AK37" i="6" s="1"/>
  <c r="V37" i="6"/>
  <c r="U37" i="6" s="1"/>
  <c r="F37" i="6"/>
  <c r="E37" i="6" s="1"/>
  <c r="AH37" i="6"/>
  <c r="AG37" i="6" s="1"/>
  <c r="Z37" i="6"/>
  <c r="Y37" i="6" s="1"/>
  <c r="R37" i="6"/>
  <c r="Q37" i="6" s="1"/>
  <c r="J37" i="6"/>
  <c r="I37" i="6" s="1"/>
  <c r="F29" i="5" l="1"/>
  <c r="D13" i="9"/>
  <c r="F13" i="9" s="1"/>
  <c r="B35" i="6"/>
  <c r="A35" i="6" s="1"/>
  <c r="C15" i="6"/>
  <c r="J35" i="6"/>
  <c r="I35" i="6" s="1"/>
  <c r="L35" i="6"/>
  <c r="K35" i="6" s="1"/>
  <c r="AH35" i="6"/>
  <c r="AG35" i="6" s="1"/>
  <c r="AN35" i="6"/>
  <c r="AM35" i="6" s="1"/>
  <c r="AD35" i="6"/>
  <c r="AC35" i="6" s="1"/>
  <c r="V35" i="6"/>
  <c r="U35" i="6" s="1"/>
  <c r="T35" i="6"/>
  <c r="S35" i="6" s="1"/>
  <c r="AJ35" i="6"/>
  <c r="AI35" i="6" s="1"/>
  <c r="X35" i="6"/>
  <c r="W35" i="6" s="1"/>
  <c r="AL35" i="6"/>
  <c r="AK35" i="6" s="1"/>
  <c r="AB35" i="6"/>
  <c r="AA35" i="6" s="1"/>
  <c r="AF35" i="6"/>
  <c r="AE35" i="6" s="1"/>
  <c r="Z35" i="6"/>
  <c r="Y35" i="6" s="1"/>
  <c r="R35" i="6"/>
  <c r="Q35" i="6" s="1"/>
  <c r="F35" i="6"/>
  <c r="E35" i="6" s="1"/>
  <c r="H35" i="6"/>
  <c r="G35" i="6" s="1"/>
  <c r="N35" i="6"/>
  <c r="M35" i="6" s="1"/>
  <c r="P35" i="6"/>
  <c r="O35" i="6" s="1"/>
  <c r="D35" i="6"/>
  <c r="C35" i="6" s="1"/>
  <c r="C13" i="6" l="1"/>
  <c r="O12" i="5" s="1"/>
  <c r="J31" i="6"/>
  <c r="I31" i="6" s="1"/>
  <c r="R31" i="6"/>
  <c r="Q31" i="6" s="1"/>
  <c r="Z31" i="6"/>
  <c r="Y31" i="6" s="1"/>
  <c r="AH31" i="6"/>
  <c r="AG31" i="6" s="1"/>
  <c r="D31" i="6"/>
  <c r="C31" i="6" s="1"/>
  <c r="L31" i="6"/>
  <c r="K31" i="6" s="1"/>
  <c r="T31" i="6"/>
  <c r="S31" i="6" s="1"/>
  <c r="AB31" i="6"/>
  <c r="AA31" i="6" s="1"/>
  <c r="AJ31" i="6"/>
  <c r="AI31" i="6" s="1"/>
  <c r="H31" i="6"/>
  <c r="G31" i="6" s="1"/>
  <c r="AD31" i="6"/>
  <c r="AC31" i="6" s="1"/>
  <c r="AN31" i="6"/>
  <c r="AM31" i="6" s="1"/>
  <c r="V31" i="6"/>
  <c r="U31" i="6" s="1"/>
  <c r="N31" i="6"/>
  <c r="M31" i="6" s="1"/>
  <c r="P31" i="6"/>
  <c r="O31" i="6" s="1"/>
  <c r="AL31" i="6"/>
  <c r="AK31" i="6" s="1"/>
  <c r="F31" i="6"/>
  <c r="E31" i="6" s="1"/>
  <c r="AF31" i="6"/>
  <c r="AE31" i="6" s="1"/>
  <c r="X31" i="6"/>
  <c r="W31" i="6" s="1"/>
  <c r="O14" i="5" l="1"/>
  <c r="C9" i="6"/>
  <c r="C12" i="5" l="1"/>
  <c r="C14" i="5" s="1"/>
  <c r="J23" i="5" s="1"/>
  <c r="F10" i="9" s="1"/>
  <c r="J45" i="6"/>
  <c r="I45" i="6" s="1"/>
  <c r="AJ45" i="6"/>
  <c r="AI45" i="6" s="1"/>
  <c r="X45" i="6"/>
  <c r="W45" i="6" s="1"/>
  <c r="R45" i="6"/>
  <c r="Q45" i="6" s="1"/>
  <c r="H45" i="6"/>
  <c r="G45" i="6" s="1"/>
  <c r="L45" i="6"/>
  <c r="K45" i="6" s="1"/>
  <c r="N45" i="6"/>
  <c r="M45" i="6" s="1"/>
  <c r="Z45" i="6"/>
  <c r="Y45" i="6" s="1"/>
  <c r="AD45" i="6"/>
  <c r="AC45" i="6" s="1"/>
  <c r="AH45" i="6"/>
  <c r="AG45" i="6" s="1"/>
  <c r="T45" i="6"/>
  <c r="S45" i="6" s="1"/>
  <c r="AN45" i="6"/>
  <c r="AM45" i="6" s="1"/>
  <c r="F45" i="6"/>
  <c r="E45" i="6" s="1"/>
  <c r="D45" i="6"/>
  <c r="C45" i="6" s="1"/>
  <c r="P45" i="6"/>
  <c r="O45" i="6" s="1"/>
  <c r="AL45" i="6"/>
  <c r="AK45" i="6" s="1"/>
  <c r="V45" i="6"/>
  <c r="U45" i="6" s="1"/>
  <c r="AF45" i="6"/>
  <c r="AE45" i="6" s="1"/>
  <c r="B45" i="6"/>
  <c r="A45" i="6" s="1"/>
  <c r="AB45" i="6"/>
  <c r="AA45" i="6" s="1"/>
  <c r="E74" i="5"/>
  <c r="C23" i="6" l="1"/>
  <c r="M18" i="5" s="1"/>
  <c r="E76" i="5"/>
  <c r="M21" i="5" l="1"/>
  <c r="M20" i="5"/>
  <c r="D10" i="9"/>
  <c r="C1617" i="2" l="1"/>
  <c r="B1669" i="2"/>
  <c r="B1670" i="2"/>
  <c r="B1668" i="2"/>
  <c r="C1623" i="2" l="1"/>
  <c r="C1624" i="2" s="1"/>
  <c r="J1662" i="2"/>
  <c r="I1662" i="2"/>
  <c r="C1628" i="2"/>
  <c r="C1625" i="2" l="1"/>
  <c r="C1626" i="2"/>
  <c r="C1630" i="2" l="1"/>
  <c r="C1637" i="2" s="1"/>
  <c r="C1632" i="2"/>
  <c r="C1634" i="2" l="1"/>
  <c r="C1635" i="2" s="1"/>
  <c r="C1640" i="2"/>
  <c r="C1639" i="2"/>
  <c r="C1649" i="2"/>
  <c r="C1651" i="2" l="1"/>
  <c r="E1657" i="2" s="1"/>
  <c r="F1662" i="2" s="1"/>
  <c r="C1642" i="2"/>
  <c r="C1644" i="2"/>
  <c r="C1646" i="2" s="1"/>
  <c r="F1663" i="2" l="1"/>
  <c r="F1664" i="2" s="1"/>
  <c r="F1665" i="2" s="1"/>
  <c r="J1663" i="2"/>
  <c r="C1653" i="2"/>
  <c r="F1533" i="2" l="1"/>
  <c r="F1606" i="2"/>
  <c r="L1465" i="2" l="1"/>
  <c r="L1477" i="2"/>
  <c r="L1478" i="2" s="1"/>
  <c r="L1479" i="2" s="1"/>
  <c r="L1466" i="2"/>
  <c r="L1471" i="2"/>
  <c r="R1516" i="2"/>
  <c r="S1516" i="2"/>
  <c r="B43" i="6" l="1"/>
  <c r="A43" i="6" s="1"/>
  <c r="L43" i="6"/>
  <c r="K43" i="6" s="1"/>
  <c r="AD43" i="6"/>
  <c r="AC43" i="6" s="1"/>
  <c r="T43" i="6"/>
  <c r="S43" i="6" s="1"/>
  <c r="R43" i="6"/>
  <c r="Q43" i="6" s="1"/>
  <c r="Z43" i="6"/>
  <c r="Y43" i="6" s="1"/>
  <c r="AB43" i="6"/>
  <c r="AA43" i="6" s="1"/>
  <c r="J43" i="6"/>
  <c r="I43" i="6" s="1"/>
  <c r="AH43" i="6"/>
  <c r="AG43" i="6" s="1"/>
  <c r="V43" i="6"/>
  <c r="U43" i="6" s="1"/>
  <c r="P43" i="6"/>
  <c r="O43" i="6" s="1"/>
  <c r="F43" i="6"/>
  <c r="E43" i="6" s="1"/>
  <c r="X43" i="6"/>
  <c r="W43" i="6" s="1"/>
  <c r="AL43" i="6"/>
  <c r="AK43" i="6" s="1"/>
  <c r="AJ43" i="6"/>
  <c r="AI43" i="6" s="1"/>
  <c r="N43" i="6"/>
  <c r="M43" i="6" s="1"/>
  <c r="AF43" i="6"/>
  <c r="AE43" i="6" s="1"/>
  <c r="AN43" i="6"/>
  <c r="AM43" i="6" s="1"/>
  <c r="H43" i="6"/>
  <c r="G43" i="6" s="1"/>
  <c r="D43" i="6"/>
  <c r="C43" i="6" s="1"/>
  <c r="L14" i="5"/>
  <c r="K1524" i="2"/>
  <c r="K1522" i="2"/>
  <c r="L1480" i="2"/>
  <c r="L1482" i="2"/>
  <c r="K1523" i="2"/>
  <c r="C21" i="6" l="1"/>
  <c r="L1484" i="2"/>
  <c r="L1486" i="2"/>
  <c r="L1491" i="2" l="1"/>
  <c r="L1488" i="2"/>
  <c r="L1489" i="2" s="1"/>
  <c r="L1494" i="2" l="1"/>
  <c r="L1503" i="2"/>
  <c r="L1493" i="2"/>
  <c r="L1505" i="2" l="1"/>
  <c r="N1511" i="2" s="1"/>
  <c r="O1516" i="2" s="1"/>
  <c r="L1496" i="2"/>
  <c r="L1498" i="2"/>
  <c r="L1500" i="2" s="1"/>
  <c r="L1507" i="2" l="1"/>
  <c r="O1517" i="2"/>
  <c r="O1518" i="2" s="1"/>
  <c r="O1519" i="2" s="1"/>
  <c r="S1517" i="2"/>
  <c r="D14" i="5" l="1"/>
  <c r="V42" i="6"/>
  <c r="U42" i="6" s="1"/>
  <c r="P44" i="6"/>
  <c r="O44" i="6" s="1"/>
  <c r="N42" i="6"/>
  <c r="M42" i="6" s="1"/>
  <c r="T42" i="6" l="1"/>
  <c r="S42" i="6" s="1"/>
  <c r="AN42" i="6"/>
  <c r="AM42" i="6" s="1"/>
  <c r="L44" i="6"/>
  <c r="K44" i="6" s="1"/>
  <c r="D44" i="6"/>
  <c r="C44" i="6" s="1"/>
  <c r="V44" i="6"/>
  <c r="U44" i="6" s="1"/>
  <c r="AN44" i="6"/>
  <c r="AM44" i="6" s="1"/>
  <c r="N44" i="6"/>
  <c r="M44" i="6" s="1"/>
  <c r="AF44" i="6"/>
  <c r="AE44" i="6" s="1"/>
  <c r="H44" i="6"/>
  <c r="G44" i="6" s="1"/>
  <c r="R44" i="6"/>
  <c r="Q44" i="6" s="1"/>
  <c r="AJ44" i="6"/>
  <c r="AI44" i="6" s="1"/>
  <c r="F44" i="6"/>
  <c r="E44" i="6" s="1"/>
  <c r="X44" i="6"/>
  <c r="W44" i="6" s="1"/>
  <c r="AL44" i="6"/>
  <c r="AK44" i="6" s="1"/>
  <c r="Z44" i="6"/>
  <c r="Y44" i="6" s="1"/>
  <c r="J44" i="6"/>
  <c r="I44" i="6" s="1"/>
  <c r="AB44" i="6"/>
  <c r="AA44" i="6" s="1"/>
  <c r="T44" i="6"/>
  <c r="S44" i="6" s="1"/>
  <c r="B44" i="6"/>
  <c r="A44" i="6" s="1"/>
  <c r="AH44" i="6"/>
  <c r="AG44" i="6" s="1"/>
  <c r="AD44" i="6"/>
  <c r="AC44" i="6" s="1"/>
  <c r="F42" i="6"/>
  <c r="E42" i="6" s="1"/>
  <c r="X42" i="6"/>
  <c r="W42" i="6" s="1"/>
  <c r="AH42" i="6"/>
  <c r="AG42" i="6" s="1"/>
  <c r="P42" i="6"/>
  <c r="O42" i="6" s="1"/>
  <c r="Z42" i="6"/>
  <c r="Y42" i="6" s="1"/>
  <c r="H42" i="6"/>
  <c r="G42" i="6" s="1"/>
  <c r="R42" i="6"/>
  <c r="Q42" i="6" s="1"/>
  <c r="AJ42" i="6"/>
  <c r="AI42" i="6" s="1"/>
  <c r="L42" i="6"/>
  <c r="K42" i="6" s="1"/>
  <c r="AD42" i="6"/>
  <c r="AC42" i="6" s="1"/>
  <c r="J42" i="6"/>
  <c r="I42" i="6" s="1"/>
  <c r="AB42" i="6"/>
  <c r="AA42" i="6" s="1"/>
  <c r="B42" i="6"/>
  <c r="A42" i="6" s="1"/>
  <c r="AF42" i="6"/>
  <c r="AE42" i="6" s="1"/>
  <c r="D42" i="6"/>
  <c r="C42" i="6" s="1"/>
  <c r="AL42" i="6"/>
  <c r="AK42" i="6" s="1"/>
  <c r="F61" i="5"/>
  <c r="D25" i="5"/>
  <c r="E25" i="5"/>
  <c r="C20" i="6" l="1"/>
  <c r="C22" i="6"/>
  <c r="D18" i="5" s="1"/>
  <c r="D20" i="5" s="1"/>
  <c r="G61" i="5"/>
  <c r="H61" i="5"/>
  <c r="E61" i="5"/>
  <c r="E26" i="5" l="1"/>
  <c r="D21" i="5"/>
  <c r="D26" i="5"/>
  <c r="I61" i="5"/>
  <c r="J61" i="5" s="1"/>
  <c r="F18" i="9"/>
  <c r="H18" i="9"/>
  <c r="D19" i="9"/>
  <c r="F19" i="9"/>
  <c r="H19" i="9"/>
  <c r="I27" i="3"/>
  <c r="J27" i="3" s="1"/>
  <c r="I28" i="3"/>
  <c r="J28" i="3" s="1"/>
  <c r="D14" i="10" s="1"/>
  <c r="I29" i="3"/>
  <c r="J29" i="3" s="1"/>
  <c r="D16" i="10" s="1"/>
  <c r="B16" i="10" s="1"/>
  <c r="K31" i="3"/>
  <c r="O39" i="5" s="1"/>
  <c r="H32" i="3"/>
  <c r="K33" i="3"/>
  <c r="ES3" i="1"/>
  <c r="AS9" i="1"/>
  <c r="DM9" i="1"/>
  <c r="O20" i="5"/>
  <c r="B21" i="5"/>
  <c r="O21" i="5"/>
  <c r="L38" i="5"/>
  <c r="L39" i="5" s="1"/>
  <c r="B39" i="5"/>
  <c r="B40" i="5" s="1"/>
  <c r="D18" i="6"/>
  <c r="R40" i="6" s="1"/>
  <c r="Q40" i="6" s="1"/>
  <c r="D19" i="6"/>
  <c r="P41" i="6" s="1"/>
  <c r="O41" i="6" s="1"/>
  <c r="D25" i="6"/>
  <c r="F55" i="6" s="1"/>
  <c r="E55" i="6" s="1"/>
  <c r="D26" i="6"/>
  <c r="N56" i="6" s="1"/>
  <c r="M56" i="6" s="1"/>
  <c r="G293" i="2"/>
  <c r="G365" i="2" s="1"/>
  <c r="H293" i="2"/>
  <c r="H365" i="2" s="1"/>
  <c r="G294" i="2"/>
  <c r="H294" i="2"/>
  <c r="D438" i="2" s="1"/>
  <c r="D582" i="2" s="1"/>
  <c r="G437" i="2"/>
  <c r="C509" i="2" s="1"/>
  <c r="H437" i="2"/>
  <c r="D509" i="2" s="1"/>
  <c r="G438" i="2"/>
  <c r="H438" i="2"/>
  <c r="D510" i="2" s="1"/>
  <c r="G509" i="2"/>
  <c r="G581" i="2" s="1"/>
  <c r="H509" i="2"/>
  <c r="H581" i="2" s="1"/>
  <c r="G510" i="2"/>
  <c r="G582" i="2" s="1"/>
  <c r="H510" i="2"/>
  <c r="H582" i="2" s="1"/>
  <c r="C653" i="2"/>
  <c r="D653" i="2"/>
  <c r="D725" i="2" s="1"/>
  <c r="C654" i="2"/>
  <c r="C726" i="2" s="1"/>
  <c r="D654" i="2"/>
  <c r="D726" i="2" s="1"/>
  <c r="C882" i="2"/>
  <c r="F877" i="2" s="1"/>
  <c r="M882" i="2"/>
  <c r="C883" i="2"/>
  <c r="M883" i="2"/>
  <c r="C956" i="2"/>
  <c r="E956" i="2" s="1"/>
  <c r="M956" i="2"/>
  <c r="C957" i="2"/>
  <c r="W955" i="2" s="1"/>
  <c r="M957" i="2"/>
  <c r="W957" i="2" s="1"/>
  <c r="C1027" i="2"/>
  <c r="E1027" i="2" s="1"/>
  <c r="C1037" i="2" s="1"/>
  <c r="C1038" i="2" s="1"/>
  <c r="C1040" i="2" s="1"/>
  <c r="C1028" i="2"/>
  <c r="E1028" i="2" s="1"/>
  <c r="C1029" i="2"/>
  <c r="E1029" i="2" s="1"/>
  <c r="C1030" i="2"/>
  <c r="C1100" i="2"/>
  <c r="E1100" i="2" s="1"/>
  <c r="C1101" i="2"/>
  <c r="E1101" i="2" s="1"/>
  <c r="C1102" i="2"/>
  <c r="E1102" i="2" s="1"/>
  <c r="C1114" i="2" s="1"/>
  <c r="C1115" i="2" s="1"/>
  <c r="C1103" i="2"/>
  <c r="E1103" i="2" s="1"/>
  <c r="C1172" i="2"/>
  <c r="E1172" i="2" s="1"/>
  <c r="C1173" i="2"/>
  <c r="C1245" i="2"/>
  <c r="C1246" i="2"/>
  <c r="E1246" i="2" s="1"/>
  <c r="C1253" i="2" s="1"/>
  <c r="C1317" i="2"/>
  <c r="C1318" i="2"/>
  <c r="C1390" i="2"/>
  <c r="E1390" i="2" s="1"/>
  <c r="C1400" i="2" s="1"/>
  <c r="C1401" i="2" s="1"/>
  <c r="C1391" i="2"/>
  <c r="E1465" i="2"/>
  <c r="C1477" i="2" s="1"/>
  <c r="C1478" i="2" s="1"/>
  <c r="C1480" i="2" s="1"/>
  <c r="E1466" i="2"/>
  <c r="C42" i="5" l="1"/>
  <c r="M34" i="5"/>
  <c r="F39" i="5"/>
  <c r="F40" i="5" s="1"/>
  <c r="B20" i="5"/>
  <c r="B34" i="9"/>
  <c r="C18" i="9"/>
  <c r="O957" i="2"/>
  <c r="M962" i="2" s="1"/>
  <c r="M973" i="2" s="1"/>
  <c r="V56" i="6"/>
  <c r="U56" i="6" s="1"/>
  <c r="B1013" i="2"/>
  <c r="AN56" i="6"/>
  <c r="AM56" i="6" s="1"/>
  <c r="Z56" i="6"/>
  <c r="Y56" i="6" s="1"/>
  <c r="X56" i="6"/>
  <c r="W56" i="6" s="1"/>
  <c r="B56" i="6"/>
  <c r="A56" i="6" s="1"/>
  <c r="T56" i="6"/>
  <c r="S56" i="6" s="1"/>
  <c r="O41" i="5"/>
  <c r="O42" i="5" s="1"/>
  <c r="D56" i="6"/>
  <c r="C56" i="6" s="1"/>
  <c r="AJ55" i="6"/>
  <c r="AI55" i="6" s="1"/>
  <c r="C1479" i="2"/>
  <c r="C374" i="2"/>
  <c r="E374" i="2" s="1"/>
  <c r="AJ56" i="6"/>
  <c r="AI56" i="6" s="1"/>
  <c r="AF56" i="6"/>
  <c r="AE56" i="6" s="1"/>
  <c r="H56" i="6"/>
  <c r="G56" i="6" s="1"/>
  <c r="AB56" i="6"/>
  <c r="AA56" i="6" s="1"/>
  <c r="F56" i="6"/>
  <c r="E56" i="6" s="1"/>
  <c r="AL56" i="6"/>
  <c r="AK56" i="6" s="1"/>
  <c r="P56" i="6"/>
  <c r="O56" i="6" s="1"/>
  <c r="J56" i="6"/>
  <c r="I56" i="6" s="1"/>
  <c r="R55" i="6"/>
  <c r="Q55" i="6" s="1"/>
  <c r="N55" i="6"/>
  <c r="M55" i="6" s="1"/>
  <c r="H55" i="6"/>
  <c r="G55" i="6" s="1"/>
  <c r="D55" i="6"/>
  <c r="C55" i="6" s="1"/>
  <c r="AL55" i="6"/>
  <c r="AK55" i="6" s="1"/>
  <c r="AB55" i="6"/>
  <c r="AA55" i="6" s="1"/>
  <c r="Z55" i="6"/>
  <c r="Y55" i="6" s="1"/>
  <c r="C591" i="2"/>
  <c r="E591" i="2" s="1"/>
  <c r="C303" i="2"/>
  <c r="E303" i="2" s="1"/>
  <c r="C308" i="2" s="1"/>
  <c r="C519" i="2"/>
  <c r="E519" i="2" s="1"/>
  <c r="K32" i="3"/>
  <c r="H366" i="2"/>
  <c r="C518" i="2"/>
  <c r="E518" i="2" s="1"/>
  <c r="C530" i="2" s="1"/>
  <c r="C531" i="2" s="1"/>
  <c r="C302" i="2"/>
  <c r="B1232" i="2"/>
  <c r="C1108" i="2"/>
  <c r="C1119" i="2" s="1"/>
  <c r="E957" i="2"/>
  <c r="C962" i="2" s="1"/>
  <c r="C973" i="2" s="1"/>
  <c r="AH56" i="6"/>
  <c r="AG56" i="6" s="1"/>
  <c r="R56" i="6"/>
  <c r="Q56" i="6" s="1"/>
  <c r="AD56" i="6"/>
  <c r="AC56" i="6" s="1"/>
  <c r="L56" i="6"/>
  <c r="K56" i="6" s="1"/>
  <c r="F50" i="5"/>
  <c r="E50" i="5" s="1"/>
  <c r="O50" i="5" s="1"/>
  <c r="AL41" i="6"/>
  <c r="AK41" i="6" s="1"/>
  <c r="N41" i="6"/>
  <c r="M41" i="6" s="1"/>
  <c r="AJ41" i="6"/>
  <c r="AI41" i="6" s="1"/>
  <c r="L41" i="6"/>
  <c r="K41" i="6" s="1"/>
  <c r="C39" i="5"/>
  <c r="AH41" i="6"/>
  <c r="AG41" i="6" s="1"/>
  <c r="F41" i="6"/>
  <c r="E41" i="6" s="1"/>
  <c r="AN55" i="6"/>
  <c r="AM55" i="6" s="1"/>
  <c r="P55" i="6"/>
  <c r="O55" i="6" s="1"/>
  <c r="D41" i="6"/>
  <c r="C41" i="6" s="1"/>
  <c r="Z41" i="6"/>
  <c r="Y41" i="6" s="1"/>
  <c r="X41" i="6"/>
  <c r="W41" i="6" s="1"/>
  <c r="B41" i="6"/>
  <c r="A41" i="6" s="1"/>
  <c r="C34" i="5"/>
  <c r="AD55" i="6"/>
  <c r="AC55" i="6" s="1"/>
  <c r="V41" i="6"/>
  <c r="U41" i="6" s="1"/>
  <c r="E1317" i="2"/>
  <c r="B1376" i="2"/>
  <c r="C1373" i="2" s="1"/>
  <c r="F47" i="5"/>
  <c r="O956" i="2"/>
  <c r="M968" i="2" s="1"/>
  <c r="M969" i="2" s="1"/>
  <c r="M970" i="2" s="1"/>
  <c r="W956" i="2"/>
  <c r="Y956" i="2" s="1"/>
  <c r="W968" i="2" s="1"/>
  <c r="W969" i="2" s="1"/>
  <c r="W970" i="2" s="1"/>
  <c r="L1013" i="2"/>
  <c r="L1015" i="2"/>
  <c r="L1014" i="2"/>
  <c r="E1245" i="2"/>
  <c r="B1305" i="2"/>
  <c r="B1306" i="2"/>
  <c r="C968" i="2"/>
  <c r="C969" i="2" s="1"/>
  <c r="C970" i="2" s="1"/>
  <c r="L941" i="2"/>
  <c r="L940" i="2"/>
  <c r="D40" i="6"/>
  <c r="C40" i="6" s="1"/>
  <c r="Z40" i="6"/>
  <c r="Y40" i="6" s="1"/>
  <c r="B40" i="6"/>
  <c r="A40" i="6" s="1"/>
  <c r="AH40" i="6"/>
  <c r="AG40" i="6" s="1"/>
  <c r="J40" i="6"/>
  <c r="I40" i="6" s="1"/>
  <c r="E1318" i="2"/>
  <c r="C1325" i="2" s="1"/>
  <c r="B1377" i="2"/>
  <c r="B1378" i="2"/>
  <c r="O40" i="5"/>
  <c r="B14" i="10"/>
  <c r="Y8" i="1"/>
  <c r="Y957" i="2"/>
  <c r="Z8" i="1"/>
  <c r="N34" i="5"/>
  <c r="N35" i="5" s="1"/>
  <c r="C1116" i="2"/>
  <c r="C1117" i="2"/>
  <c r="B1015" i="2"/>
  <c r="W954" i="2"/>
  <c r="O882" i="2"/>
  <c r="M894" i="2" s="1"/>
  <c r="M895" i="2" s="1"/>
  <c r="M897" i="2" s="1"/>
  <c r="W882" i="2"/>
  <c r="Y882" i="2" s="1"/>
  <c r="W947" i="2"/>
  <c r="D12" i="10"/>
  <c r="W881" i="2"/>
  <c r="Y881" i="2" s="1"/>
  <c r="B941" i="2"/>
  <c r="C447" i="2"/>
  <c r="E447" i="2" s="1"/>
  <c r="C510" i="2"/>
  <c r="C517" i="2" s="1"/>
  <c r="E517" i="2" s="1"/>
  <c r="B1014" i="2"/>
  <c r="D34" i="5"/>
  <c r="F51" i="5"/>
  <c r="G39" i="5"/>
  <c r="G40" i="5" s="1"/>
  <c r="H39" i="5"/>
  <c r="H40" i="5" s="1"/>
  <c r="B940" i="2"/>
  <c r="D437" i="2"/>
  <c r="J55" i="6"/>
  <c r="I55" i="6" s="1"/>
  <c r="T55" i="6"/>
  <c r="S55" i="6" s="1"/>
  <c r="AF55" i="6"/>
  <c r="AE55" i="6" s="1"/>
  <c r="B55" i="6"/>
  <c r="A55" i="6" s="1"/>
  <c r="L55" i="6"/>
  <c r="K55" i="6" s="1"/>
  <c r="V55" i="6"/>
  <c r="U55" i="6" s="1"/>
  <c r="X55" i="6"/>
  <c r="W55" i="6" s="1"/>
  <c r="AH55" i="6"/>
  <c r="AG55" i="6" s="1"/>
  <c r="L939" i="2"/>
  <c r="C733" i="2"/>
  <c r="C1464" i="2" s="1"/>
  <c r="E1464" i="2" s="1"/>
  <c r="C1471" i="2" s="1"/>
  <c r="C437" i="2"/>
  <c r="C581" i="2" s="1"/>
  <c r="H41" i="6"/>
  <c r="G41" i="6" s="1"/>
  <c r="R41" i="6"/>
  <c r="Q41" i="6" s="1"/>
  <c r="AB41" i="6"/>
  <c r="AA41" i="6" s="1"/>
  <c r="AN41" i="6"/>
  <c r="AM41" i="6" s="1"/>
  <c r="T41" i="6"/>
  <c r="S41" i="6" s="1"/>
  <c r="AD41" i="6"/>
  <c r="AC41" i="6" s="1"/>
  <c r="J41" i="6"/>
  <c r="I41" i="6" s="1"/>
  <c r="AF41" i="6"/>
  <c r="AE41" i="6" s="1"/>
  <c r="AN40" i="6"/>
  <c r="AM40" i="6" s="1"/>
  <c r="AF40" i="6"/>
  <c r="AE40" i="6" s="1"/>
  <c r="X40" i="6"/>
  <c r="W40" i="6" s="1"/>
  <c r="P40" i="6"/>
  <c r="O40" i="6" s="1"/>
  <c r="H40" i="6"/>
  <c r="G40" i="6" s="1"/>
  <c r="AL40" i="6"/>
  <c r="AK40" i="6" s="1"/>
  <c r="AD40" i="6"/>
  <c r="AC40" i="6" s="1"/>
  <c r="V40" i="6"/>
  <c r="U40" i="6" s="1"/>
  <c r="N40" i="6"/>
  <c r="M40" i="6" s="1"/>
  <c r="F40" i="6"/>
  <c r="E40" i="6" s="1"/>
  <c r="AJ40" i="6"/>
  <c r="AI40" i="6" s="1"/>
  <c r="AB40" i="6"/>
  <c r="AA40" i="6" s="1"/>
  <c r="T40" i="6"/>
  <c r="S40" i="6" s="1"/>
  <c r="L40" i="6"/>
  <c r="K40" i="6" s="1"/>
  <c r="C1182" i="2"/>
  <c r="C1183" i="2" s="1"/>
  <c r="E1391" i="2"/>
  <c r="B1449" i="2"/>
  <c r="B1450" i="2"/>
  <c r="C1402" i="2"/>
  <c r="C1403" i="2"/>
  <c r="B1088" i="2"/>
  <c r="E1030" i="2"/>
  <c r="C1035" i="2" s="1"/>
  <c r="B1086" i="2"/>
  <c r="B1451" i="2"/>
  <c r="J1153" i="2"/>
  <c r="C1110" i="2"/>
  <c r="C1111" i="2" s="1"/>
  <c r="I1153" i="2"/>
  <c r="B1233" i="2"/>
  <c r="E1173" i="2"/>
  <c r="C1180" i="2" s="1"/>
  <c r="B1231" i="2"/>
  <c r="C1041" i="2"/>
  <c r="C1042" i="2" s="1"/>
  <c r="B1087" i="2"/>
  <c r="B1161" i="2"/>
  <c r="Y955" i="2"/>
  <c r="B1304" i="2"/>
  <c r="C1264" i="2"/>
  <c r="B1160" i="2"/>
  <c r="C1039" i="2"/>
  <c r="C516" i="2"/>
  <c r="B1159" i="2"/>
  <c r="C590" i="2"/>
  <c r="E590" i="2" s="1"/>
  <c r="E882" i="2"/>
  <c r="C725" i="2"/>
  <c r="G366" i="2"/>
  <c r="C438" i="2"/>
  <c r="W880" i="2"/>
  <c r="C446" i="2"/>
  <c r="E446" i="2" s="1"/>
  <c r="B939" i="2"/>
  <c r="O883" i="2"/>
  <c r="W883" i="2"/>
  <c r="Y883" i="2" s="1"/>
  <c r="C660" i="2"/>
  <c r="C661" i="2"/>
  <c r="E883" i="2"/>
  <c r="C888" i="2" s="1"/>
  <c r="C36" i="5" l="1"/>
  <c r="B46" i="9"/>
  <c r="C40" i="5"/>
  <c r="J35" i="5"/>
  <c r="G35" i="5"/>
  <c r="F57" i="5"/>
  <c r="L42" i="5"/>
  <c r="L41" i="5" s="1"/>
  <c r="I1373" i="2"/>
  <c r="C1313" i="2" s="1"/>
  <c r="E1361" i="2"/>
  <c r="C1312" i="2" s="1"/>
  <c r="F1314" i="2" s="1"/>
  <c r="C1361" i="2"/>
  <c r="I1007" i="2"/>
  <c r="I1370" i="2"/>
  <c r="I1371" i="2" s="1"/>
  <c r="J1007" i="2"/>
  <c r="M896" i="2"/>
  <c r="W962" i="2"/>
  <c r="W973" i="2" s="1"/>
  <c r="C1327" i="2"/>
  <c r="C1328" i="2" s="1"/>
  <c r="C1329" i="2" s="1"/>
  <c r="B359" i="2"/>
  <c r="C26" i="6"/>
  <c r="V1013" i="2"/>
  <c r="J1080" i="2"/>
  <c r="J1370" i="2"/>
  <c r="J1371" i="2" s="1"/>
  <c r="W971" i="2"/>
  <c r="S1007" i="2"/>
  <c r="W888" i="2"/>
  <c r="W899" i="2" s="1"/>
  <c r="C35" i="5"/>
  <c r="C375" i="2"/>
  <c r="B431" i="2" s="1"/>
  <c r="H50" i="5"/>
  <c r="I50" i="5" s="1"/>
  <c r="J50" i="5" s="1"/>
  <c r="E302" i="2"/>
  <c r="C314" i="2" s="1"/>
  <c r="C315" i="2" s="1"/>
  <c r="B360" i="2"/>
  <c r="C524" i="2"/>
  <c r="C535" i="2" s="1"/>
  <c r="B361" i="2"/>
  <c r="J1373" i="2"/>
  <c r="C1314" i="2" s="1"/>
  <c r="F1373" i="2"/>
  <c r="G36" i="5"/>
  <c r="M971" i="2"/>
  <c r="M977" i="2" s="1"/>
  <c r="E733" i="2"/>
  <c r="C740" i="2" s="1"/>
  <c r="C751" i="2" s="1"/>
  <c r="F53" i="5"/>
  <c r="E53" i="5" s="1"/>
  <c r="C19" i="6"/>
  <c r="C25" i="6"/>
  <c r="C1482" i="2"/>
  <c r="V1015" i="2"/>
  <c r="M53" i="5"/>
  <c r="C444" i="2"/>
  <c r="E444" i="2" s="1"/>
  <c r="C454" i="2" s="1"/>
  <c r="C455" i="2" s="1"/>
  <c r="D581" i="2"/>
  <c r="C588" i="2" s="1"/>
  <c r="E588" i="2" s="1"/>
  <c r="C598" i="2" s="1"/>
  <c r="C599" i="2" s="1"/>
  <c r="M58" i="5"/>
  <c r="M52" i="5"/>
  <c r="F49" i="5"/>
  <c r="E36" i="5"/>
  <c r="E35" i="5"/>
  <c r="M54" i="5"/>
  <c r="H47" i="5"/>
  <c r="O47" i="5"/>
  <c r="E47" i="5"/>
  <c r="M36" i="5"/>
  <c r="M35" i="5"/>
  <c r="F54" i="5"/>
  <c r="M61" i="5"/>
  <c r="M51" i="5"/>
  <c r="M55" i="5"/>
  <c r="E51" i="5"/>
  <c r="H51" i="5"/>
  <c r="I51" i="5" s="1"/>
  <c r="J51" i="5" s="1"/>
  <c r="B12" i="10"/>
  <c r="X8" i="1"/>
  <c r="Y954" i="2"/>
  <c r="AD1007" i="2" s="1"/>
  <c r="C1255" i="2"/>
  <c r="C1256" i="2" s="1"/>
  <c r="I1298" i="2"/>
  <c r="J1298" i="2"/>
  <c r="C18" i="6"/>
  <c r="B577" i="2"/>
  <c r="V1014" i="2"/>
  <c r="C971" i="2"/>
  <c r="C975" i="2" s="1"/>
  <c r="T1007" i="2"/>
  <c r="D36" i="5"/>
  <c r="D35" i="5"/>
  <c r="F48" i="5"/>
  <c r="C1336" i="2"/>
  <c r="B721" i="2"/>
  <c r="E661" i="2"/>
  <c r="C668" i="2" s="1"/>
  <c r="B720" i="2"/>
  <c r="I1225" i="2"/>
  <c r="Y880" i="2"/>
  <c r="AC933" i="2" s="1"/>
  <c r="V939" i="2"/>
  <c r="M888" i="2"/>
  <c r="S933" i="2"/>
  <c r="T933" i="2"/>
  <c r="C319" i="2"/>
  <c r="C924" i="2"/>
  <c r="C936" i="2"/>
  <c r="E924" i="2"/>
  <c r="C875" i="2" s="1"/>
  <c r="F936" i="2"/>
  <c r="I936" i="2"/>
  <c r="C876" i="2" s="1"/>
  <c r="J936" i="2"/>
  <c r="C877" i="2" s="1"/>
  <c r="V940" i="2"/>
  <c r="B575" i="2"/>
  <c r="E516" i="2"/>
  <c r="C1046" i="2"/>
  <c r="W894" i="2"/>
  <c r="W895" i="2" s="1"/>
  <c r="V941" i="2"/>
  <c r="C1044" i="2"/>
  <c r="C1043" i="2"/>
  <c r="C1184" i="2"/>
  <c r="C1185" i="2"/>
  <c r="C732" i="2"/>
  <c r="C458" i="2"/>
  <c r="C459" i="2" s="1"/>
  <c r="C602" i="2"/>
  <c r="C603" i="2" s="1"/>
  <c r="C582" i="2"/>
  <c r="C589" i="2" s="1"/>
  <c r="C445" i="2"/>
  <c r="I1080" i="2"/>
  <c r="C1113" i="2"/>
  <c r="C1112" i="2"/>
  <c r="C1398" i="2"/>
  <c r="J1443" i="2"/>
  <c r="I1443" i="2"/>
  <c r="C386" i="2"/>
  <c r="C387" i="2" s="1"/>
  <c r="C894" i="2"/>
  <c r="C895" i="2" s="1"/>
  <c r="I933" i="2"/>
  <c r="I934" i="2" s="1"/>
  <c r="J933" i="2"/>
  <c r="J934" i="2" s="1"/>
  <c r="C532" i="2"/>
  <c r="C533" i="2"/>
  <c r="B719" i="2"/>
  <c r="E660" i="2"/>
  <c r="C899" i="2"/>
  <c r="C1191" i="2"/>
  <c r="B576" i="2"/>
  <c r="J1225" i="2"/>
  <c r="H57" i="5" l="1"/>
  <c r="I57" i="5" s="1"/>
  <c r="J57" i="5" s="1"/>
  <c r="N18" i="5"/>
  <c r="N20" i="5" s="1"/>
  <c r="N21" i="5" s="1"/>
  <c r="C18" i="5"/>
  <c r="C20" i="5" s="1"/>
  <c r="G57" i="5"/>
  <c r="E57" i="5"/>
  <c r="O57" i="5" s="1"/>
  <c r="M975" i="2"/>
  <c r="M979" i="2" s="1"/>
  <c r="M980" i="2" s="1"/>
  <c r="M60" i="5"/>
  <c r="C1330" i="2"/>
  <c r="C1340" i="2" s="1"/>
  <c r="B432" i="2"/>
  <c r="C1050" i="2"/>
  <c r="J353" i="2"/>
  <c r="E375" i="2"/>
  <c r="C380" i="2" s="1"/>
  <c r="C391" i="2" s="1"/>
  <c r="I353" i="2"/>
  <c r="B433" i="2"/>
  <c r="C1193" i="2"/>
  <c r="C1200" i="2" s="1"/>
  <c r="C977" i="2"/>
  <c r="C979" i="2" s="1"/>
  <c r="C980" i="2" s="1"/>
  <c r="AC1007" i="2"/>
  <c r="W964" i="2"/>
  <c r="W965" i="2" s="1"/>
  <c r="W966" i="2" s="1"/>
  <c r="H53" i="5"/>
  <c r="F25" i="5"/>
  <c r="I47" i="5"/>
  <c r="J47" i="5" s="1"/>
  <c r="D39" i="5"/>
  <c r="C21" i="5"/>
  <c r="F42" i="5" s="1"/>
  <c r="C1258" i="2"/>
  <c r="C1257" i="2"/>
  <c r="O48" i="5"/>
  <c r="E48" i="5"/>
  <c r="H48" i="5"/>
  <c r="I48" i="5" s="1"/>
  <c r="E54" i="5"/>
  <c r="H54" i="5"/>
  <c r="I54" i="5" s="1"/>
  <c r="O49" i="5"/>
  <c r="H49" i="5"/>
  <c r="E49" i="5"/>
  <c r="C1048" i="2"/>
  <c r="M899" i="2"/>
  <c r="C600" i="2"/>
  <c r="C601" i="2"/>
  <c r="B791" i="2"/>
  <c r="E732" i="2"/>
  <c r="C1463" i="2"/>
  <c r="B793" i="2"/>
  <c r="B792" i="2"/>
  <c r="C1123" i="2"/>
  <c r="E445" i="2"/>
  <c r="B504" i="2"/>
  <c r="B505" i="2"/>
  <c r="C670" i="2"/>
  <c r="C671" i="2" s="1"/>
  <c r="I713" i="2"/>
  <c r="J713" i="2"/>
  <c r="C896" i="2"/>
  <c r="C897" i="2"/>
  <c r="B648" i="2"/>
  <c r="B649" i="2"/>
  <c r="E589" i="2"/>
  <c r="B647" i="2"/>
  <c r="C460" i="2"/>
  <c r="C461" i="2"/>
  <c r="C388" i="2"/>
  <c r="C389" i="2"/>
  <c r="B503" i="2"/>
  <c r="C1195" i="2"/>
  <c r="C1121" i="2"/>
  <c r="C1409" i="2"/>
  <c r="C456" i="2"/>
  <c r="C457" i="2"/>
  <c r="W897" i="2"/>
  <c r="W896" i="2"/>
  <c r="C982" i="2"/>
  <c r="C604" i="2"/>
  <c r="C605" i="2"/>
  <c r="W890" i="2"/>
  <c r="W891" i="2" s="1"/>
  <c r="AD933" i="2"/>
  <c r="C316" i="2"/>
  <c r="C317" i="2"/>
  <c r="C526" i="2"/>
  <c r="C527" i="2" s="1"/>
  <c r="J569" i="2"/>
  <c r="I569" i="2"/>
  <c r="C679" i="2"/>
  <c r="M25" i="5" l="1"/>
  <c r="L25" i="5"/>
  <c r="I25" i="5"/>
  <c r="K25" i="5" s="1"/>
  <c r="F26" i="5"/>
  <c r="F27" i="5"/>
  <c r="E27" i="5"/>
  <c r="M982" i="2"/>
  <c r="M984" i="2" s="1"/>
  <c r="C1338" i="2"/>
  <c r="C1342" i="2" s="1"/>
  <c r="C1343" i="2" s="1"/>
  <c r="W967" i="2"/>
  <c r="W975" i="2" s="1"/>
  <c r="J425" i="2"/>
  <c r="C1197" i="2"/>
  <c r="C1198" i="2" s="1"/>
  <c r="I425" i="2"/>
  <c r="I53" i="5"/>
  <c r="J53" i="5" s="1"/>
  <c r="C1268" i="2"/>
  <c r="I49" i="5"/>
  <c r="J49" i="5" s="1"/>
  <c r="J48" i="5"/>
  <c r="J66" i="5"/>
  <c r="D40" i="5"/>
  <c r="J54" i="5"/>
  <c r="D27" i="5"/>
  <c r="B42" i="5"/>
  <c r="C1266" i="2"/>
  <c r="C1411" i="2"/>
  <c r="C1413" i="2"/>
  <c r="C596" i="2"/>
  <c r="I641" i="2"/>
  <c r="J641" i="2"/>
  <c r="C742" i="2"/>
  <c r="C743" i="2" s="1"/>
  <c r="I785" i="2"/>
  <c r="J785" i="2"/>
  <c r="C393" i="2"/>
  <c r="C672" i="2"/>
  <c r="C673" i="2"/>
  <c r="C323" i="2"/>
  <c r="C1125" i="2"/>
  <c r="C1126" i="2" s="1"/>
  <c r="C1128" i="2"/>
  <c r="C395" i="2"/>
  <c r="C1202" i="2"/>
  <c r="C1212" i="2"/>
  <c r="C1203" i="2"/>
  <c r="C528" i="2"/>
  <c r="C529" i="2"/>
  <c r="C1055" i="2"/>
  <c r="C1052" i="2"/>
  <c r="C1053" i="2" s="1"/>
  <c r="C901" i="2"/>
  <c r="C321" i="2"/>
  <c r="W892" i="2"/>
  <c r="W893" i="2"/>
  <c r="C985" i="2"/>
  <c r="C984" i="2"/>
  <c r="C994" i="2"/>
  <c r="C903" i="2"/>
  <c r="C452" i="2"/>
  <c r="I497" i="2"/>
  <c r="J497" i="2"/>
  <c r="E1463" i="2"/>
  <c r="B1524" i="2"/>
  <c r="B1522" i="2"/>
  <c r="B1523" i="2"/>
  <c r="M901" i="2"/>
  <c r="M903" i="2"/>
  <c r="M994" i="2" l="1"/>
  <c r="M996" i="2" s="1"/>
  <c r="O1002" i="2" s="1"/>
  <c r="P1007" i="2" s="1"/>
  <c r="M985" i="2"/>
  <c r="W977" i="2"/>
  <c r="C1345" i="2"/>
  <c r="C1348" i="2" s="1"/>
  <c r="C681" i="2"/>
  <c r="C688" i="2" s="1"/>
  <c r="C1214" i="2"/>
  <c r="E1220" i="2" s="1"/>
  <c r="F1225" i="2" s="1"/>
  <c r="F1226" i="2" s="1"/>
  <c r="F1227" i="2" s="1"/>
  <c r="F1228" i="2" s="1"/>
  <c r="C996" i="2"/>
  <c r="E1002" i="2" s="1"/>
  <c r="F1007" i="2" s="1"/>
  <c r="F1008" i="2" s="1"/>
  <c r="F1009" i="2" s="1"/>
  <c r="F1010" i="2" s="1"/>
  <c r="K28" i="5"/>
  <c r="L28" i="5"/>
  <c r="D42" i="5"/>
  <c r="C1273" i="2"/>
  <c r="C1270" i="2"/>
  <c r="C1271" i="2" s="1"/>
  <c r="M908" i="2"/>
  <c r="M905" i="2"/>
  <c r="M906" i="2" s="1"/>
  <c r="W982" i="2"/>
  <c r="W979" i="2"/>
  <c r="W980" i="2" s="1"/>
  <c r="M989" i="2"/>
  <c r="M991" i="2" s="1"/>
  <c r="M987" i="2"/>
  <c r="J1226" i="2"/>
  <c r="C328" i="2"/>
  <c r="C325" i="2"/>
  <c r="C326" i="2" s="1"/>
  <c r="J1008" i="2"/>
  <c r="C744" i="2"/>
  <c r="C745" i="2"/>
  <c r="C1418" i="2"/>
  <c r="C1415" i="2"/>
  <c r="C1416" i="2" s="1"/>
  <c r="C463" i="2"/>
  <c r="C908" i="2"/>
  <c r="C905" i="2"/>
  <c r="C906" i="2" s="1"/>
  <c r="C1057" i="2"/>
  <c r="C1058" i="2"/>
  <c r="C1067" i="2"/>
  <c r="C1473" i="2"/>
  <c r="C1474" i="2" s="1"/>
  <c r="J1516" i="2"/>
  <c r="I1516" i="2"/>
  <c r="C1347" i="2"/>
  <c r="C1131" i="2"/>
  <c r="C1140" i="2"/>
  <c r="C1130" i="2"/>
  <c r="C683" i="2"/>
  <c r="J1299" i="2"/>
  <c r="C400" i="2"/>
  <c r="C397" i="2"/>
  <c r="C398" i="2" s="1"/>
  <c r="W903" i="2"/>
  <c r="C987" i="2"/>
  <c r="C989" i="2"/>
  <c r="C991" i="2" s="1"/>
  <c r="W901" i="2"/>
  <c r="C537" i="2"/>
  <c r="C539" i="2"/>
  <c r="C1205" i="2"/>
  <c r="C1216" i="2" s="1"/>
  <c r="C1207" i="2"/>
  <c r="C1209" i="2" s="1"/>
  <c r="C607" i="2"/>
  <c r="C1357" i="2" l="1"/>
  <c r="C1359" i="2" s="1"/>
  <c r="E1365" i="2" s="1"/>
  <c r="F1370" i="2" s="1"/>
  <c r="F1371" i="2" s="1"/>
  <c r="F1372" i="2" s="1"/>
  <c r="G42" i="5"/>
  <c r="I26" i="5"/>
  <c r="C685" i="2"/>
  <c r="C686" i="2" s="1"/>
  <c r="C1275" i="2"/>
  <c r="C1285" i="2"/>
  <c r="C1276" i="2"/>
  <c r="C1142" i="2"/>
  <c r="E1148" i="2" s="1"/>
  <c r="F1153" i="2" s="1"/>
  <c r="F1154" i="2" s="1"/>
  <c r="F1155" i="2" s="1"/>
  <c r="F1156" i="2" s="1"/>
  <c r="C1420" i="2"/>
  <c r="C1421" i="2"/>
  <c r="C1430" i="2"/>
  <c r="P1008" i="2"/>
  <c r="P1009" i="2" s="1"/>
  <c r="P1010" i="2" s="1"/>
  <c r="T1008" i="2"/>
  <c r="C755" i="2"/>
  <c r="C1350" i="2"/>
  <c r="C1352" i="2"/>
  <c r="C1354" i="2" s="1"/>
  <c r="C911" i="2"/>
  <c r="C920" i="2"/>
  <c r="C910" i="2"/>
  <c r="W984" i="2"/>
  <c r="W994" i="2"/>
  <c r="W985" i="2"/>
  <c r="C1060" i="2"/>
  <c r="C1071" i="2" s="1"/>
  <c r="C1062" i="2"/>
  <c r="C1064" i="2" s="1"/>
  <c r="C998" i="2"/>
  <c r="C690" i="2"/>
  <c r="C691" i="2"/>
  <c r="C700" i="2"/>
  <c r="C541" i="2"/>
  <c r="C542" i="2" s="1"/>
  <c r="C544" i="2"/>
  <c r="C1135" i="2"/>
  <c r="C1137" i="2" s="1"/>
  <c r="C1133" i="2"/>
  <c r="C1144" i="2" s="1"/>
  <c r="C753" i="2"/>
  <c r="C609" i="2"/>
  <c r="C611" i="2"/>
  <c r="W905" i="2"/>
  <c r="W906" i="2" s="1"/>
  <c r="W908" i="2"/>
  <c r="C402" i="2"/>
  <c r="C403" i="2"/>
  <c r="C412" i="2"/>
  <c r="C330" i="2"/>
  <c r="C331" i="2"/>
  <c r="C340" i="2"/>
  <c r="C1475" i="2"/>
  <c r="C1476" i="2"/>
  <c r="C465" i="2"/>
  <c r="C467" i="2"/>
  <c r="M998" i="2"/>
  <c r="C1289" i="2"/>
  <c r="J1154" i="2"/>
  <c r="C1069" i="2"/>
  <c r="E1075" i="2" s="1"/>
  <c r="F1080" i="2" s="1"/>
  <c r="M911" i="2"/>
  <c r="M920" i="2"/>
  <c r="M910" i="2"/>
  <c r="K27" i="5" l="1"/>
  <c r="C1287" i="2"/>
  <c r="E1293" i="2" s="1"/>
  <c r="F1298" i="2" s="1"/>
  <c r="F1299" i="2" s="1"/>
  <c r="F1300" i="2" s="1"/>
  <c r="F1301" i="2" s="1"/>
  <c r="W996" i="2"/>
  <c r="Y1002" i="2" s="1"/>
  <c r="Z1007" i="2" s="1"/>
  <c r="Z1008" i="2" s="1"/>
  <c r="Z1009" i="2" s="1"/>
  <c r="Z1010" i="2" s="1"/>
  <c r="C1280" i="2"/>
  <c r="C1282" i="2" s="1"/>
  <c r="C1278" i="2"/>
  <c r="C342" i="2"/>
  <c r="E348" i="2" s="1"/>
  <c r="F353" i="2" s="1"/>
  <c r="F354" i="2" s="1"/>
  <c r="F355" i="2" s="1"/>
  <c r="F356" i="2" s="1"/>
  <c r="W989" i="2"/>
  <c r="W991" i="2" s="1"/>
  <c r="W987" i="2"/>
  <c r="C613" i="2"/>
  <c r="C614" i="2" s="1"/>
  <c r="C616" i="2"/>
  <c r="C414" i="2"/>
  <c r="E420" i="2" s="1"/>
  <c r="F425" i="2" s="1"/>
  <c r="C760" i="2"/>
  <c r="C757" i="2"/>
  <c r="C758" i="2" s="1"/>
  <c r="C702" i="2"/>
  <c r="E708" i="2" s="1"/>
  <c r="F713" i="2" s="1"/>
  <c r="C405" i="2"/>
  <c r="C416" i="2" s="1"/>
  <c r="C407" i="2"/>
  <c r="C409" i="2" s="1"/>
  <c r="C693" i="2"/>
  <c r="C695" i="2"/>
  <c r="C697" i="2" s="1"/>
  <c r="C922" i="2"/>
  <c r="E928" i="2" s="1"/>
  <c r="F933" i="2" s="1"/>
  <c r="F934" i="2" s="1"/>
  <c r="F935" i="2" s="1"/>
  <c r="AD1008" i="2"/>
  <c r="M913" i="2"/>
  <c r="M924" i="2" s="1"/>
  <c r="M915" i="2"/>
  <c r="M917" i="2" s="1"/>
  <c r="W911" i="2"/>
  <c r="W920" i="2"/>
  <c r="W910" i="2"/>
  <c r="C915" i="2"/>
  <c r="C917" i="2" s="1"/>
  <c r="C913" i="2"/>
  <c r="C1432" i="2"/>
  <c r="E1438" i="2" s="1"/>
  <c r="F1443" i="2" s="1"/>
  <c r="C335" i="2"/>
  <c r="C337" i="2" s="1"/>
  <c r="C333" i="2"/>
  <c r="C546" i="2"/>
  <c r="C547" i="2"/>
  <c r="C556" i="2"/>
  <c r="M922" i="2"/>
  <c r="O928" i="2" s="1"/>
  <c r="P933" i="2" s="1"/>
  <c r="C472" i="2"/>
  <c r="C469" i="2"/>
  <c r="C470" i="2" s="1"/>
  <c r="C1484" i="2"/>
  <c r="F1081" i="2"/>
  <c r="F1082" i="2" s="1"/>
  <c r="F1083" i="2" s="1"/>
  <c r="J1081" i="2"/>
  <c r="C1486" i="2"/>
  <c r="C1425" i="2"/>
  <c r="C1427" i="2" s="1"/>
  <c r="C1423" i="2"/>
  <c r="J354" i="2"/>
  <c r="F59" i="5" l="1"/>
  <c r="I27" i="5"/>
  <c r="B69" i="5"/>
  <c r="F60" i="5"/>
  <c r="O66" i="5" s="1"/>
  <c r="O67" i="5" s="1"/>
  <c r="N67" i="5" s="1"/>
  <c r="C558" i="2"/>
  <c r="E564" i="2" s="1"/>
  <c r="F569" i="2" s="1"/>
  <c r="F570" i="2" s="1"/>
  <c r="F571" i="2" s="1"/>
  <c r="F572" i="2" s="1"/>
  <c r="W922" i="2"/>
  <c r="Y928" i="2" s="1"/>
  <c r="Z933" i="2" s="1"/>
  <c r="Z934" i="2" s="1"/>
  <c r="Z935" i="2" s="1"/>
  <c r="Z936" i="2" s="1"/>
  <c r="F1444" i="2"/>
  <c r="F1445" i="2" s="1"/>
  <c r="F1446" i="2" s="1"/>
  <c r="J1444" i="2"/>
  <c r="C474" i="2"/>
  <c r="C475" i="2"/>
  <c r="C484" i="2"/>
  <c r="C762" i="2"/>
  <c r="C763" i="2"/>
  <c r="C772" i="2"/>
  <c r="P934" i="2"/>
  <c r="P935" i="2" s="1"/>
  <c r="P936" i="2" s="1"/>
  <c r="T934" i="2"/>
  <c r="F426" i="2"/>
  <c r="F427" i="2" s="1"/>
  <c r="F428" i="2" s="1"/>
  <c r="J426" i="2"/>
  <c r="J570" i="2"/>
  <c r="C619" i="2"/>
  <c r="C628" i="2"/>
  <c r="C618" i="2"/>
  <c r="AD934" i="2"/>
  <c r="C704" i="2"/>
  <c r="F714" i="2"/>
  <c r="F715" i="2" s="1"/>
  <c r="F716" i="2" s="1"/>
  <c r="J714" i="2"/>
  <c r="C1488" i="2"/>
  <c r="C1489" i="2" s="1"/>
  <c r="C1491" i="2"/>
  <c r="W915" i="2"/>
  <c r="W917" i="2" s="1"/>
  <c r="W913" i="2"/>
  <c r="W998" i="2"/>
  <c r="C549" i="2"/>
  <c r="C551" i="2"/>
  <c r="C553" i="2" s="1"/>
  <c r="C1434" i="2"/>
  <c r="C344" i="2"/>
  <c r="G59" i="5" l="1"/>
  <c r="B23" i="9"/>
  <c r="H59" i="5"/>
  <c r="I59" i="5" s="1"/>
  <c r="E59" i="5"/>
  <c r="O59" i="5" s="1"/>
  <c r="E23" i="9" s="1"/>
  <c r="F23" i="9" s="1"/>
  <c r="E60" i="5"/>
  <c r="H60" i="5"/>
  <c r="I60" i="5" s="1"/>
  <c r="B71" i="5" s="1"/>
  <c r="N66" i="5"/>
  <c r="G60" i="5"/>
  <c r="C486" i="2"/>
  <c r="E492" i="2" s="1"/>
  <c r="F497" i="2" s="1"/>
  <c r="F498" i="2" s="1"/>
  <c r="F499" i="2" s="1"/>
  <c r="F500" i="2" s="1"/>
  <c r="C774" i="2"/>
  <c r="E780" i="2" s="1"/>
  <c r="F785" i="2" s="1"/>
  <c r="F786" i="2" s="1"/>
  <c r="F787" i="2" s="1"/>
  <c r="F788" i="2" s="1"/>
  <c r="C630" i="2"/>
  <c r="E636" i="2" s="1"/>
  <c r="F641" i="2" s="1"/>
  <c r="C621" i="2"/>
  <c r="C623" i="2"/>
  <c r="C625" i="2" s="1"/>
  <c r="C767" i="2"/>
  <c r="C769" i="2" s="1"/>
  <c r="C765" i="2"/>
  <c r="C776" i="2" s="1"/>
  <c r="J786" i="2"/>
  <c r="J498" i="2"/>
  <c r="C479" i="2"/>
  <c r="C481" i="2" s="1"/>
  <c r="C477" i="2"/>
  <c r="C488" i="2" s="1"/>
  <c r="C1503" i="2"/>
  <c r="C1493" i="2"/>
  <c r="C1494" i="2"/>
  <c r="C560" i="2"/>
  <c r="W924" i="2"/>
  <c r="J59" i="5" l="1"/>
  <c r="J60" i="5"/>
  <c r="O60" i="5" s="1"/>
  <c r="B67" i="5" s="1"/>
  <c r="F642" i="2"/>
  <c r="F643" i="2" s="1"/>
  <c r="F644" i="2" s="1"/>
  <c r="J642" i="2"/>
  <c r="C1496" i="2"/>
  <c r="C1498" i="2"/>
  <c r="C1500" i="2" s="1"/>
  <c r="C1505" i="2"/>
  <c r="E1511" i="2" s="1"/>
  <c r="F1516" i="2" s="1"/>
  <c r="C632" i="2"/>
  <c r="B37" i="9" l="1"/>
  <c r="B41" i="9" s="1"/>
  <c r="C1507" i="2"/>
  <c r="F1517" i="2"/>
  <c r="F1518" i="2" s="1"/>
  <c r="F1519" i="2" s="1"/>
  <c r="J1517" i="2"/>
  <c r="E57" i="2"/>
  <c r="C9" i="2" s="1"/>
  <c r="F11" i="2" s="1"/>
  <c r="I67" i="2"/>
  <c r="C69" i="2"/>
  <c r="I69" i="2"/>
  <c r="C10" i="2" s="1"/>
  <c r="J69" i="2"/>
  <c r="C11" i="2" s="1"/>
  <c r="F83" i="2"/>
  <c r="E129" i="2"/>
  <c r="C81" i="2" s="1"/>
  <c r="I139" i="2"/>
  <c r="C141" i="2"/>
  <c r="I141" i="2"/>
  <c r="C82" i="2" s="1"/>
  <c r="J141" i="2"/>
  <c r="C83" i="2" s="1"/>
  <c r="F154" i="2"/>
  <c r="E200" i="2"/>
  <c r="C152" i="2" s="1"/>
  <c r="I210" i="2"/>
  <c r="C212" i="2"/>
  <c r="I212" i="2"/>
  <c r="C153" i="2" s="1"/>
  <c r="J212" i="2"/>
  <c r="C154" i="2" s="1"/>
  <c r="F225" i="2"/>
  <c r="E272" i="2"/>
  <c r="C223" i="2" s="1"/>
  <c r="I282" i="2"/>
  <c r="C284" i="2"/>
  <c r="I284" i="2"/>
  <c r="C224" i="2" s="1"/>
  <c r="J284" i="2"/>
  <c r="C225" i="2" s="1"/>
  <c r="F297" i="2"/>
  <c r="I34" i="5" s="1"/>
  <c r="E344" i="2"/>
  <c r="C295" i="2" s="1"/>
  <c r="I354" i="2"/>
  <c r="C356" i="2"/>
  <c r="I356" i="2"/>
  <c r="C296" i="2" s="1"/>
  <c r="J356" i="2"/>
  <c r="C297" i="2" s="1"/>
  <c r="F369" i="2"/>
  <c r="E416" i="2"/>
  <c r="C367" i="2" s="1"/>
  <c r="I426" i="2"/>
  <c r="C428" i="2"/>
  <c r="I428" i="2"/>
  <c r="C368" i="2" s="1"/>
  <c r="J428" i="2"/>
  <c r="C369" i="2" s="1"/>
  <c r="F441" i="2"/>
  <c r="K34" i="5" s="1"/>
  <c r="E488" i="2"/>
  <c r="C439" i="2" s="1"/>
  <c r="I498" i="2"/>
  <c r="C500" i="2"/>
  <c r="I500" i="2"/>
  <c r="C440" i="2" s="1"/>
  <c r="J500" i="2"/>
  <c r="C441" i="2" s="1"/>
  <c r="F513" i="2"/>
  <c r="L34" i="5" s="1"/>
  <c r="E560" i="2"/>
  <c r="C511" i="2" s="1"/>
  <c r="I570" i="2"/>
  <c r="C572" i="2"/>
  <c r="I572" i="2"/>
  <c r="C512" i="2" s="1"/>
  <c r="J572" i="2"/>
  <c r="C513" i="2" s="1"/>
  <c r="F585" i="2"/>
  <c r="E632" i="2"/>
  <c r="C583" i="2" s="1"/>
  <c r="I642" i="2"/>
  <c r="C644" i="2"/>
  <c r="I644" i="2"/>
  <c r="C584" i="2" s="1"/>
  <c r="J644" i="2"/>
  <c r="C585" i="2" s="1"/>
  <c r="F657" i="2"/>
  <c r="E704" i="2"/>
  <c r="C655" i="2" s="1"/>
  <c r="I714" i="2"/>
  <c r="C716" i="2"/>
  <c r="I716" i="2"/>
  <c r="C656" i="2" s="1"/>
  <c r="J716" i="2"/>
  <c r="C657" i="2" s="1"/>
  <c r="F729" i="2"/>
  <c r="E776" i="2"/>
  <c r="C727" i="2" s="1"/>
  <c r="I786" i="2"/>
  <c r="C788" i="2"/>
  <c r="I788" i="2"/>
  <c r="C728" i="2" s="1"/>
  <c r="J788" i="2"/>
  <c r="C729" i="2" s="1"/>
  <c r="F803" i="2"/>
  <c r="E850" i="2"/>
  <c r="C801" i="2" s="1"/>
  <c r="I860" i="2"/>
  <c r="C862" i="2"/>
  <c r="I862" i="2"/>
  <c r="C802" i="2" s="1"/>
  <c r="J862" i="2"/>
  <c r="C803" i="2" s="1"/>
  <c r="P877" i="2"/>
  <c r="Z877" i="2"/>
  <c r="O924" i="2"/>
  <c r="M875" i="2" s="1"/>
  <c r="Y924" i="2"/>
  <c r="W875" i="2" s="1"/>
  <c r="S934" i="2"/>
  <c r="AC934" i="2"/>
  <c r="M936" i="2"/>
  <c r="S936" i="2"/>
  <c r="M876" i="2" s="1"/>
  <c r="T936" i="2"/>
  <c r="M877" i="2" s="1"/>
  <c r="W936" i="2"/>
  <c r="AC936" i="2"/>
  <c r="W876" i="2" s="1"/>
  <c r="AD936" i="2"/>
  <c r="W877" i="2" s="1"/>
  <c r="F951" i="2"/>
  <c r="H25" i="3" s="1"/>
  <c r="P951" i="2"/>
  <c r="E998" i="2"/>
  <c r="C949" i="2" s="1"/>
  <c r="O998" i="2"/>
  <c r="M949" i="2" s="1"/>
  <c r="Y998" i="2"/>
  <c r="W949" i="2" s="1"/>
  <c r="Z951" i="2" s="1"/>
  <c r="I1008" i="2"/>
  <c r="S1008" i="2"/>
  <c r="AC1008" i="2"/>
  <c r="C1010" i="2"/>
  <c r="I1010" i="2"/>
  <c r="C950" i="2" s="1"/>
  <c r="J1010" i="2"/>
  <c r="C951" i="2" s="1"/>
  <c r="M1010" i="2"/>
  <c r="S1010" i="2"/>
  <c r="M950" i="2" s="1"/>
  <c r="T1010" i="2"/>
  <c r="M951" i="2" s="1"/>
  <c r="W1010" i="2"/>
  <c r="AC1010" i="2"/>
  <c r="W950" i="2" s="1"/>
  <c r="AD1010" i="2"/>
  <c r="W951" i="2" s="1"/>
  <c r="F1024" i="2"/>
  <c r="E1071" i="2"/>
  <c r="C1022" i="2" s="1"/>
  <c r="I1081" i="2"/>
  <c r="C1083" i="2"/>
  <c r="I1083" i="2"/>
  <c r="C1023" i="2" s="1"/>
  <c r="J1083" i="2"/>
  <c r="C1024" i="2" s="1"/>
  <c r="F1097" i="2"/>
  <c r="E1144" i="2"/>
  <c r="C1095" i="2" s="1"/>
  <c r="I1154" i="2"/>
  <c r="C1156" i="2"/>
  <c r="I1156" i="2"/>
  <c r="C1096" i="2" s="1"/>
  <c r="J1156" i="2"/>
  <c r="C1097" i="2" s="1"/>
  <c r="F1169" i="2"/>
  <c r="E1216" i="2"/>
  <c r="C1167" i="2" s="1"/>
  <c r="I1226" i="2"/>
  <c r="C1228" i="2"/>
  <c r="I1228" i="2"/>
  <c r="C1168" i="2" s="1"/>
  <c r="J1228" i="2"/>
  <c r="C1169" i="2" s="1"/>
  <c r="F1242" i="2"/>
  <c r="E1289" i="2"/>
  <c r="C1240" i="2" s="1"/>
  <c r="I1299" i="2"/>
  <c r="C1301" i="2"/>
  <c r="I1301" i="2"/>
  <c r="C1241" i="2" s="1"/>
  <c r="J1301" i="2"/>
  <c r="C1242" i="2" s="1"/>
  <c r="F1387" i="2"/>
  <c r="E1434" i="2"/>
  <c r="C1385" i="2" s="1"/>
  <c r="I1444" i="2"/>
  <c r="C1446" i="2"/>
  <c r="I1446" i="2"/>
  <c r="C1386" i="2" s="1"/>
  <c r="J1446" i="2"/>
  <c r="C1387" i="2" s="1"/>
  <c r="F1460" i="2"/>
  <c r="O34" i="5" s="1"/>
  <c r="O1460" i="2"/>
  <c r="F34" i="5" s="1"/>
  <c r="E1507" i="2"/>
  <c r="C1458" i="2" s="1"/>
  <c r="N1507" i="2"/>
  <c r="L1458" i="2" s="1"/>
  <c r="I1517" i="2"/>
  <c r="R1517" i="2"/>
  <c r="C1519" i="2"/>
  <c r="I1519" i="2"/>
  <c r="C1459" i="2" s="1"/>
  <c r="J1519" i="2"/>
  <c r="C1460" i="2" s="1"/>
  <c r="L1519" i="2"/>
  <c r="R1519" i="2"/>
  <c r="L1459" i="2" s="1"/>
  <c r="S1519" i="2"/>
  <c r="L1460" i="2" s="1"/>
  <c r="E1580" i="2"/>
  <c r="C1531" i="2" s="1"/>
  <c r="O1580" i="2"/>
  <c r="M1531" i="2" s="1"/>
  <c r="I1590" i="2"/>
  <c r="S1590" i="2"/>
  <c r="C1592" i="2"/>
  <c r="I1592" i="2"/>
  <c r="C1532" i="2" s="1"/>
  <c r="J1592" i="2"/>
  <c r="C1533" i="2" s="1"/>
  <c r="M1592" i="2"/>
  <c r="S1592" i="2"/>
  <c r="M1532" i="2" s="1"/>
  <c r="T1592" i="2"/>
  <c r="M1533" i="2" s="1"/>
  <c r="L61" i="5" l="1"/>
  <c r="B64" i="5"/>
  <c r="C64" i="5"/>
  <c r="C60" i="5"/>
  <c r="B35" i="9" s="1"/>
  <c r="C36" i="9" s="1"/>
  <c r="F38" i="9"/>
  <c r="O36" i="5"/>
  <c r="F58" i="5"/>
  <c r="H58" i="5" s="1"/>
  <c r="O35" i="5"/>
  <c r="F55" i="5"/>
  <c r="B34" i="5"/>
  <c r="E39" i="5"/>
  <c r="L36" i="5"/>
  <c r="L35" i="5"/>
  <c r="I35" i="5"/>
  <c r="F52" i="5"/>
  <c r="I36" i="5"/>
  <c r="F36" i="5"/>
  <c r="F56" i="5"/>
  <c r="F35" i="5"/>
  <c r="L54" i="5"/>
  <c r="O54" i="5" s="1"/>
  <c r="O61" i="5"/>
  <c r="L55" i="5"/>
  <c r="L58" i="5"/>
  <c r="L51" i="5"/>
  <c r="O51" i="5" s="1"/>
  <c r="K35" i="5"/>
  <c r="K36" i="5"/>
  <c r="L53" i="5"/>
  <c r="O53" i="5" s="1"/>
  <c r="L52" i="5"/>
  <c r="C65" i="5" l="1"/>
  <c r="B65" i="5"/>
  <c r="B48" i="9"/>
  <c r="B38" i="9"/>
  <c r="B40" i="9" s="1"/>
  <c r="B25" i="9"/>
  <c r="E25" i="9" s="1"/>
  <c r="E40" i="5"/>
  <c r="E52" i="5"/>
  <c r="O52" i="5" s="1"/>
  <c r="H52" i="5"/>
  <c r="I52" i="5" s="1"/>
  <c r="G52" i="5"/>
  <c r="G53" i="5"/>
  <c r="G51" i="5"/>
  <c r="G54" i="5"/>
  <c r="I58" i="5"/>
  <c r="J58" i="5" s="1"/>
  <c r="E58" i="5"/>
  <c r="O58" i="5" s="1"/>
  <c r="G58" i="5"/>
  <c r="G56" i="5"/>
  <c r="H56" i="5"/>
  <c r="I56" i="5" s="1"/>
  <c r="J56" i="5" s="1"/>
  <c r="E56" i="5"/>
  <c r="O56" i="5" s="1"/>
  <c r="J41" i="5" s="1"/>
  <c r="B36" i="5"/>
  <c r="B35" i="5"/>
  <c r="F46" i="5"/>
  <c r="H55" i="5"/>
  <c r="G55" i="5"/>
  <c r="E55" i="5"/>
  <c r="O55" i="5" s="1"/>
  <c r="G25" i="9" l="1"/>
  <c r="H25" i="9" s="1"/>
  <c r="F25" i="9"/>
  <c r="B39" i="9"/>
  <c r="O64" i="5"/>
  <c r="E24" i="9" s="1"/>
  <c r="I55" i="5"/>
  <c r="J55" i="5" s="1"/>
  <c r="G46" i="5"/>
  <c r="H46" i="5"/>
  <c r="I46" i="5" s="1"/>
  <c r="J46" i="5" s="1"/>
  <c r="E46" i="5"/>
  <c r="G50" i="5"/>
  <c r="O46" i="5"/>
  <c r="G47" i="5"/>
  <c r="G49" i="5"/>
  <c r="G48" i="5"/>
  <c r="J52" i="5"/>
  <c r="O63" i="5" l="1"/>
  <c r="E22" i="9" s="1"/>
  <c r="B16" i="9"/>
  <c r="F24" i="9"/>
  <c r="J71" i="5"/>
  <c r="N64" i="5"/>
  <c r="L64" i="5"/>
  <c r="D24" i="9" s="1"/>
  <c r="B56" i="9" s="1"/>
  <c r="B30" i="9" l="1"/>
  <c r="D56" i="9"/>
  <c r="J69" i="5"/>
  <c r="L63" i="5"/>
  <c r="D22" i="9" s="1"/>
  <c r="N63" i="5"/>
  <c r="D54" i="9" l="1"/>
  <c r="G52" i="9"/>
  <c r="B31" i="9"/>
  <c r="B52" i="9"/>
  <c r="E52" i="9"/>
  <c r="G58" i="9"/>
  <c r="B47" i="9"/>
  <c r="O69" i="5"/>
  <c r="N69" i="5" s="1"/>
  <c r="F22" i="9"/>
  <c r="B42" i="9"/>
  <c r="C43" i="9" s="1"/>
  <c r="E32" i="2"/>
  <c r="E34" i="2"/>
  <c r="E36" i="2"/>
  <c r="E38" i="2"/>
  <c r="E39" i="2"/>
  <c r="E41" i="2"/>
  <c r="E43" i="2"/>
  <c r="E44" i="2"/>
  <c r="E46" i="2"/>
  <c r="E48" i="2"/>
  <c r="E50" i="2"/>
  <c r="E53" i="2"/>
  <c r="E55" i="2"/>
  <c r="E59" i="2"/>
  <c r="C66" i="2"/>
  <c r="C67" i="2"/>
  <c r="C68" i="2"/>
  <c r="I68" i="2"/>
  <c r="J68" i="2"/>
  <c r="E104" i="2"/>
  <c r="E106" i="2"/>
  <c r="E108" i="2"/>
  <c r="E110" i="2"/>
  <c r="E111" i="2"/>
  <c r="E113" i="2"/>
  <c r="E115" i="2"/>
  <c r="E116" i="2"/>
  <c r="E118" i="2"/>
  <c r="E120" i="2"/>
  <c r="E122" i="2"/>
  <c r="E125" i="2"/>
  <c r="E127" i="2"/>
  <c r="E131" i="2"/>
  <c r="C138" i="2"/>
  <c r="C139" i="2"/>
  <c r="C140" i="2"/>
  <c r="I140" i="2"/>
  <c r="J140" i="2"/>
  <c r="E175" i="2"/>
  <c r="E177" i="2"/>
  <c r="E179" i="2"/>
  <c r="E181" i="2"/>
  <c r="E182" i="2"/>
  <c r="E184" i="2"/>
  <c r="E186" i="2"/>
  <c r="E187" i="2"/>
  <c r="E189" i="2"/>
  <c r="E191" i="2"/>
  <c r="E193" i="2"/>
  <c r="E196" i="2"/>
  <c r="E198" i="2"/>
  <c r="E202" i="2"/>
  <c r="C209" i="2"/>
  <c r="C210" i="2"/>
  <c r="C211" i="2"/>
  <c r="I211" i="2"/>
  <c r="J211" i="2"/>
  <c r="E247" i="2"/>
  <c r="E249" i="2"/>
  <c r="E251" i="2"/>
  <c r="E253" i="2"/>
  <c r="E254" i="2"/>
  <c r="E256" i="2"/>
  <c r="E258" i="2"/>
  <c r="E259" i="2"/>
  <c r="E261" i="2"/>
  <c r="E263" i="2"/>
  <c r="E265" i="2"/>
  <c r="E268" i="2"/>
  <c r="E270" i="2"/>
  <c r="E274" i="2"/>
  <c r="C281" i="2"/>
  <c r="C282" i="2"/>
  <c r="C283" i="2"/>
  <c r="I283" i="2"/>
  <c r="J283" i="2"/>
  <c r="E319" i="2"/>
  <c r="E321" i="2"/>
  <c r="E323" i="2"/>
  <c r="E325" i="2"/>
  <c r="E326" i="2"/>
  <c r="E328" i="2"/>
  <c r="E330" i="2"/>
  <c r="E331" i="2"/>
  <c r="E333" i="2"/>
  <c r="E335" i="2"/>
  <c r="E337" i="2"/>
  <c r="E340" i="2"/>
  <c r="E342" i="2"/>
  <c r="E346" i="2"/>
  <c r="C353" i="2"/>
  <c r="C354" i="2"/>
  <c r="C355" i="2"/>
  <c r="I355" i="2"/>
  <c r="J355" i="2"/>
  <c r="E391" i="2"/>
  <c r="E393" i="2"/>
  <c r="E395" i="2"/>
  <c r="E397" i="2"/>
  <c r="E398" i="2"/>
  <c r="E400" i="2"/>
  <c r="E402" i="2"/>
  <c r="E403" i="2"/>
  <c r="E405" i="2"/>
  <c r="E407" i="2"/>
  <c r="E409" i="2"/>
  <c r="E412" i="2"/>
  <c r="E414" i="2"/>
  <c r="E418" i="2"/>
  <c r="C425" i="2"/>
  <c r="C426" i="2"/>
  <c r="C427" i="2"/>
  <c r="I427" i="2"/>
  <c r="J427" i="2"/>
  <c r="E463" i="2"/>
  <c r="E465" i="2"/>
  <c r="E467" i="2"/>
  <c r="E469" i="2"/>
  <c r="E470" i="2"/>
  <c r="E472" i="2"/>
  <c r="E474" i="2"/>
  <c r="E475" i="2"/>
  <c r="E477" i="2"/>
  <c r="E479" i="2"/>
  <c r="E481" i="2"/>
  <c r="E484" i="2"/>
  <c r="E486" i="2"/>
  <c r="E490" i="2"/>
  <c r="C497" i="2"/>
  <c r="C498" i="2"/>
  <c r="C499" i="2"/>
  <c r="I499" i="2"/>
  <c r="J499" i="2"/>
  <c r="E535" i="2"/>
  <c r="E537" i="2"/>
  <c r="E539" i="2"/>
  <c r="E541" i="2"/>
  <c r="E542" i="2"/>
  <c r="E544" i="2"/>
  <c r="E546" i="2"/>
  <c r="E547" i="2"/>
  <c r="E549" i="2"/>
  <c r="E551" i="2"/>
  <c r="E553" i="2"/>
  <c r="E556" i="2"/>
  <c r="E558" i="2"/>
  <c r="E562" i="2"/>
  <c r="C569" i="2"/>
  <c r="C570" i="2"/>
  <c r="C571" i="2"/>
  <c r="I571" i="2"/>
  <c r="J571" i="2"/>
  <c r="E607" i="2"/>
  <c r="E609" i="2"/>
  <c r="E611" i="2"/>
  <c r="E613" i="2"/>
  <c r="E614" i="2"/>
  <c r="E616" i="2"/>
  <c r="E618" i="2"/>
  <c r="E619" i="2"/>
  <c r="E621" i="2"/>
  <c r="E623" i="2"/>
  <c r="E625" i="2"/>
  <c r="E628" i="2"/>
  <c r="E630" i="2"/>
  <c r="E634" i="2"/>
  <c r="C641" i="2"/>
  <c r="C642" i="2"/>
  <c r="C643" i="2"/>
  <c r="I643" i="2"/>
  <c r="J643" i="2"/>
  <c r="E679" i="2"/>
  <c r="E681" i="2"/>
  <c r="E683" i="2"/>
  <c r="E685" i="2"/>
  <c r="E686" i="2"/>
  <c r="E688" i="2"/>
  <c r="E690" i="2"/>
  <c r="E691" i="2"/>
  <c r="E693" i="2"/>
  <c r="E695" i="2"/>
  <c r="E697" i="2"/>
  <c r="E700" i="2"/>
  <c r="E702" i="2"/>
  <c r="E706" i="2"/>
  <c r="C713" i="2"/>
  <c r="C714" i="2"/>
  <c r="C715" i="2"/>
  <c r="I715" i="2"/>
  <c r="J715" i="2"/>
  <c r="E751" i="2"/>
  <c r="E753" i="2"/>
  <c r="E755" i="2"/>
  <c r="E757" i="2"/>
  <c r="E758" i="2"/>
  <c r="E760" i="2"/>
  <c r="E762" i="2"/>
  <c r="E763" i="2"/>
  <c r="E765" i="2"/>
  <c r="E767" i="2"/>
  <c r="E769" i="2"/>
  <c r="E772" i="2"/>
  <c r="E774" i="2"/>
  <c r="E778" i="2"/>
  <c r="C785" i="2"/>
  <c r="C786" i="2"/>
  <c r="C787" i="2"/>
  <c r="I787" i="2"/>
  <c r="J787" i="2"/>
  <c r="E825" i="2"/>
  <c r="E827" i="2"/>
  <c r="E829" i="2"/>
  <c r="E831" i="2"/>
  <c r="E832" i="2"/>
  <c r="E834" i="2"/>
  <c r="E836" i="2"/>
  <c r="E837" i="2"/>
  <c r="E839" i="2"/>
  <c r="E841" i="2"/>
  <c r="E843" i="2"/>
  <c r="E846" i="2"/>
  <c r="E848" i="2"/>
  <c r="E852" i="2"/>
  <c r="C859" i="2"/>
  <c r="C860" i="2"/>
  <c r="C861" i="2"/>
  <c r="I861" i="2"/>
  <c r="J861" i="2"/>
  <c r="E899" i="2"/>
  <c r="O899" i="2"/>
  <c r="Y899" i="2"/>
  <c r="E901" i="2"/>
  <c r="O901" i="2"/>
  <c r="Y901" i="2"/>
  <c r="E903" i="2"/>
  <c r="O903" i="2"/>
  <c r="Y903" i="2"/>
  <c r="E905" i="2"/>
  <c r="O905" i="2"/>
  <c r="Y905" i="2"/>
  <c r="E906" i="2"/>
  <c r="O906" i="2"/>
  <c r="Y906" i="2"/>
  <c r="E908" i="2"/>
  <c r="O908" i="2"/>
  <c r="Y908" i="2"/>
  <c r="E910" i="2"/>
  <c r="O910" i="2"/>
  <c r="Y910" i="2"/>
  <c r="E911" i="2"/>
  <c r="O911" i="2"/>
  <c r="Y911" i="2"/>
  <c r="E913" i="2"/>
  <c r="O913" i="2"/>
  <c r="Y913" i="2"/>
  <c r="E915" i="2"/>
  <c r="O915" i="2"/>
  <c r="Y915" i="2"/>
  <c r="E917" i="2"/>
  <c r="O917" i="2"/>
  <c r="Y917" i="2"/>
  <c r="E920" i="2"/>
  <c r="O920" i="2"/>
  <c r="Y920" i="2"/>
  <c r="E922" i="2"/>
  <c r="O922" i="2"/>
  <c r="Y922" i="2"/>
  <c r="E926" i="2"/>
  <c r="O926" i="2"/>
  <c r="Y926" i="2"/>
  <c r="C933" i="2"/>
  <c r="M933" i="2"/>
  <c r="W933" i="2"/>
  <c r="C934" i="2"/>
  <c r="M934" i="2"/>
  <c r="W934" i="2"/>
  <c r="C935" i="2"/>
  <c r="I935" i="2"/>
  <c r="J935" i="2"/>
  <c r="M935" i="2"/>
  <c r="S935" i="2"/>
  <c r="T935" i="2"/>
  <c r="W935" i="2"/>
  <c r="AC935" i="2"/>
  <c r="AD935" i="2"/>
  <c r="E973" i="2"/>
  <c r="O973" i="2"/>
  <c r="Y973" i="2"/>
  <c r="E975" i="2"/>
  <c r="O975" i="2"/>
  <c r="Y975" i="2"/>
  <c r="E977" i="2"/>
  <c r="O977" i="2"/>
  <c r="Y977" i="2"/>
  <c r="E979" i="2"/>
  <c r="O979" i="2"/>
  <c r="Y979" i="2"/>
  <c r="E980" i="2"/>
  <c r="O980" i="2"/>
  <c r="Y980" i="2"/>
  <c r="E982" i="2"/>
  <c r="O982" i="2"/>
  <c r="Y982" i="2"/>
  <c r="E984" i="2"/>
  <c r="O984" i="2"/>
  <c r="Y984" i="2"/>
  <c r="E985" i="2"/>
  <c r="O985" i="2"/>
  <c r="Y985" i="2"/>
  <c r="E987" i="2"/>
  <c r="O987" i="2"/>
  <c r="Y987" i="2"/>
  <c r="E989" i="2"/>
  <c r="O989" i="2"/>
  <c r="Y989" i="2"/>
  <c r="E991" i="2"/>
  <c r="O991" i="2"/>
  <c r="Y991" i="2"/>
  <c r="E994" i="2"/>
  <c r="O994" i="2"/>
  <c r="Y994" i="2"/>
  <c r="E996" i="2"/>
  <c r="O996" i="2"/>
  <c r="Y996" i="2"/>
  <c r="E1000" i="2"/>
  <c r="O1000" i="2"/>
  <c r="Y1000" i="2"/>
  <c r="C1007" i="2"/>
  <c r="M1007" i="2"/>
  <c r="W1007" i="2"/>
  <c r="C1008" i="2"/>
  <c r="M1008" i="2"/>
  <c r="W1008" i="2"/>
  <c r="C1009" i="2"/>
  <c r="I1009" i="2"/>
  <c r="J1009" i="2"/>
  <c r="M1009" i="2"/>
  <c r="S1009" i="2"/>
  <c r="T1009" i="2"/>
  <c r="W1009" i="2"/>
  <c r="AC1009" i="2"/>
  <c r="AD1009" i="2"/>
  <c r="E1046" i="2"/>
  <c r="E1048" i="2"/>
  <c r="E1050" i="2"/>
  <c r="E1052" i="2"/>
  <c r="E1053" i="2"/>
  <c r="E1055" i="2"/>
  <c r="E1057" i="2"/>
  <c r="E1058" i="2"/>
  <c r="E1060" i="2"/>
  <c r="E1062" i="2"/>
  <c r="E1064" i="2"/>
  <c r="E1067" i="2"/>
  <c r="E1069" i="2"/>
  <c r="E1073" i="2"/>
  <c r="C1080" i="2"/>
  <c r="C1081" i="2"/>
  <c r="C1082" i="2"/>
  <c r="I1082" i="2"/>
  <c r="J1082" i="2"/>
  <c r="E1119" i="2"/>
  <c r="E1121" i="2"/>
  <c r="E1123" i="2"/>
  <c r="E1125" i="2"/>
  <c r="E1126" i="2"/>
  <c r="E1128" i="2"/>
  <c r="E1130" i="2"/>
  <c r="E1131" i="2"/>
  <c r="E1133" i="2"/>
  <c r="E1135" i="2"/>
  <c r="E1137" i="2"/>
  <c r="E1140" i="2"/>
  <c r="E1142" i="2"/>
  <c r="E1146" i="2"/>
  <c r="C1153" i="2"/>
  <c r="C1154" i="2"/>
  <c r="C1155" i="2"/>
  <c r="I1155" i="2"/>
  <c r="J1155" i="2"/>
  <c r="E1191" i="2"/>
  <c r="E1193" i="2"/>
  <c r="E1195" i="2"/>
  <c r="E1197" i="2"/>
  <c r="E1198" i="2"/>
  <c r="E1200" i="2"/>
  <c r="E1202" i="2"/>
  <c r="E1203" i="2"/>
  <c r="E1205" i="2"/>
  <c r="E1207" i="2"/>
  <c r="E1209" i="2"/>
  <c r="E1212" i="2"/>
  <c r="E1214" i="2"/>
  <c r="E1218" i="2"/>
  <c r="C1225" i="2"/>
  <c r="C1226" i="2"/>
  <c r="C1227" i="2"/>
  <c r="I1227" i="2"/>
  <c r="J1227" i="2"/>
  <c r="E1264" i="2"/>
  <c r="E1266" i="2"/>
  <c r="E1268" i="2"/>
  <c r="E1270" i="2"/>
  <c r="E1271" i="2"/>
  <c r="E1273" i="2"/>
  <c r="E1275" i="2"/>
  <c r="E1276" i="2"/>
  <c r="E1278" i="2"/>
  <c r="E1280" i="2"/>
  <c r="E1282" i="2"/>
  <c r="E1285" i="2"/>
  <c r="E1287" i="2"/>
  <c r="E1291" i="2"/>
  <c r="C1298" i="2"/>
  <c r="C1299" i="2"/>
  <c r="C1300" i="2"/>
  <c r="I1300" i="2"/>
  <c r="J1300" i="2"/>
  <c r="E1336" i="2"/>
  <c r="E1338" i="2"/>
  <c r="E1340" i="2"/>
  <c r="E1342" i="2"/>
  <c r="E1343" i="2"/>
  <c r="E1345" i="2"/>
  <c r="E1347" i="2"/>
  <c r="E1348" i="2"/>
  <c r="E1350" i="2"/>
  <c r="E1352" i="2"/>
  <c r="E1354" i="2"/>
  <c r="E1357" i="2"/>
  <c r="E1359" i="2"/>
  <c r="E1363" i="2"/>
  <c r="C1370" i="2"/>
  <c r="C1371" i="2"/>
  <c r="C1372" i="2"/>
  <c r="I1372" i="2"/>
  <c r="J1372" i="2"/>
  <c r="E1409" i="2"/>
  <c r="E1411" i="2"/>
  <c r="E1413" i="2"/>
  <c r="E1415" i="2"/>
  <c r="E1416" i="2"/>
  <c r="E1418" i="2"/>
  <c r="E1420" i="2"/>
  <c r="E1421" i="2"/>
  <c r="E1423" i="2"/>
  <c r="E1425" i="2"/>
  <c r="E1427" i="2"/>
  <c r="E1430" i="2"/>
  <c r="E1432" i="2"/>
  <c r="E1436" i="2"/>
  <c r="C1443" i="2"/>
  <c r="C1444" i="2"/>
  <c r="C1445" i="2"/>
  <c r="I1445" i="2"/>
  <c r="J1445" i="2"/>
  <c r="E1482" i="2"/>
  <c r="N1482" i="2"/>
  <c r="E1484" i="2"/>
  <c r="N1484" i="2"/>
  <c r="E1486" i="2"/>
  <c r="N1486" i="2"/>
  <c r="E1488" i="2"/>
  <c r="N1488" i="2"/>
  <c r="E1489" i="2"/>
  <c r="N1489" i="2"/>
  <c r="E1491" i="2"/>
  <c r="N1491" i="2"/>
  <c r="E1493" i="2"/>
  <c r="N1493" i="2"/>
  <c r="E1494" i="2"/>
  <c r="N1494" i="2"/>
  <c r="E1496" i="2"/>
  <c r="N1496" i="2"/>
  <c r="E1498" i="2"/>
  <c r="N1498" i="2"/>
  <c r="E1500" i="2"/>
  <c r="N1500" i="2"/>
  <c r="E1503" i="2"/>
  <c r="N1503" i="2"/>
  <c r="E1505" i="2"/>
  <c r="N1505" i="2"/>
  <c r="E1509" i="2"/>
  <c r="N1509" i="2"/>
  <c r="C1516" i="2"/>
  <c r="L1516" i="2"/>
  <c r="C1517" i="2"/>
  <c r="L1517" i="2"/>
  <c r="C1518" i="2"/>
  <c r="I1518" i="2"/>
  <c r="J1518" i="2"/>
  <c r="L1518" i="2"/>
  <c r="R1518" i="2"/>
  <c r="S1518" i="2"/>
  <c r="E1555" i="2"/>
  <c r="O1555" i="2"/>
  <c r="E1557" i="2"/>
  <c r="O1557" i="2"/>
  <c r="E1559" i="2"/>
  <c r="O1559" i="2"/>
  <c r="E1561" i="2"/>
  <c r="O1561" i="2"/>
  <c r="E1562" i="2"/>
  <c r="O1562" i="2"/>
  <c r="E1564" i="2"/>
  <c r="O1564" i="2"/>
  <c r="E1566" i="2"/>
  <c r="O1566" i="2"/>
  <c r="E1567" i="2"/>
  <c r="O1567" i="2"/>
  <c r="E1569" i="2"/>
  <c r="O1569" i="2"/>
  <c r="E1571" i="2"/>
  <c r="O1571" i="2"/>
  <c r="E1573" i="2"/>
  <c r="O1573" i="2"/>
  <c r="E1576" i="2"/>
  <c r="O1576" i="2"/>
  <c r="E1578" i="2"/>
  <c r="O1578" i="2"/>
  <c r="E1582" i="2"/>
  <c r="O1582" i="2"/>
  <c r="C1589" i="2"/>
  <c r="M1589" i="2"/>
  <c r="C1590" i="2"/>
  <c r="M1590" i="2"/>
  <c r="C1591" i="2"/>
  <c r="I1591" i="2"/>
  <c r="J1591" i="2"/>
  <c r="M1591" i="2"/>
  <c r="S1591" i="2"/>
  <c r="T1591" i="2"/>
  <c r="C1604" i="2"/>
  <c r="C1605" i="2"/>
  <c r="C1606" i="2"/>
  <c r="E1628" i="2"/>
  <c r="E1630" i="2"/>
  <c r="E1632" i="2"/>
  <c r="E1634" i="2"/>
  <c r="E1635" i="2"/>
  <c r="E1637" i="2"/>
  <c r="E1639" i="2"/>
  <c r="E1640" i="2"/>
  <c r="E1642" i="2"/>
  <c r="E1644" i="2"/>
  <c r="E1646" i="2"/>
  <c r="E1649" i="2"/>
  <c r="E1651" i="2"/>
  <c r="E1653" i="2"/>
  <c r="E1655" i="2"/>
  <c r="C1662" i="2"/>
  <c r="C1663" i="2"/>
  <c r="I1663" i="2"/>
  <c r="C1664" i="2"/>
  <c r="I1664" i="2"/>
  <c r="J1664" i="2"/>
  <c r="C1665" i="2"/>
  <c r="I1665" i="2"/>
  <c r="J1665" i="2"/>
</calcChain>
</file>

<file path=xl/sharedStrings.xml><?xml version="1.0" encoding="utf-8"?>
<sst xmlns="http://schemas.openxmlformats.org/spreadsheetml/2006/main" count="3093" uniqueCount="607">
  <si>
    <t>CALCULATIONS NEEDED FOR EACH WAYPOINT</t>
  </si>
  <si>
    <t>Calculated Order</t>
  </si>
  <si>
    <t>USER SPECIFIED</t>
  </si>
  <si>
    <t>ORDER FOR</t>
  </si>
  <si>
    <t>DECLARED START POINT</t>
  </si>
  <si>
    <t>DECLARED TURNPOINT A</t>
  </si>
  <si>
    <t>DECLARED TURNPOINT B</t>
  </si>
  <si>
    <t>DECLARED TURNPOINT C</t>
  </si>
  <si>
    <t>DECLARED FINISH POINT</t>
  </si>
  <si>
    <t>A</t>
  </si>
  <si>
    <t>B</t>
  </si>
  <si>
    <t>C</t>
  </si>
  <si>
    <t>ORDER</t>
  </si>
  <si>
    <t>ANALYSIS</t>
  </si>
  <si>
    <t>Flattening</t>
  </si>
  <si>
    <t>Start LAT (deg)</t>
  </si>
  <si>
    <t>Start LONG (deg)</t>
  </si>
  <si>
    <t>LAT (Radians)</t>
  </si>
  <si>
    <t>LONG (Radians)</t>
  </si>
  <si>
    <t>TPa LAT (deg)</t>
  </si>
  <si>
    <t>TPa LONG (deg)</t>
  </si>
  <si>
    <t>TPaLAT (rad)</t>
  </si>
  <si>
    <t>TPaLONG (rad)</t>
  </si>
  <si>
    <t>TPb LAT (deg)</t>
  </si>
  <si>
    <t>TPb LONG (deg)</t>
  </si>
  <si>
    <t>TPb LAT (Rad)</t>
  </si>
  <si>
    <t>TPb LONG (Rad)</t>
  </si>
  <si>
    <t>TPc LAT (deg)</t>
  </si>
  <si>
    <t>TPc LONG (deg)</t>
  </si>
  <si>
    <t>TPc LAT (rad)</t>
  </si>
  <si>
    <t>TPc LONG (rad)</t>
  </si>
  <si>
    <t>Last Turn Point</t>
  </si>
  <si>
    <t>Fin LAT (deg)</t>
  </si>
  <si>
    <t>Fin LONG (deg)</t>
  </si>
  <si>
    <t>Fin LAT (rad)</t>
  </si>
  <si>
    <t>Fin LONG (rad)</t>
  </si>
  <si>
    <t>Release</t>
  </si>
  <si>
    <t>Bisector</t>
  </si>
  <si>
    <t>Perf End</t>
  </si>
  <si>
    <t>OZ1</t>
  </si>
  <si>
    <t>Dist DP to DP</t>
  </si>
  <si>
    <t>First in CYL</t>
  </si>
  <si>
    <t>First OZ FP &lt;20k</t>
  </si>
  <si>
    <t>Last OZ FP &lt;20k</t>
  </si>
  <si>
    <t>OZ2</t>
  </si>
  <si>
    <t>Earliest Sect Time</t>
  </si>
  <si>
    <t>Last Sect Time</t>
  </si>
  <si>
    <t>Low in GOAL OZ</t>
  </si>
  <si>
    <t>Dist to SP</t>
  </si>
  <si>
    <t>Max Dist to VFinPt</t>
  </si>
  <si>
    <t>VFinPt Lat</t>
  </si>
  <si>
    <t>VFinPt Long</t>
  </si>
  <si>
    <t>VFinPt Time</t>
  </si>
  <si>
    <t>VFinPt Alt</t>
  </si>
  <si>
    <t>Dist AFT to FP</t>
  </si>
  <si>
    <t>Dist B4 to FP</t>
  </si>
  <si>
    <t>Start Line</t>
  </si>
  <si>
    <t>First in OZ &lt; 1 km</t>
  </si>
  <si>
    <t>Highest Alt in Goal OZ</t>
  </si>
  <si>
    <t>Finish line</t>
  </si>
  <si>
    <t>DATA PT LAT</t>
  </si>
  <si>
    <t>DATA PT LONG</t>
  </si>
  <si>
    <t>Press Alt</t>
  </si>
  <si>
    <t>Sat Alt</t>
  </si>
  <si>
    <t>Diff Long</t>
  </si>
  <si>
    <t>Low Sect St Alt</t>
  </si>
  <si>
    <t>Time @ low Sect</t>
  </si>
  <si>
    <t>Alt</t>
  </si>
  <si>
    <t>Last B4 St L/OZ</t>
  </si>
  <si>
    <t>Lat</t>
  </si>
  <si>
    <t>Long</t>
  </si>
  <si>
    <t>Course to SP</t>
  </si>
  <si>
    <t>First After Start L / ST OZ</t>
  </si>
  <si>
    <t>in OZ,&lt;10 km</t>
  </si>
  <si>
    <t>Azimuth</t>
  </si>
  <si>
    <t>to Finish</t>
  </si>
  <si>
    <t>Hi Sect Fin Alt</t>
  </si>
  <si>
    <t>Hi Sect Alt Time</t>
  </si>
  <si>
    <t>Dist/Closest to FP</t>
  </si>
  <si>
    <t>Time</t>
  </si>
  <si>
    <t>First AFT FL</t>
  </si>
  <si>
    <t>Course to FP</t>
  </si>
  <si>
    <t>LAST B4 FL</t>
  </si>
  <si>
    <t>UTC TRACK</t>
  </si>
  <si>
    <t>Degrees</t>
  </si>
  <si>
    <t>Radians</t>
  </si>
  <si>
    <t>C17</t>
  </si>
  <si>
    <t>C18</t>
  </si>
  <si>
    <t>C19</t>
  </si>
  <si>
    <t>C20</t>
  </si>
  <si>
    <t>to START</t>
  </si>
  <si>
    <t>Earliest w/in 20k</t>
  </si>
  <si>
    <t>w/in 1 km</t>
  </si>
  <si>
    <t>Start - DP</t>
  </si>
  <si>
    <t>Critical Case 1</t>
  </si>
  <si>
    <t>Critical Case 2</t>
  </si>
  <si>
    <t>Critical Case 3</t>
  </si>
  <si>
    <t>In OZ &lt; 10km</t>
  </si>
  <si>
    <t>OZ w/in 1 km</t>
  </si>
  <si>
    <t>after Rel</t>
  </si>
  <si>
    <t>to TPb</t>
  </si>
  <si>
    <t>&lt;= 1/2 km after REL</t>
  </si>
  <si>
    <t>TPc - DP</t>
  </si>
  <si>
    <t>after TP(if any)</t>
  </si>
  <si>
    <t>Fin - DP</t>
  </si>
  <si>
    <t>Tan U1</t>
  </si>
  <si>
    <t>U1</t>
  </si>
  <si>
    <t>SIN U1</t>
  </si>
  <si>
    <t>COS U1</t>
  </si>
  <si>
    <t>Formula 13</t>
  </si>
  <si>
    <t>Formula 14</t>
  </si>
  <si>
    <t>Formula 15</t>
  </si>
  <si>
    <t>Formula 17</t>
  </si>
  <si>
    <t>Formula 18</t>
  </si>
  <si>
    <t>Formula 10</t>
  </si>
  <si>
    <t>Intermediate</t>
  </si>
  <si>
    <t>before any TP, FIN</t>
  </si>
  <si>
    <t>Ground Track</t>
  </si>
  <si>
    <t>Finish Line</t>
  </si>
  <si>
    <t>TPA</t>
  </si>
  <si>
    <t>TPB</t>
  </si>
  <si>
    <t>TPC</t>
  </si>
  <si>
    <t>Last Last</t>
  </si>
  <si>
    <t>First Last</t>
  </si>
  <si>
    <t>Earliest</t>
  </si>
  <si>
    <t xml:space="preserve">Last Last </t>
  </si>
  <si>
    <t xml:space="preserve">First Last </t>
  </si>
  <si>
    <t xml:space="preserve">Earliest </t>
  </si>
  <si>
    <t xml:space="preserve">CALCULATED ABC ORDER </t>
  </si>
  <si>
    <t>Last Last - Earliest</t>
  </si>
  <si>
    <t>Declared order</t>
  </si>
  <si>
    <t>Declared Order</t>
  </si>
  <si>
    <t>South North meridian</t>
  </si>
  <si>
    <t>North south meridian</t>
  </si>
  <si>
    <t>Same Point</t>
  </si>
  <si>
    <t>Critical case tests</t>
  </si>
  <si>
    <t>Reverse Azimuth</t>
  </si>
  <si>
    <t>Forward azimuth</t>
  </si>
  <si>
    <r>
      <t xml:space="preserve">tan </t>
    </r>
    <r>
      <rPr>
        <sz val="10"/>
        <rFont val="Symbol"/>
        <family val="1"/>
        <charset val="2"/>
      </rPr>
      <t>a</t>
    </r>
    <r>
      <rPr>
        <vertAlign val="subscript"/>
        <sz val="11"/>
        <rFont val="Symbol"/>
        <family val="1"/>
        <charset val="2"/>
      </rPr>
      <t>2</t>
    </r>
  </si>
  <si>
    <t>formula21</t>
  </si>
  <si>
    <r>
      <t xml:space="preserve">tan </t>
    </r>
    <r>
      <rPr>
        <sz val="10"/>
        <rFont val="Symbol"/>
        <family val="1"/>
        <charset val="2"/>
      </rPr>
      <t>a</t>
    </r>
    <r>
      <rPr>
        <vertAlign val="subscript"/>
        <sz val="11"/>
        <rFont val="Arial"/>
        <family val="2"/>
      </rPr>
      <t>1</t>
    </r>
  </si>
  <si>
    <t>formula20</t>
  </si>
  <si>
    <t>s</t>
  </si>
  <si>
    <t>formula19</t>
  </si>
  <si>
    <t>l</t>
  </si>
  <si>
    <t>formula11modified</t>
  </si>
  <si>
    <t>formula10</t>
  </si>
  <si>
    <t>D s</t>
  </si>
  <si>
    <t>formula6</t>
  </si>
  <si>
    <t>formula4</t>
  </si>
  <si>
    <t>formula3</t>
  </si>
  <si>
    <r>
      <t>u</t>
    </r>
    <r>
      <rPr>
        <vertAlign val="superscript"/>
        <sz val="11"/>
        <rFont val="Arial"/>
        <family val="2"/>
      </rPr>
      <t>2</t>
    </r>
  </si>
  <si>
    <t>formula18</t>
  </si>
  <si>
    <r>
      <t xml:space="preserve">sin </t>
    </r>
    <r>
      <rPr>
        <sz val="10"/>
        <rFont val="Symbol"/>
        <family val="1"/>
        <charset val="2"/>
      </rPr>
      <t>a</t>
    </r>
  </si>
  <si>
    <t>formula17</t>
  </si>
  <si>
    <r>
      <t xml:space="preserve">tan </t>
    </r>
    <r>
      <rPr>
        <sz val="10"/>
        <rFont val="Symbol"/>
        <family val="1"/>
        <charset val="2"/>
      </rPr>
      <t>s</t>
    </r>
  </si>
  <si>
    <t>formula16</t>
  </si>
  <si>
    <r>
      <t xml:space="preserve">cos </t>
    </r>
    <r>
      <rPr>
        <sz val="10"/>
        <rFont val="Symbol"/>
        <family val="1"/>
        <charset val="2"/>
      </rPr>
      <t>s</t>
    </r>
  </si>
  <si>
    <t>formula15</t>
  </si>
  <si>
    <r>
      <t>sin</t>
    </r>
    <r>
      <rPr>
        <vertAlign val="superscript"/>
        <sz val="10"/>
        <rFont val="Arial"/>
        <family val="2"/>
      </rPr>
      <t>2</t>
    </r>
    <r>
      <rPr>
        <sz val="10"/>
        <rFont val="Symbol"/>
        <family val="1"/>
        <charset val="2"/>
      </rPr>
      <t xml:space="preserve"> s</t>
    </r>
  </si>
  <si>
    <t>formula14</t>
  </si>
  <si>
    <t>formula13</t>
  </si>
  <si>
    <t>cosU2</t>
  </si>
  <si>
    <t>sinU2</t>
  </si>
  <si>
    <t>U2</t>
  </si>
  <si>
    <t>tanU2</t>
  </si>
  <si>
    <t>cosU1</t>
  </si>
  <si>
    <t>sinU1</t>
  </si>
  <si>
    <t>tanU1</t>
  </si>
  <si>
    <t>(f*f)/16</t>
  </si>
  <si>
    <t>(f*f)/8</t>
  </si>
  <si>
    <t>(f*f)/2</t>
  </si>
  <si>
    <t>Flattening (f)</t>
  </si>
  <si>
    <t>(f+f*f)/2</t>
  </si>
  <si>
    <t>Semi minor axis (b)</t>
  </si>
  <si>
    <t>f+f*f</t>
  </si>
  <si>
    <t>Semi major axis (a)</t>
  </si>
  <si>
    <t>Dec Degrees</t>
  </si>
  <si>
    <t>km</t>
  </si>
  <si>
    <t xml:space="preserve"> </t>
  </si>
  <si>
    <t>Spheroidal Dist. (S)</t>
  </si>
  <si>
    <t>Read from TPOrder</t>
  </si>
  <si>
    <t>Virtual Finish Point</t>
  </si>
  <si>
    <t>Station 2</t>
  </si>
  <si>
    <t>Start Point</t>
  </si>
  <si>
    <t>Station 1</t>
  </si>
  <si>
    <t>WGS84</t>
  </si>
  <si>
    <t>Ellipsoid</t>
  </si>
  <si>
    <t>Last TP claimed</t>
  </si>
  <si>
    <t>Finish Point</t>
  </si>
  <si>
    <t>DP Before Finish Line</t>
  </si>
  <si>
    <t>DP AFTER Finish Line</t>
  </si>
  <si>
    <t>DP After Start Line</t>
  </si>
  <si>
    <t>DP before Start Line</t>
  </si>
  <si>
    <t>DP after Finish Line</t>
  </si>
  <si>
    <t>DP before Finish Line</t>
  </si>
  <si>
    <t>DP after Start Line</t>
  </si>
  <si>
    <t>At  C957, read from TPOrder</t>
  </si>
  <si>
    <t>At  C956, read from TPOrder</t>
  </si>
  <si>
    <t>First Out of Sector &lt;1 km</t>
  </si>
  <si>
    <t>Last in Sector &lt;1 km</t>
  </si>
  <si>
    <t>Declared Start Point</t>
  </si>
  <si>
    <t>LAST IN SECTOR &lt; 1 km</t>
  </si>
  <si>
    <t>At  C883, read from TPOrder</t>
  </si>
  <si>
    <t>At  C882, read from TPOrder</t>
  </si>
  <si>
    <t>Last B4 OZ &lt;1 km</t>
  </si>
  <si>
    <t>First in O &lt;1 km</t>
  </si>
  <si>
    <t>Last B4  OZ &lt; 1 km</t>
  </si>
  <si>
    <t>Declared Finish Point</t>
  </si>
  <si>
    <t>Last Turnpoint Claimed</t>
  </si>
  <si>
    <t xml:space="preserve">All data is entered automatically </t>
  </si>
  <si>
    <t>YDWKII// Vincenty calculations for Geodesic Distance, online @ http://www.agso.gov.au/nmd/geodesy/datums/calcs.jsp</t>
  </si>
  <si>
    <t>Start Lat</t>
  </si>
  <si>
    <t>Start Long</t>
  </si>
  <si>
    <t>Read from Summary</t>
  </si>
  <si>
    <t>TPOrder</t>
  </si>
  <si>
    <t>Goal Finish</t>
  </si>
  <si>
    <t>Sectors OK</t>
  </si>
  <si>
    <t>#TP achieved</t>
  </si>
  <si>
    <t>Cylinders Req'd</t>
  </si>
  <si>
    <t>#TP attempted</t>
  </si>
  <si>
    <t>TP3 Long Min</t>
  </si>
  <si>
    <t>TP3 Long Deg</t>
  </si>
  <si>
    <t>Fin Long Min</t>
  </si>
  <si>
    <t>Fin Long Deg</t>
  </si>
  <si>
    <t>#TP declared</t>
  </si>
  <si>
    <t>3 (C)</t>
  </si>
  <si>
    <t>TP3 Lat Min</t>
  </si>
  <si>
    <t>TP3 Lat Deg</t>
  </si>
  <si>
    <t>Fin Lat Min</t>
  </si>
  <si>
    <t>Fin Lat Deg</t>
  </si>
  <si>
    <t>2 (B)</t>
  </si>
  <si>
    <t>Turnpoint 3</t>
  </si>
  <si>
    <t>Finish Name</t>
  </si>
  <si>
    <t>1 (A)</t>
  </si>
  <si>
    <t>User Order</t>
  </si>
  <si>
    <t>First In OZ</t>
  </si>
  <si>
    <t xml:space="preserve"> 1st Eval Order</t>
  </si>
  <si>
    <t>DISTANCE /GOAL TASKS</t>
  </si>
  <si>
    <t>Goal Start</t>
  </si>
  <si>
    <t>TP2 Long Min</t>
  </si>
  <si>
    <t>TP2 Long Deg</t>
  </si>
  <si>
    <t>Start Long Min</t>
  </si>
  <si>
    <t>Start Long Deg</t>
  </si>
  <si>
    <t>High (Gain) Nearer</t>
  </si>
  <si>
    <t>Low nearer</t>
  </si>
  <si>
    <t>TP2 Lat Min</t>
  </si>
  <si>
    <t>TP2 Lat Deg</t>
  </si>
  <si>
    <t>Start Lat Min</t>
  </si>
  <si>
    <t>Start Lat Deg</t>
  </si>
  <si>
    <t>Turnpoint 2</t>
  </si>
  <si>
    <t>Start Name</t>
  </si>
  <si>
    <t>Dec WPs OK</t>
  </si>
  <si>
    <t>Landing</t>
  </si>
  <si>
    <t>MG Fini</t>
  </si>
  <si>
    <t>TP1 Long Min</t>
  </si>
  <si>
    <t>TP1 Long Deg</t>
  </si>
  <si>
    <t>Dec Time OK</t>
  </si>
  <si>
    <t>Long Min</t>
  </si>
  <si>
    <t>Long Deg</t>
  </si>
  <si>
    <t>TP1 Lat Min</t>
  </si>
  <si>
    <t>TP1 Lat Deg</t>
  </si>
  <si>
    <t>Turnpoint 1</t>
  </si>
  <si>
    <t>Pre FL PA</t>
  </si>
  <si>
    <t>Take Off Time</t>
  </si>
  <si>
    <t>Lat Min</t>
  </si>
  <si>
    <t>Lat Deg</t>
  </si>
  <si>
    <t>Declared TP (use order if specified)</t>
  </si>
  <si>
    <t>PostFl PA</t>
  </si>
  <si>
    <t>Performance End</t>
  </si>
  <si>
    <t>Inter TP Min</t>
  </si>
  <si>
    <t>Declaration Date &amp; Time</t>
  </si>
  <si>
    <t>FIN ALT**</t>
  </si>
  <si>
    <t>ST ALT*</t>
  </si>
  <si>
    <t>ABSOLUTE HIGH</t>
  </si>
  <si>
    <t>UTC Offset</t>
  </si>
  <si>
    <t>Glider Type</t>
  </si>
  <si>
    <t>HI ALT GAIN</t>
  </si>
  <si>
    <t>UTC HIGH GAIN</t>
  </si>
  <si>
    <t>Flight Date</t>
  </si>
  <si>
    <t>Rel Long Min</t>
  </si>
  <si>
    <t>Rel Long Deg</t>
  </si>
  <si>
    <t>Sailplane ID</t>
  </si>
  <si>
    <t>LO ALT</t>
  </si>
  <si>
    <t>UTC LOW</t>
  </si>
  <si>
    <t>Rel lat Min</t>
  </si>
  <si>
    <t>Rel Lat Deg</t>
  </si>
  <si>
    <t>Last Calibration</t>
  </si>
  <si>
    <t>Sailplane Type</t>
  </si>
  <si>
    <t>Serial #</t>
  </si>
  <si>
    <t>Vfin Duration</t>
  </si>
  <si>
    <t>REL ALT</t>
  </si>
  <si>
    <t xml:space="preserve">UTC REL </t>
  </si>
  <si>
    <t>FR Model</t>
  </si>
  <si>
    <t>Claim Check IGC File Summary</t>
  </si>
  <si>
    <t>Speed over Maximum Closed Course, (units/hr)</t>
  </si>
  <si>
    <t xml:space="preserve">Maximum, one or more TPs </t>
  </si>
  <si>
    <t>Maximum Straight Out Task</t>
  </si>
  <si>
    <t>Metric</t>
  </si>
  <si>
    <t>English</t>
  </si>
  <si>
    <t>N/A</t>
  </si>
  <si>
    <t>Offcial Dist Km</t>
  </si>
  <si>
    <t>Cyl Corr</t>
  </si>
  <si>
    <t>TP=/&gt;10km</t>
  </si>
  <si>
    <t>PENALTY km</t>
  </si>
  <si>
    <t>EXCESS</t>
  </si>
  <si>
    <t>Sm       Raw Distance    Km</t>
  </si>
  <si>
    <t>Leg 4</t>
  </si>
  <si>
    <t>Goal Flt LoH:</t>
  </si>
  <si>
    <t>Leg 3</t>
  </si>
  <si>
    <t>w/Cyl Corr</t>
  </si>
  <si>
    <t>Leg 2</t>
  </si>
  <si>
    <t>Leg 1</t>
  </si>
  <si>
    <t>P3 - P1, sm</t>
  </si>
  <si>
    <t>Start</t>
  </si>
  <si>
    <t>P3 - P1, km</t>
  </si>
  <si>
    <t>Fini - Land</t>
  </si>
  <si>
    <t>Rel - Finish</t>
  </si>
  <si>
    <t>Start - Land</t>
  </si>
  <si>
    <t>Rel - Land</t>
  </si>
  <si>
    <t>FinPt/Path</t>
  </si>
  <si>
    <t>Start - Fin</t>
  </si>
  <si>
    <t>StPT/Path</t>
  </si>
  <si>
    <t>Cylinder Correction</t>
  </si>
  <si>
    <t xml:space="preserve">Declared TP1 - TP3 </t>
  </si>
  <si>
    <t>Statute mi</t>
  </si>
  <si>
    <t>Kilometres</t>
  </si>
  <si>
    <t>TPx - Ldg</t>
  </si>
  <si>
    <t>TPx - Finish</t>
  </si>
  <si>
    <t>TP2 - TP3</t>
  </si>
  <si>
    <t>TP1 - TP2</t>
  </si>
  <si>
    <t>Start - TP1</t>
  </si>
  <si>
    <t>Rel - TP1</t>
  </si>
  <si>
    <t>DELTA</t>
  </si>
  <si>
    <t>Ldg Elev</t>
  </si>
  <si>
    <t>Field Elev</t>
  </si>
  <si>
    <t>Baseline 2</t>
  </si>
  <si>
    <t>Baseline 1</t>
  </si>
  <si>
    <t>Low</t>
  </si>
  <si>
    <t>Aircraft</t>
  </si>
  <si>
    <t>Pilot Name</t>
  </si>
  <si>
    <t>IMPORT FROM IGC</t>
  </si>
  <si>
    <t>BADGE &amp; RECORD CLAIM WORKSHEET</t>
  </si>
  <si>
    <t>CALCULATED VALUE</t>
  </si>
  <si>
    <t xml:space="preserve">APPLICANT DATA ENTRY </t>
  </si>
  <si>
    <t>GF OZ entry</t>
  </si>
  <si>
    <t>GS OZ exit</t>
  </si>
  <si>
    <t>HIGoal OZ Fin</t>
  </si>
  <si>
    <t>LOGoal OZ ST</t>
  </si>
  <si>
    <t>Post-flt Data</t>
  </si>
  <si>
    <t>ABS hi</t>
  </si>
  <si>
    <t>High (gain)</t>
  </si>
  <si>
    <t>Pre-flt Data</t>
  </si>
  <si>
    <t>RECORDED</t>
  </si>
  <si>
    <t>Event</t>
  </si>
  <si>
    <t>Pressure Altitude : Calibration data</t>
  </si>
  <si>
    <t>Pressure Altitude : Flight Data</t>
  </si>
  <si>
    <t xml:space="preserve">YDWK // Numeric Calibration Interpolations to calculate in-flight Pressure Altitudes Corrected for Instrument Error  </t>
  </si>
  <si>
    <t>"Indicated" or "displayed" instead of "RECORDED"</t>
  </si>
  <si>
    <t>NUMERIC CALIBRATION: ELECTRONIC BAROGRAPH OR FLIGHT RECORDER</t>
  </si>
  <si>
    <t>Speed (mph)</t>
  </si>
  <si>
    <t>Speed (km/hr)</t>
  </si>
  <si>
    <t>Distance (sm)</t>
  </si>
  <si>
    <t>Distance (km)</t>
  </si>
  <si>
    <t>Task Type</t>
  </si>
  <si>
    <t xml:space="preserve">Absolute Altitude   </t>
  </si>
  <si>
    <t xml:space="preserve">Altitude Gain   </t>
  </si>
  <si>
    <t xml:space="preserve">Low Altitude   </t>
  </si>
  <si>
    <t xml:space="preserve">Badge-eligible Duration   </t>
  </si>
  <si>
    <t>Release, UTC</t>
  </si>
  <si>
    <t>Claim Check Summary</t>
  </si>
  <si>
    <t>Calculated</t>
  </si>
  <si>
    <t xml:space="preserve">Calculated </t>
  </si>
  <si>
    <t>First in Sector</t>
  </si>
  <si>
    <t>Last in Sector</t>
  </si>
  <si>
    <t>Mid Last</t>
  </si>
  <si>
    <t>Vincenty</t>
  </si>
  <si>
    <t>AZ to Tpa</t>
  </si>
  <si>
    <t>AZ to TP C</t>
  </si>
  <si>
    <t>AZ to Start</t>
  </si>
  <si>
    <t>Bisector &amp; raw OZ limits</t>
  </si>
  <si>
    <t>Corrected OZ limits</t>
  </si>
  <si>
    <t>Last OZ Sector</t>
  </si>
  <si>
    <t>First OZ Sector</t>
  </si>
  <si>
    <t>TPx - Fin Fix</t>
  </si>
  <si>
    <t xml:space="preserve">        Click on the glider to print &amp; save</t>
  </si>
  <si>
    <t>SCROLL DOWN TO VIEW DISTANCE CLAIM DATA</t>
  </si>
  <si>
    <t>Data Recorder: Make/Model</t>
  </si>
  <si>
    <t>END / EXIT</t>
  </si>
  <si>
    <t>END /EXIT</t>
  </si>
  <si>
    <t>Achieved Turnpoint 1</t>
  </si>
  <si>
    <t>Achieved Turnpoint 2</t>
  </si>
  <si>
    <t>Achieved Turnpoint 3</t>
  </si>
  <si>
    <t xml:space="preserve">Cal Due  </t>
  </si>
  <si>
    <t xml:space="preserve">     Select One</t>
  </si>
  <si>
    <t xml:space="preserve">          Feet</t>
  </si>
  <si>
    <t xml:space="preserve">        Metres</t>
  </si>
  <si>
    <t xml:space="preserve">     Calibration Units</t>
  </si>
  <si>
    <t>Calibration labs may refer to "actual" or "corrected" or</t>
  </si>
  <si>
    <t xml:space="preserve"> "ICAO"  altitudes instead of "TRUE";  some may use </t>
  </si>
  <si>
    <t xml:space="preserve">Transcribe consecutive pairs of True and Recorded                                                   altitudes into the table at right. </t>
  </si>
  <si>
    <t xml:space="preserve">Start with a zero in the top row of the TRUE column,                                               paired with the altitude recorded at Sea Level.                             </t>
  </si>
  <si>
    <t>When finished, select a tab below</t>
  </si>
  <si>
    <t>The highest altitude in the RECORDED column must be                                           higher than the highest altitude recorded in flight.</t>
  </si>
  <si>
    <t>Goal Flight Checks:</t>
  </si>
  <si>
    <r>
      <t>Latitude</t>
    </r>
    <r>
      <rPr>
        <sz val="10"/>
        <rFont val="Arial"/>
        <family val="2"/>
      </rPr>
      <t xml:space="preserve"> (</t>
    </r>
    <r>
      <rPr>
        <sz val="10"/>
        <rFont val="Symbol"/>
        <family val="1"/>
        <charset val="2"/>
      </rPr>
      <t>j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</si>
  <si>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Latitude</t>
    </r>
    <r>
      <rPr>
        <sz val="10"/>
        <rFont val="Arial"/>
        <family val="2"/>
      </rPr>
      <t xml:space="preserve"> (</t>
    </r>
    <r>
      <rPr>
        <sz val="10"/>
        <rFont val="Symbol"/>
        <family val="1"/>
        <charset val="2"/>
      </rPr>
      <t>j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</si>
  <si>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Longitude</t>
    </r>
    <r>
      <rPr>
        <sz val="10"/>
        <rFont val="Arial"/>
        <family val="2"/>
      </rPr>
      <t xml:space="preserve"> (</t>
    </r>
    <r>
      <rPr>
        <sz val="10"/>
        <rFont val="Symbol"/>
        <family val="1"/>
        <charset val="2"/>
      </rPr>
      <t>l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</si>
  <si>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Longitude</t>
    </r>
    <r>
      <rPr>
        <sz val="10"/>
        <rFont val="Arial"/>
        <family val="2"/>
      </rPr>
      <t xml:space="preserve"> (</t>
    </r>
    <r>
      <rPr>
        <sz val="10"/>
        <rFont val="Symbol"/>
        <family val="1"/>
        <charset val="2"/>
      </rPr>
      <t>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</si>
  <si>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Azimuth 1-2 (</t>
    </r>
    <r>
      <rPr>
        <sz val="10"/>
        <rFont val="Symbol"/>
        <family val="1"/>
        <charset val="2"/>
      </rPr>
      <t>a</t>
    </r>
    <r>
      <rPr>
        <vertAlign val="subscript"/>
        <sz val="10"/>
        <rFont val="Arial"/>
        <family val="2"/>
      </rPr>
      <t>12</t>
    </r>
    <r>
      <rPr>
        <sz val="10"/>
        <rFont val="Arial"/>
        <family val="2"/>
      </rPr>
      <t>)</t>
    </r>
  </si>
  <si>
    <r>
      <t>Azimuth 2-1(</t>
    </r>
    <r>
      <rPr>
        <sz val="10"/>
        <rFont val="Symbol"/>
        <family val="1"/>
        <charset val="2"/>
      </rPr>
      <t>a</t>
    </r>
    <r>
      <rPr>
        <vertAlign val="subscript"/>
        <sz val="10"/>
        <rFont val="Arial"/>
        <family val="2"/>
      </rPr>
      <t>21</t>
    </r>
    <r>
      <rPr>
        <sz val="10"/>
        <rFont val="Arial"/>
        <family val="2"/>
      </rPr>
      <t>)</t>
    </r>
  </si>
  <si>
    <r>
      <t>Latitude (</t>
    </r>
    <r>
      <rPr>
        <sz val="10"/>
        <rFont val="Symbol"/>
        <family val="1"/>
        <charset val="2"/>
      </rPr>
      <t>j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</si>
  <si>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Longitude (</t>
    </r>
    <r>
      <rPr>
        <sz val="10"/>
        <rFont val="Symbol"/>
        <family val="1"/>
        <charset val="2"/>
      </rPr>
      <t>l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</si>
  <si>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Latitude (</t>
    </r>
    <r>
      <rPr>
        <sz val="10"/>
        <rFont val="Symbol"/>
        <family val="1"/>
        <charset val="2"/>
      </rPr>
      <t>j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</si>
  <si>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Longitude (</t>
    </r>
    <r>
      <rPr>
        <sz val="10"/>
        <rFont val="Symbol"/>
        <family val="1"/>
        <charset val="2"/>
      </rPr>
      <t>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</si>
  <si>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Diff longitude (</t>
    </r>
    <r>
      <rPr>
        <sz val="10"/>
        <rFont val="Symbol"/>
        <family val="1"/>
        <charset val="2"/>
      </rPr>
      <t>w</t>
    </r>
    <r>
      <rPr>
        <sz val="10"/>
        <rFont val="Arial"/>
        <family val="2"/>
      </rPr>
      <t>)</t>
    </r>
  </si>
  <si>
    <r>
      <t xml:space="preserve">cos 2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 xml:space="preserve"> </t>
    </r>
    <r>
      <rPr>
        <vertAlign val="subscript"/>
        <sz val="11"/>
        <rFont val="Arial"/>
        <family val="2"/>
      </rPr>
      <t>m</t>
    </r>
  </si>
  <si>
    <r>
      <t>a</t>
    </r>
    <r>
      <rPr>
        <vertAlign val="subscript"/>
        <sz val="10"/>
        <rFont val="Arial"/>
        <family val="2"/>
      </rPr>
      <t xml:space="preserve">12 </t>
    </r>
    <r>
      <rPr>
        <sz val="10"/>
        <rFont val="Arial"/>
        <family val="2"/>
      </rPr>
      <t>(radians)</t>
    </r>
  </si>
  <si>
    <r>
      <t>a</t>
    </r>
    <r>
      <rPr>
        <vertAlign val="subscript"/>
        <sz val="10"/>
        <rFont val="Arial"/>
        <family val="2"/>
      </rPr>
      <t xml:space="preserve">21 </t>
    </r>
    <r>
      <rPr>
        <sz val="10"/>
        <rFont val="Arial"/>
        <family val="2"/>
      </rPr>
      <t>(radians)</t>
    </r>
  </si>
  <si>
    <r>
      <t>a</t>
    </r>
    <r>
      <rPr>
        <vertAlign val="subscript"/>
        <sz val="10"/>
        <rFont val="Arial"/>
        <family val="2"/>
      </rPr>
      <t xml:space="preserve">12 </t>
    </r>
    <r>
      <rPr>
        <sz val="10"/>
        <rFont val="Arial"/>
        <family val="2"/>
      </rPr>
      <t>(degrees)</t>
    </r>
  </si>
  <si>
    <r>
      <t>a</t>
    </r>
    <r>
      <rPr>
        <vertAlign val="subscript"/>
        <sz val="10"/>
        <rFont val="Arial"/>
        <family val="2"/>
      </rPr>
      <t>21</t>
    </r>
    <r>
      <rPr>
        <sz val="10"/>
        <rFont val="Arial"/>
        <family val="2"/>
      </rPr>
      <t xml:space="preserve"> (degrees)</t>
    </r>
  </si>
  <si>
    <t>Scroll down to view the Declaration evaluated</t>
  </si>
  <si>
    <t>2.  Completed NAC and/or FAI claim form(s), as appropriate.</t>
  </si>
  <si>
    <t>5.  As applicable to the claim(s):</t>
  </si>
  <si>
    <t xml:space="preserve">         -  For any claim based on a written declaration, the original document</t>
  </si>
  <si>
    <t xml:space="preserve">         -  For any record claim, a copy of the post-flight notification submitted to the NAC and/or FAI</t>
  </si>
  <si>
    <t xml:space="preserve">         -  For a Free Record claim, a list of the Way Points claimed, including coordinates</t>
  </si>
  <si>
    <t xml:space="preserve">FR/PR &amp; Serial #: </t>
  </si>
  <si>
    <t xml:space="preserve">Flight Date: </t>
  </si>
  <si>
    <t xml:space="preserve">Pilot(s): </t>
  </si>
  <si>
    <t xml:space="preserve">Sailplane: </t>
  </si>
  <si>
    <t xml:space="preserve"># Turn Points: </t>
  </si>
  <si>
    <t>Latitude</t>
  </si>
  <si>
    <t>Longitude</t>
  </si>
  <si>
    <t>South = Negative</t>
  </si>
  <si>
    <t>West = Negative</t>
  </si>
  <si>
    <t>Minutes</t>
  </si>
  <si>
    <t xml:space="preserve">Start Point  </t>
  </si>
  <si>
    <t xml:space="preserve">Turn Point #1  </t>
  </si>
  <si>
    <t xml:space="preserve">Turn Point #2  </t>
  </si>
  <si>
    <t xml:space="preserve">Turn Point #3  </t>
  </si>
  <si>
    <t xml:space="preserve">Finish Point  </t>
  </si>
  <si>
    <t>Loss of Height</t>
  </si>
  <si>
    <t xml:space="preserve">Evaluation Notes Save/Print Options: </t>
  </si>
  <si>
    <t xml:space="preserve">          Send to printer</t>
  </si>
  <si>
    <t xml:space="preserve">             Select One</t>
  </si>
  <si>
    <t>1.  The Observer's original data file(s). (Cambridge 10/20/25 FRs require files in IGC and CAI formats)</t>
  </si>
  <si>
    <t>4.  The Official Observer's explanation for any anomalies noted during claim evaluation.</t>
  </si>
  <si>
    <t xml:space="preserve">     Save Electronic Copy</t>
  </si>
  <si>
    <t>TASK TYPE</t>
  </si>
  <si>
    <t>COORDINATES</t>
  </si>
  <si>
    <t>OFFICIAL DISTANCE km</t>
  </si>
  <si>
    <t>Way Point Time  UTC</t>
  </si>
  <si>
    <t>MSL</t>
  </si>
  <si>
    <t>GPS</t>
  </si>
  <si>
    <t>Each Leg</t>
  </si>
  <si>
    <t>Task Total</t>
  </si>
  <si>
    <t>Claim Check Optimization</t>
  </si>
  <si>
    <t xml:space="preserve">Click on the glider to continue    </t>
  </si>
  <si>
    <t>Pressure Altitude: Free Tasks</t>
  </si>
  <si>
    <t>Free St Start</t>
  </si>
  <si>
    <t>Free St Fini</t>
  </si>
  <si>
    <t>Free OR Start</t>
  </si>
  <si>
    <t>Free OR Fini</t>
  </si>
  <si>
    <t>Free PO Start</t>
  </si>
  <si>
    <t>Free PO Fini</t>
  </si>
  <si>
    <t>Free TRI Start</t>
  </si>
  <si>
    <t>Free TRI Fini</t>
  </si>
  <si>
    <t>Scroll down to review FAI award eligibility</t>
  </si>
  <si>
    <r>
      <t xml:space="preserve">Free Straight Distance  </t>
    </r>
    <r>
      <rPr>
        <i/>
        <sz val="13"/>
        <rFont val="Arial"/>
        <family val="2"/>
      </rPr>
      <t>Loss of Height calculations</t>
    </r>
  </si>
  <si>
    <r>
      <t xml:space="preserve">Free O &amp; R Distance  </t>
    </r>
    <r>
      <rPr>
        <i/>
        <sz val="13"/>
        <rFont val="Arial"/>
        <family val="2"/>
      </rPr>
      <t>Loss of Height calculations</t>
    </r>
  </si>
  <si>
    <t>START FIX</t>
  </si>
  <si>
    <t>FINISH FIX</t>
  </si>
  <si>
    <r>
      <t xml:space="preserve">Free Pilot Option Distance   </t>
    </r>
    <r>
      <rPr>
        <i/>
        <sz val="13"/>
        <rFont val="Arial"/>
        <family val="2"/>
      </rPr>
      <t>Loss of Height calculations</t>
    </r>
  </si>
  <si>
    <r>
      <t xml:space="preserve">Free Triangle Distance  </t>
    </r>
    <r>
      <rPr>
        <i/>
        <sz val="13"/>
        <rFont val="Arial"/>
        <family val="2"/>
      </rPr>
      <t>Loss of Height calculations</t>
    </r>
  </si>
  <si>
    <t>Task Distance</t>
  </si>
  <si>
    <t>Official Distance</t>
  </si>
  <si>
    <t>RELEASE</t>
  </si>
  <si>
    <t>LOW POINT</t>
  </si>
  <si>
    <t>HIGH GAIN</t>
  </si>
  <si>
    <t>Corrected Finish Fix</t>
  </si>
  <si>
    <t>Free Straight Distance</t>
  </si>
  <si>
    <t>Free Out &amp; Return Distance</t>
  </si>
  <si>
    <t>Free Triangle Distance</t>
  </si>
  <si>
    <t>Corrected Start Fix</t>
  </si>
  <si>
    <t>Straight Distance</t>
  </si>
  <si>
    <t>Start Fix</t>
  </si>
  <si>
    <t>Finish Fix</t>
  </si>
  <si>
    <t>STD Finish Fix</t>
  </si>
  <si>
    <t>Virtual S &amp; F</t>
  </si>
  <si>
    <t>PO Fin Fix</t>
  </si>
  <si>
    <t>UTC PO ST FIX</t>
  </si>
  <si>
    <t>UTC PO FIN FIX</t>
  </si>
  <si>
    <t>a21 (radians)</t>
  </si>
  <si>
    <t>a21 (degrees)</t>
  </si>
  <si>
    <t>STD Fin Fix</t>
  </si>
  <si>
    <t>Unltd St OZ</t>
  </si>
  <si>
    <t>Unltd Fin OZ</t>
  </si>
  <si>
    <t>Mop Start</t>
  </si>
  <si>
    <t>MoP Alt</t>
  </si>
  <si>
    <r>
      <t xml:space="preserve">    GEODESIC DISTANCES -</t>
    </r>
    <r>
      <rPr>
        <sz val="13"/>
        <rFont val="Arial"/>
        <family val="2"/>
      </rPr>
      <t xml:space="preserve"> </t>
    </r>
    <r>
      <rPr>
        <b/>
        <sz val="13"/>
        <rFont val="Arial"/>
        <family val="2"/>
      </rPr>
      <t xml:space="preserve">MoP stop point equivalent to "release"; MoP start point equivalent to "landing" </t>
    </r>
  </si>
  <si>
    <t>Rel-Ldg/MoP</t>
  </si>
  <si>
    <t>ST-Ldg/MoP</t>
  </si>
  <si>
    <t>Latitude (j1)</t>
  </si>
  <si>
    <t>Latitude (j2)</t>
  </si>
  <si>
    <t>Longitude (l1)</t>
  </si>
  <si>
    <t>Longitude (l2)</t>
  </si>
  <si>
    <t>Azimuth 1-2 (a12)</t>
  </si>
  <si>
    <t>Azimuth 2-1(a21)</t>
  </si>
  <si>
    <t>Diff longitude (w)</t>
  </si>
  <si>
    <t>sin2 s</t>
  </si>
  <si>
    <t>cos s</t>
  </si>
  <si>
    <t>tan s</t>
  </si>
  <si>
    <t>sin a</t>
  </si>
  <si>
    <t>cos 2 s m</t>
  </si>
  <si>
    <t>u2</t>
  </si>
  <si>
    <t>tan a1</t>
  </si>
  <si>
    <t>tan a2</t>
  </si>
  <si>
    <t>a12 (radians)</t>
  </si>
  <si>
    <t>a12 (degrees)</t>
  </si>
  <si>
    <t>Read from B</t>
  </si>
  <si>
    <t>2009 -  30 Sep 2015</t>
  </si>
  <si>
    <t>Turn Points Achieved &amp; Turn Point Order</t>
  </si>
  <si>
    <r>
      <t xml:space="preserve">    Claim Variants  Grouped by SC3 rules as of the flight date</t>
    </r>
    <r>
      <rPr>
        <b/>
        <i/>
        <sz val="13"/>
        <rFont val="Arial"/>
        <family val="2"/>
      </rPr>
      <t xml:space="preserve">  </t>
    </r>
    <r>
      <rPr>
        <b/>
        <sz val="13"/>
        <rFont val="Arial"/>
        <family val="2"/>
      </rPr>
      <t xml:space="preserve">         </t>
    </r>
    <r>
      <rPr>
        <b/>
        <sz val="13"/>
        <color rgb="FFFF0000"/>
        <rFont val="Arial"/>
        <family val="2"/>
      </rPr>
      <t xml:space="preserve"> </t>
    </r>
  </si>
  <si>
    <t>through</t>
  </si>
  <si>
    <t>Flight Dates</t>
  </si>
  <si>
    <t>Rel to Ldg/MoP, no TP</t>
  </si>
  <si>
    <t>Unltd SOZ to Ldg/MoP, no TP</t>
  </si>
  <si>
    <t>Rel to Unltd FOZ, no TP</t>
  </si>
  <si>
    <t>Unltd SOZ&amp;FOZ, no TP</t>
  </si>
  <si>
    <t>Unltd SOZ &amp; FOZ via TP(s)</t>
  </si>
  <si>
    <t>Rel to Ldg/MoP via TP(s)</t>
  </si>
  <si>
    <t xml:space="preserve">Unltd SOZ to Ldg/MoP via TP(s) </t>
  </si>
  <si>
    <t>Rel to Unltd FOZ via TP(s)</t>
  </si>
  <si>
    <t>Straight Goal, no TP</t>
  </si>
  <si>
    <t>Based on Flight Date</t>
  </si>
  <si>
    <t>1-Oct-2009         and later</t>
  </si>
  <si>
    <t>Corrected</t>
  </si>
  <si>
    <t>Dur Start Fix</t>
  </si>
  <si>
    <t>Low Point</t>
  </si>
  <si>
    <t>ABS High</t>
  </si>
  <si>
    <t>High Gain</t>
  </si>
  <si>
    <t>Dur Fin Fix</t>
  </si>
  <si>
    <t>LO Goal OZ St</t>
  </si>
  <si>
    <t>HI Goal OZ Fin</t>
  </si>
  <si>
    <t xml:space="preserve"> ABS ALTITUDE</t>
  </si>
  <si>
    <t xml:space="preserve">Corrected </t>
  </si>
  <si>
    <t>DUR St FIX</t>
  </si>
  <si>
    <t>DUR Fin Fix</t>
  </si>
  <si>
    <t>VSTART Duration</t>
  </si>
  <si>
    <t>V Fin DURATION</t>
  </si>
  <si>
    <t>V Start DUR</t>
  </si>
  <si>
    <t>Low Point @</t>
  </si>
  <si>
    <t>High Point @</t>
  </si>
  <si>
    <t>Goal Oz Entry</t>
  </si>
  <si>
    <t>Goal OZ Exit</t>
  </si>
  <si>
    <t>Absolute Alt</t>
  </si>
  <si>
    <t>Alt Gain</t>
  </si>
  <si>
    <t xml:space="preserve">    ALTITUDES</t>
  </si>
  <si>
    <t>Metres</t>
  </si>
  <si>
    <t>Feet</t>
  </si>
  <si>
    <t>Unltd OZ HI</t>
  </si>
  <si>
    <t>Unltd OZ LO</t>
  </si>
  <si>
    <t>Absolute @</t>
  </si>
  <si>
    <t>LoH, Metres</t>
  </si>
  <si>
    <t>TPD Fin Fix</t>
  </si>
  <si>
    <t>Rel - Fin Fix</t>
  </si>
  <si>
    <t>1km Start &amp; Finish Sectors OK (1 Oct 2009 - 30 Sep 2015); S/F Lines only (1 Oct 2015 &amp; later)</t>
  </si>
  <si>
    <t>&lt; 1 Oct 2015, 10 km minimum</t>
  </si>
  <si>
    <t xml:space="preserve">SD Leg Fin </t>
  </si>
  <si>
    <t>SD Leg St</t>
  </si>
  <si>
    <t>Start Options before 1 Oct 2015</t>
  </si>
  <si>
    <t>Finish Options before 1 Oct 2015</t>
  </si>
  <si>
    <t>w/ TP(s)</t>
  </si>
  <si>
    <t>ST - Fin Fix</t>
  </si>
  <si>
    <t xml:space="preserve"> NOTE: "Finish Fixes" include consideration of whether MoP start or landing yields the best Official Distance</t>
  </si>
  <si>
    <t>VARIABLE</t>
  </si>
  <si>
    <t>Macro</t>
  </si>
  <si>
    <t>Best Duration:</t>
  </si>
  <si>
    <t xml:space="preserve"> Release to Finish Fix no TP</t>
  </si>
  <si>
    <t>Release to Finish Fix via TP</t>
  </si>
  <si>
    <r>
      <rPr>
        <b/>
        <i/>
        <sz val="13"/>
        <color rgb="FFFF0000"/>
        <rFont val="Arial"/>
        <family val="2"/>
      </rPr>
      <t xml:space="preserve"> </t>
    </r>
    <r>
      <rPr>
        <b/>
        <i/>
        <sz val="13"/>
        <rFont val="Arial"/>
        <family val="2"/>
      </rPr>
      <t>Start Line to Finish Fix via TP</t>
    </r>
  </si>
  <si>
    <t xml:space="preserve"> Tasks using a Finish Fix not available prior to 1 Oct 2009</t>
  </si>
  <si>
    <r>
      <rPr>
        <b/>
        <sz val="13"/>
        <color rgb="FFFF0000"/>
        <rFont val="Arial"/>
        <family val="2"/>
      </rPr>
      <t xml:space="preserve"> </t>
    </r>
    <r>
      <rPr>
        <sz val="13"/>
        <rFont val="Arial"/>
        <family val="2"/>
      </rPr>
      <t>Unltd SOZ to FF, no TP</t>
    </r>
  </si>
  <si>
    <r>
      <rPr>
        <b/>
        <sz val="13"/>
        <color rgb="FFFF0000"/>
        <rFont val="Arial"/>
        <family val="2"/>
      </rPr>
      <t xml:space="preserve"> </t>
    </r>
    <r>
      <rPr>
        <sz val="13"/>
        <rFont val="Arial"/>
        <family val="2"/>
      </rPr>
      <t>Unltd SOZ to FF via TP(s)</t>
    </r>
  </si>
  <si>
    <t>Elapsed Time (speed):</t>
  </si>
  <si>
    <t xml:space="preserve"> Elapsed Time, min LoH:</t>
  </si>
  <si>
    <t>Latest Fix in Last TP OZ</t>
  </si>
  <si>
    <t>&lt; 10/1/2012</t>
  </si>
  <si>
    <t xml:space="preserve">Straight Distance, </t>
  </si>
  <si>
    <t>Way Point Fixes</t>
  </si>
  <si>
    <t xml:space="preserve">Declaration Time UTC: </t>
  </si>
  <si>
    <t>Free Distance via Up to 3 TP</t>
  </si>
  <si>
    <t>ALTITUDES, m</t>
  </si>
  <si>
    <t>metres MSL</t>
  </si>
  <si>
    <t>metres</t>
  </si>
  <si>
    <t>feet MSL</t>
  </si>
  <si>
    <t>feet</t>
  </si>
  <si>
    <t>Start Line to Finish Fix no TP</t>
  </si>
  <si>
    <t>Per SC3 Chapter 4, the following items are to accompany FAI claim submissions:</t>
  </si>
  <si>
    <t xml:space="preserve">    Select One</t>
  </si>
  <si>
    <t xml:space="preserve">  Pressure Data</t>
  </si>
  <si>
    <t xml:space="preserve">     GPS Data</t>
  </si>
  <si>
    <t xml:space="preserve"> DISTANCE &amp; SPEED APPLICANTS:</t>
  </si>
  <si>
    <t>First Fix in First TP OZ</t>
  </si>
  <si>
    <t xml:space="preserve">Start at Release/Finish Fix, 3-TP Task: </t>
  </si>
  <si>
    <t>Launch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</si>
</sst>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164" formatCode="0.0000000000"/>
    <numFmt numFmtId="165" formatCode="m/d/yy\ h:mm:ss"/>
    <numFmt numFmtId="166" formatCode="m/d/yy\ hh:mm:ss"/>
    <numFmt numFmtId="167" formatCode="h:mm:ss;@"/>
    <numFmt numFmtId="168" formatCode="0.000000000000"/>
    <numFmt numFmtId="169" formatCode="[h]:mm:ss;@"/>
    <numFmt numFmtId="170" formatCode="0.000\ 000\ 000\ 000"/>
    <numFmt numFmtId="171" formatCode="0.0000000000000"/>
    <numFmt numFmtId="172" formatCode="0.000"/>
    <numFmt numFmtId="173" formatCode="0.00000000000"/>
    <numFmt numFmtId="174" formatCode="0.000000000"/>
    <numFmt numFmtId="175" formatCode="0.0000000000\°"/>
    <numFmt numFmtId="176" formatCode="00\'"/>
    <numFmt numFmtId="177" formatCode="0.000\ 000\ 000\°"/>
    <numFmt numFmtId="178" formatCode="0\°"/>
    <numFmt numFmtId="179" formatCode="00.0000\&quot;"/>
    <numFmt numFmtId="180" formatCode="00.000\&quot;"/>
    <numFmt numFmtId="181" formatCode="d\-mmm\-yyyy\ h:mm:ss"/>
    <numFmt numFmtId="182" formatCode="0.0000"/>
    <numFmt numFmtId="183" formatCode="[$-409]d\-mmm\-yyyy;@"/>
    <numFmt numFmtId="184" formatCode="0.000000000000000"/>
    <numFmt numFmtId="185" formatCode="d\-mmm\-yy\ h:mm:ss"/>
    <numFmt numFmtId="186" formatCode="m/d/yyyy\ hh:mm:ss"/>
    <numFmt numFmtId="187" formatCode="d\ \ mmm\ yyyy\ \ \ hh:mm:ss"/>
    <numFmt numFmtId="188" formatCode="0.00000"/>
    <numFmt numFmtId="189" formatCode="m/d/yyyy;@"/>
    <numFmt numFmtId="190" formatCode="mm/dd/yy;@"/>
  </numFmts>
  <fonts count="9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 Unicode MS"/>
      <family val="2"/>
    </font>
    <font>
      <sz val="8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vertAlign val="subscript"/>
      <sz val="11"/>
      <name val="Symbol"/>
      <family val="1"/>
      <charset val="2"/>
    </font>
    <font>
      <vertAlign val="subscript"/>
      <sz val="11"/>
      <name val="Arial"/>
      <family val="2"/>
    </font>
    <font>
      <sz val="9"/>
      <name val="Symbol"/>
      <family val="1"/>
      <charset val="2"/>
    </font>
    <font>
      <vertAlign val="superscript"/>
      <sz val="11"/>
      <name val="Arial"/>
      <family val="2"/>
    </font>
    <font>
      <vertAlign val="superscript"/>
      <sz val="10"/>
      <name val="Arial"/>
      <family val="2"/>
    </font>
    <font>
      <b/>
      <sz val="8"/>
      <name val="Arial"/>
      <family val="2"/>
    </font>
    <font>
      <sz val="10"/>
      <color indexed="10"/>
      <name val="Arial"/>
      <family val="2"/>
    </font>
    <font>
      <sz val="12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8"/>
      <color indexed="10"/>
      <name val="Arial"/>
      <family val="2"/>
    </font>
    <font>
      <b/>
      <sz val="14"/>
      <color indexed="12"/>
      <name val="Arial"/>
      <family val="2"/>
    </font>
    <font>
      <sz val="14"/>
      <name val="Arial"/>
      <family val="2"/>
    </font>
    <font>
      <sz val="13"/>
      <name val="Arial"/>
      <family val="2"/>
    </font>
    <font>
      <b/>
      <sz val="10"/>
      <color indexed="12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b/>
      <sz val="10"/>
      <color indexed="9"/>
      <name val="Arial"/>
      <family val="2"/>
    </font>
    <font>
      <b/>
      <i/>
      <sz val="10"/>
      <color indexed="10"/>
      <name val="Arial"/>
      <family val="2"/>
    </font>
    <font>
      <i/>
      <sz val="14"/>
      <name val="Arial"/>
      <family val="2"/>
    </font>
    <font>
      <b/>
      <sz val="13"/>
      <name val="Arial"/>
      <family val="2"/>
    </font>
    <font>
      <i/>
      <sz val="13"/>
      <name val="Arial"/>
      <family val="2"/>
    </font>
    <font>
      <i/>
      <sz val="9"/>
      <name val="Arial"/>
      <family val="2"/>
    </font>
    <font>
      <b/>
      <sz val="13"/>
      <color indexed="10"/>
      <name val="Arial"/>
      <family val="2"/>
    </font>
    <font>
      <sz val="13"/>
      <color indexed="10"/>
      <name val="Arial"/>
      <family val="2"/>
    </font>
    <font>
      <i/>
      <sz val="13"/>
      <color indexed="10"/>
      <name val="Arial"/>
      <family val="2"/>
    </font>
    <font>
      <b/>
      <sz val="12.5"/>
      <name val="Arial"/>
      <family val="2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4"/>
      <color rgb="FF0000FF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3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0000FF"/>
      <name val="Arial"/>
      <family val="2"/>
    </font>
    <font>
      <sz val="12"/>
      <color rgb="FF008080"/>
      <name val="Arial"/>
      <family val="2"/>
    </font>
    <font>
      <sz val="12"/>
      <color rgb="FF3366FF"/>
      <name val="Arial"/>
      <family val="2"/>
    </font>
    <font>
      <b/>
      <sz val="12.5"/>
      <color rgb="FFFFFF00"/>
      <name val="Arial"/>
      <family val="2"/>
    </font>
    <font>
      <b/>
      <sz val="10"/>
      <color rgb="FF0033CC"/>
      <name val="Arial"/>
      <family val="2"/>
    </font>
    <font>
      <b/>
      <sz val="10"/>
      <color rgb="FFFFFF00"/>
      <name val="Arial"/>
      <family val="2"/>
    </font>
    <font>
      <b/>
      <sz val="13"/>
      <color theme="0"/>
      <name val="Arial"/>
      <family val="2"/>
    </font>
    <font>
      <b/>
      <sz val="14"/>
      <color rgb="FFFF000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3"/>
      <color theme="0"/>
      <name val="Arial"/>
      <family val="2"/>
    </font>
    <font>
      <b/>
      <sz val="12"/>
      <color rgb="FF0000FF"/>
      <name val="Arial Narrow"/>
      <family val="2"/>
    </font>
    <font>
      <b/>
      <i/>
      <sz val="18"/>
      <color rgb="FFFF0000"/>
      <name val="Arial"/>
      <family val="2"/>
    </font>
    <font>
      <i/>
      <sz val="9"/>
      <color rgb="FFFF0000"/>
      <name val="Arial"/>
      <family val="2"/>
    </font>
    <font>
      <b/>
      <sz val="12"/>
      <color rgb="FF000099"/>
      <name val="Arial"/>
      <family val="2"/>
    </font>
    <font>
      <sz val="13"/>
      <color theme="1"/>
      <name val="Arial"/>
      <family val="2"/>
    </font>
    <font>
      <b/>
      <sz val="12"/>
      <color rgb="FF0033CC"/>
      <name val="Arial"/>
      <family val="2"/>
    </font>
    <font>
      <b/>
      <i/>
      <sz val="13"/>
      <color rgb="FF0070C0"/>
      <name val="Arial"/>
      <family val="2"/>
    </font>
    <font>
      <sz val="12"/>
      <color rgb="FF0033CC"/>
      <name val="Arial"/>
      <family val="2"/>
    </font>
    <font>
      <i/>
      <sz val="12"/>
      <color rgb="FF0033CC"/>
      <name val="Arial"/>
      <family val="2"/>
    </font>
    <font>
      <sz val="12"/>
      <color rgb="FF0000FF"/>
      <name val="Arial"/>
      <family val="2"/>
    </font>
    <font>
      <b/>
      <sz val="18"/>
      <color rgb="FFFF0000"/>
      <name val="Arial"/>
      <family val="2"/>
    </font>
    <font>
      <i/>
      <sz val="12"/>
      <color rgb="FFFF0000"/>
      <name val="Arial"/>
      <family val="2"/>
    </font>
    <font>
      <sz val="14"/>
      <color rgb="FF0000FF"/>
      <name val="Arial"/>
      <family val="2"/>
    </font>
    <font>
      <sz val="10"/>
      <color rgb="FFFF0000"/>
      <name val="Arial"/>
      <family val="2"/>
    </font>
    <font>
      <i/>
      <sz val="14"/>
      <color rgb="FF0070C0"/>
      <name val="Arial"/>
      <family val="2"/>
    </font>
    <font>
      <sz val="14"/>
      <color rgb="FF0000CC"/>
      <name val="Arial"/>
      <family val="2"/>
    </font>
    <font>
      <b/>
      <sz val="12"/>
      <color rgb="FF0000CC"/>
      <name val="Arial"/>
      <family val="2"/>
    </font>
    <font>
      <sz val="13"/>
      <color rgb="FFFF0000"/>
      <name val="Arial"/>
      <family val="2"/>
    </font>
    <font>
      <sz val="14"/>
      <color rgb="FFFF0000"/>
      <name val="Arial"/>
      <family val="2"/>
    </font>
    <font>
      <sz val="8"/>
      <color rgb="FFFF0000"/>
      <name val="Arial"/>
      <family val="2"/>
    </font>
    <font>
      <b/>
      <i/>
      <sz val="12"/>
      <color rgb="FFEDF7F9"/>
      <name val="Arial"/>
      <family val="2"/>
    </font>
    <font>
      <b/>
      <i/>
      <sz val="13"/>
      <name val="Arial"/>
      <family val="2"/>
    </font>
    <font>
      <sz val="10"/>
      <name val="Arial"/>
    </font>
    <font>
      <i/>
      <sz val="13"/>
      <color rgb="FFFF000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3"/>
      <color theme="1"/>
      <name val="Arial"/>
      <family val="2"/>
    </font>
    <font>
      <b/>
      <i/>
      <sz val="13"/>
      <color rgb="FFFF0000"/>
      <name val="Arial"/>
      <family val="2"/>
    </font>
    <font>
      <sz val="8"/>
      <color theme="1"/>
      <name val="Arial"/>
      <family val="2"/>
    </font>
    <font>
      <b/>
      <i/>
      <sz val="13"/>
      <color theme="0"/>
      <name val="Arial"/>
      <family val="2"/>
    </font>
    <font>
      <b/>
      <sz val="16"/>
      <name val="Arial"/>
      <family val="2"/>
    </font>
    <font>
      <sz val="13"/>
      <color rgb="FFF7F7F7"/>
      <name val="Arial"/>
      <family val="2"/>
    </font>
    <font>
      <i/>
      <sz val="10"/>
      <color rgb="FFFF0000"/>
      <name val="Arial"/>
      <family val="2"/>
    </font>
    <font>
      <i/>
      <sz val="10"/>
      <color theme="0"/>
      <name val="Arial"/>
      <family val="2"/>
    </font>
    <font>
      <sz val="12"/>
      <color theme="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8E4B7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DCD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CC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9999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FFEB"/>
        <bgColor rgb="FF000000"/>
      </patternFill>
    </fill>
    <fill>
      <patternFill patternType="solid">
        <fgColor rgb="FF66CCFF"/>
        <bgColor indexed="64"/>
      </patternFill>
    </fill>
    <fill>
      <patternFill patternType="solid">
        <fgColor rgb="FF0033CC"/>
        <bgColor rgb="FF000000"/>
      </patternFill>
    </fill>
    <fill>
      <patternFill patternType="solid">
        <fgColor rgb="FFFFFFEB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E7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rgb="FFABD5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5D9F1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medium">
        <color rgb="FFFF0000"/>
      </top>
      <bottom/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58">
    <xf numFmtId="0" fontId="0" fillId="0" borderId="0"/>
    <xf numFmtId="0" fontId="2" fillId="0" borderId="0"/>
    <xf numFmtId="0" fontId="2" fillId="0" borderId="0"/>
    <xf numFmtId="0" fontId="2" fillId="0" borderId="0"/>
    <xf numFmtId="0" fontId="41" fillId="0" borderId="0"/>
    <xf numFmtId="0" fontId="4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4" fillId="0" borderId="0"/>
  </cellStyleXfs>
  <cellXfs count="1266">
    <xf numFmtId="0" fontId="0" fillId="0" borderId="0" xfId="0"/>
    <xf numFmtId="0" fontId="0" fillId="2" borderId="0" xfId="0" applyFill="1" applyBorder="1"/>
    <xf numFmtId="164" fontId="0" fillId="3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4" fillId="2" borderId="0" xfId="0" applyNumberFormat="1" applyFont="1" applyFill="1" applyBorder="1" applyAlignment="1"/>
    <xf numFmtId="165" fontId="0" fillId="0" borderId="0" xfId="0" applyNumberFormat="1"/>
    <xf numFmtId="164" fontId="0" fillId="0" borderId="0" xfId="0" applyNumberFormat="1" applyFill="1" applyAlignment="1">
      <alignment horizontal="left"/>
    </xf>
    <xf numFmtId="164" fontId="2" fillId="0" borderId="0" xfId="0" applyNumberFormat="1" applyFont="1" applyFill="1" applyBorder="1" applyAlignment="1" applyProtection="1"/>
    <xf numFmtId="164" fontId="0" fillId="0" borderId="0" xfId="0" applyNumberFormat="1" applyFill="1" applyAlignment="1">
      <alignment horizontal="center"/>
    </xf>
    <xf numFmtId="164" fontId="5" fillId="0" borderId="0" xfId="0" applyNumberFormat="1" applyFont="1" applyFill="1" applyAlignment="1">
      <alignment horizontal="center"/>
    </xf>
    <xf numFmtId="165" fontId="5" fillId="0" borderId="0" xfId="0" applyNumberFormat="1" applyFont="1" applyAlignment="1">
      <alignment horizontal="center"/>
    </xf>
    <xf numFmtId="164" fontId="3" fillId="0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164" fontId="0" fillId="0" borderId="0" xfId="0" applyNumberFormat="1"/>
    <xf numFmtId="164" fontId="6" fillId="0" borderId="0" xfId="0" applyNumberFormat="1" applyFont="1"/>
    <xf numFmtId="1" fontId="0" fillId="0" borderId="0" xfId="0" applyNumberFormat="1"/>
    <xf numFmtId="164" fontId="0" fillId="0" borderId="0" xfId="0" applyNumberFormat="1" applyFill="1"/>
    <xf numFmtId="1" fontId="0" fillId="0" borderId="0" xfId="0" applyNumberFormat="1" applyFill="1"/>
    <xf numFmtId="164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0" fontId="3" fillId="0" borderId="1" xfId="0" applyNumberFormat="1" applyFont="1" applyFill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64" fontId="2" fillId="0" borderId="0" xfId="0" applyNumberFormat="1" applyFont="1" applyFill="1"/>
    <xf numFmtId="164" fontId="0" fillId="2" borderId="0" xfId="0" applyNumberFormat="1" applyFill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7" fillId="0" borderId="0" xfId="0" applyNumberFormat="1" applyFont="1" applyAlignment="1">
      <alignment horizontal="center"/>
    </xf>
    <xf numFmtId="164" fontId="7" fillId="0" borderId="0" xfId="0" applyNumberFormat="1" applyFont="1" applyFill="1" applyAlignment="1">
      <alignment horizontal="center"/>
    </xf>
    <xf numFmtId="164" fontId="2" fillId="11" borderId="0" xfId="0" applyNumberFormat="1" applyFont="1" applyFill="1" applyAlignment="1">
      <alignment horizontal="right"/>
    </xf>
    <xf numFmtId="164" fontId="2" fillId="0" borderId="0" xfId="0" applyNumberFormat="1" applyFont="1" applyFill="1" applyAlignment="1">
      <alignment horizontal="right"/>
    </xf>
    <xf numFmtId="1" fontId="7" fillId="0" borderId="0" xfId="0" applyNumberFormat="1" applyFont="1" applyFill="1" applyAlignment="1">
      <alignment horizontal="center"/>
    </xf>
    <xf numFmtId="1" fontId="7" fillId="0" borderId="0" xfId="0" applyNumberFormat="1" applyFont="1" applyAlignment="1">
      <alignment horizontal="center"/>
    </xf>
    <xf numFmtId="164" fontId="0" fillId="4" borderId="0" xfId="0" applyNumberFormat="1" applyFill="1" applyAlignment="1">
      <alignment horizontal="center"/>
    </xf>
    <xf numFmtId="165" fontId="0" fillId="0" borderId="0" xfId="0" applyNumberFormat="1" applyFill="1"/>
    <xf numFmtId="164" fontId="6" fillId="0" borderId="0" xfId="0" applyNumberFormat="1" applyFont="1" applyAlignment="1">
      <alignment horizontal="center"/>
    </xf>
    <xf numFmtId="164" fontId="0" fillId="0" borderId="3" xfId="0" applyNumberFormat="1" applyFill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164" fontId="4" fillId="2" borderId="3" xfId="0" applyNumberFormat="1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4" fontId="0" fillId="0" borderId="0" xfId="0" applyNumberFormat="1" applyBorder="1"/>
    <xf numFmtId="168" fontId="0" fillId="12" borderId="0" xfId="0" applyNumberFormat="1" applyFill="1"/>
    <xf numFmtId="1" fontId="0" fillId="0" borderId="0" xfId="0" applyNumberFormat="1" applyAlignment="1">
      <alignment horizontal="center"/>
    </xf>
    <xf numFmtId="0" fontId="0" fillId="0" borderId="4" xfId="0" applyBorder="1"/>
    <xf numFmtId="0" fontId="0" fillId="0" borderId="0" xfId="0" applyBorder="1"/>
    <xf numFmtId="167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164" fontId="0" fillId="0" borderId="3" xfId="0" applyNumberFormat="1" applyBorder="1"/>
    <xf numFmtId="165" fontId="0" fillId="0" borderId="0" xfId="0" applyNumberFormat="1" applyBorder="1" applyAlignment="1">
      <alignment horizontal="center"/>
    </xf>
    <xf numFmtId="0" fontId="3" fillId="0" borderId="0" xfId="0" applyNumberFormat="1" applyFont="1" applyAlignment="1">
      <alignment horizontal="center"/>
    </xf>
    <xf numFmtId="164" fontId="0" fillId="11" borderId="0" xfId="0" applyNumberFormat="1" applyFill="1"/>
    <xf numFmtId="164" fontId="0" fillId="0" borderId="0" xfId="0" applyNumberFormat="1" applyAlignment="1">
      <alignment horizontal="right"/>
    </xf>
    <xf numFmtId="164" fontId="0" fillId="11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5" xfId="0" applyNumberFormat="1" applyFill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5" xfId="0" applyNumberFormat="1" applyBorder="1"/>
    <xf numFmtId="164" fontId="0" fillId="12" borderId="0" xfId="0" applyNumberFormat="1" applyFill="1" applyAlignment="1">
      <alignment horizontal="center"/>
    </xf>
    <xf numFmtId="1" fontId="0" fillId="13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167" fontId="2" fillId="15" borderId="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right"/>
    </xf>
    <xf numFmtId="16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164" fontId="0" fillId="0" borderId="0" xfId="0" applyNumberFormat="1" applyBorder="1" applyAlignment="1">
      <alignment horizontal="right"/>
    </xf>
    <xf numFmtId="164" fontId="0" fillId="0" borderId="0" xfId="0" applyNumberFormat="1" applyBorder="1" applyAlignment="1">
      <alignment horizontal="center"/>
    </xf>
    <xf numFmtId="167" fontId="0" fillId="4" borderId="3" xfId="0" applyNumberFormat="1" applyFill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67" fontId="0" fillId="2" borderId="3" xfId="0" applyNumberFormat="1" applyFill="1" applyBorder="1" applyAlignment="1">
      <alignment horizontal="center"/>
    </xf>
    <xf numFmtId="165" fontId="2" fillId="0" borderId="0" xfId="0" applyNumberFormat="1" applyFont="1" applyFill="1" applyAlignment="1">
      <alignment horizontal="center"/>
    </xf>
    <xf numFmtId="1" fontId="2" fillId="0" borderId="0" xfId="0" applyNumberFormat="1" applyFont="1" applyFill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0" fillId="0" borderId="8" xfId="0" applyNumberFormat="1" applyFill="1" applyBorder="1" applyAlignment="1">
      <alignment horizontal="center"/>
    </xf>
    <xf numFmtId="164" fontId="2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167" fontId="0" fillId="2" borderId="2" xfId="0" applyNumberFormat="1" applyFill="1" applyBorder="1" applyAlignment="1">
      <alignment horizontal="center"/>
    </xf>
    <xf numFmtId="167" fontId="0" fillId="15" borderId="2" xfId="0" applyNumberFormat="1" applyFill="1" applyBorder="1" applyAlignment="1">
      <alignment horizontal="center"/>
    </xf>
    <xf numFmtId="164" fontId="4" fillId="6" borderId="0" xfId="0" applyNumberFormat="1" applyFont="1" applyFill="1" applyBorder="1" applyAlignment="1">
      <alignment horizontal="center"/>
    </xf>
    <xf numFmtId="167" fontId="0" fillId="5" borderId="0" xfId="0" applyNumberFormat="1" applyFill="1" applyAlignment="1">
      <alignment horizontal="center"/>
    </xf>
    <xf numFmtId="167" fontId="0" fillId="0" borderId="0" xfId="0" applyNumberFormat="1"/>
    <xf numFmtId="167" fontId="2" fillId="0" borderId="0" xfId="0" applyNumberFormat="1" applyFont="1" applyFill="1" applyAlignment="1">
      <alignment horizontal="center"/>
    </xf>
    <xf numFmtId="167" fontId="0" fillId="0" borderId="0" xfId="0" applyNumberFormat="1" applyFill="1" applyAlignment="1">
      <alignment horizontal="center"/>
    </xf>
    <xf numFmtId="167" fontId="4" fillId="6" borderId="0" xfId="0" applyNumberFormat="1" applyFont="1" applyFill="1" applyBorder="1" applyAlignment="1">
      <alignment horizontal="center"/>
    </xf>
    <xf numFmtId="0" fontId="0" fillId="5" borderId="0" xfId="0" applyFill="1"/>
    <xf numFmtId="165" fontId="0" fillId="5" borderId="0" xfId="0" applyNumberFormat="1" applyFill="1" applyAlignment="1">
      <alignment horizontal="center"/>
    </xf>
    <xf numFmtId="165" fontId="42" fillId="5" borderId="0" xfId="0" applyNumberFormat="1" applyFont="1" applyFill="1" applyAlignment="1">
      <alignment horizontal="center"/>
    </xf>
    <xf numFmtId="164" fontId="2" fillId="15" borderId="0" xfId="0" applyNumberFormat="1" applyFont="1" applyFill="1" applyAlignment="1">
      <alignment horizontal="center"/>
    </xf>
    <xf numFmtId="164" fontId="4" fillId="0" borderId="9" xfId="0" applyNumberFormat="1" applyFont="1" applyBorder="1" applyAlignment="1">
      <alignment horizontal="center"/>
    </xf>
    <xf numFmtId="164" fontId="7" fillId="0" borderId="0" xfId="0" applyNumberFormat="1" applyFont="1"/>
    <xf numFmtId="164" fontId="2" fillId="5" borderId="0" xfId="0" applyNumberFormat="1" applyFont="1" applyFill="1" applyAlignment="1">
      <alignment horizontal="center"/>
    </xf>
    <xf numFmtId="164" fontId="4" fillId="0" borderId="10" xfId="0" applyNumberFormat="1" applyFont="1" applyBorder="1" applyAlignment="1">
      <alignment horizontal="center"/>
    </xf>
    <xf numFmtId="165" fontId="2" fillId="5" borderId="0" xfId="0" applyNumberFormat="1" applyFont="1" applyFill="1" applyAlignment="1">
      <alignment horizontal="center"/>
    </xf>
    <xf numFmtId="1" fontId="0" fillId="2" borderId="2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1" fontId="0" fillId="15" borderId="11" xfId="0" applyNumberFormat="1" applyFill="1" applyBorder="1" applyAlignment="1">
      <alignment horizontal="center"/>
    </xf>
    <xf numFmtId="165" fontId="0" fillId="6" borderId="2" xfId="0" applyNumberFormat="1" applyFill="1" applyBorder="1" applyAlignment="1">
      <alignment horizontal="center"/>
    </xf>
    <xf numFmtId="164" fontId="0" fillId="11" borderId="2" xfId="0" applyNumberForma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" fontId="0" fillId="6" borderId="12" xfId="0" applyNumberFormat="1" applyFill="1" applyBorder="1" applyAlignment="1">
      <alignment horizontal="center"/>
    </xf>
    <xf numFmtId="1" fontId="0" fillId="11" borderId="2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center"/>
    </xf>
    <xf numFmtId="165" fontId="0" fillId="11" borderId="10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" fontId="0" fillId="6" borderId="10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67" fontId="0" fillId="16" borderId="10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5" fontId="0" fillId="0" borderId="13" xfId="0" applyNumberFormat="1" applyFill="1" applyBorder="1" applyAlignment="1">
      <alignment horizontal="center"/>
    </xf>
    <xf numFmtId="1" fontId="2" fillId="16" borderId="3" xfId="0" applyNumberFormat="1" applyFont="1" applyFill="1" applyBorder="1" applyAlignment="1">
      <alignment horizontal="center"/>
    </xf>
    <xf numFmtId="167" fontId="2" fillId="16" borderId="3" xfId="0" applyNumberFormat="1" applyFont="1" applyFill="1" applyBorder="1" applyAlignment="1">
      <alignment horizontal="center"/>
    </xf>
    <xf numFmtId="165" fontId="2" fillId="6" borderId="10" xfId="0" applyNumberFormat="1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12" borderId="2" xfId="0" applyNumberFormat="1" applyFont="1" applyFill="1" applyBorder="1" applyAlignment="1">
      <alignment horizontal="center"/>
    </xf>
    <xf numFmtId="1" fontId="2" fillId="6" borderId="2" xfId="0" applyNumberFormat="1" applyFont="1" applyFill="1" applyBorder="1" applyAlignment="1">
      <alignment horizontal="center"/>
    </xf>
    <xf numFmtId="1" fontId="2" fillId="12" borderId="2" xfId="0" applyNumberFormat="1" applyFont="1" applyFill="1" applyBorder="1" applyAlignment="1">
      <alignment horizontal="center"/>
    </xf>
    <xf numFmtId="164" fontId="2" fillId="6" borderId="2" xfId="0" applyNumberFormat="1" applyFont="1" applyFill="1" applyBorder="1" applyAlignment="1">
      <alignment horizontal="center"/>
    </xf>
    <xf numFmtId="165" fontId="2" fillId="6" borderId="2" xfId="0" applyNumberFormat="1" applyFont="1" applyFill="1" applyBorder="1" applyAlignment="1">
      <alignment horizontal="center"/>
    </xf>
    <xf numFmtId="165" fontId="2" fillId="12" borderId="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17" borderId="0" xfId="0" applyNumberFormat="1" applyFill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64" fontId="0" fillId="0" borderId="0" xfId="0" applyNumberFormat="1" applyFill="1" applyBorder="1"/>
    <xf numFmtId="0" fontId="2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9" fontId="0" fillId="0" borderId="0" xfId="0" applyNumberFormat="1" applyFill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164" fontId="0" fillId="0" borderId="0" xfId="0" applyNumberFormat="1" applyFill="1" applyBorder="1" applyAlignment="1"/>
    <xf numFmtId="0" fontId="4" fillId="0" borderId="0" xfId="0" applyFont="1" applyFill="1" applyBorder="1" applyAlignment="1">
      <alignment horizontal="center"/>
    </xf>
    <xf numFmtId="169" fontId="4" fillId="2" borderId="0" xfId="0" applyNumberFormat="1" applyFont="1" applyFill="1" applyBorder="1" applyAlignment="1">
      <alignment horizontal="center"/>
    </xf>
    <xf numFmtId="0" fontId="0" fillId="9" borderId="0" xfId="0" applyNumberFormat="1" applyFill="1" applyBorder="1" applyAlignment="1">
      <alignment horizontal="center"/>
    </xf>
    <xf numFmtId="164" fontId="0" fillId="0" borderId="14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0" borderId="0" xfId="0" applyFont="1" applyBorder="1" applyAlignment="1">
      <alignment horizontal="centerContinuous"/>
    </xf>
    <xf numFmtId="0" fontId="8" fillId="0" borderId="0" xfId="0" applyNumberFormat="1" applyFont="1" applyFill="1" applyBorder="1" applyAlignment="1" applyProtection="1">
      <alignment horizontal="left"/>
    </xf>
    <xf numFmtId="0" fontId="4" fillId="0" borderId="0" xfId="0" applyNumberFormat="1" applyFont="1" applyFill="1" applyBorder="1" applyAlignment="1" applyProtection="1">
      <alignment horizontal="centerContinuous"/>
    </xf>
    <xf numFmtId="0" fontId="4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/>
    <xf numFmtId="168" fontId="4" fillId="0" borderId="0" xfId="0" applyNumberFormat="1" applyFont="1" applyFill="1" applyBorder="1" applyAlignment="1" applyProtection="1">
      <alignment horizontal="left"/>
    </xf>
    <xf numFmtId="0" fontId="4" fillId="0" borderId="0" xfId="0" applyFont="1" applyBorder="1" applyAlignment="1">
      <alignment horizontal="center"/>
    </xf>
    <xf numFmtId="0" fontId="12" fillId="0" borderId="0" xfId="0" applyNumberFormat="1" applyFont="1" applyFill="1" applyBorder="1" applyAlignment="1" applyProtection="1"/>
    <xf numFmtId="0" fontId="4" fillId="0" borderId="0" xfId="0" applyFont="1" applyBorder="1"/>
    <xf numFmtId="0" fontId="4" fillId="0" borderId="0" xfId="0" applyNumberFormat="1" applyFont="1" applyFill="1" applyBorder="1" applyAlignment="1" applyProtection="1">
      <alignment horizontal="left"/>
    </xf>
    <xf numFmtId="168" fontId="4" fillId="0" borderId="0" xfId="0" applyNumberFormat="1" applyFont="1" applyFill="1" applyBorder="1" applyAlignment="1" applyProtection="1"/>
    <xf numFmtId="164" fontId="8" fillId="0" borderId="0" xfId="0" applyNumberFormat="1" applyFont="1" applyFill="1" applyBorder="1" applyAlignment="1" applyProtection="1"/>
    <xf numFmtId="0" fontId="15" fillId="0" borderId="15" xfId="0" applyFont="1" applyBorder="1" applyAlignment="1">
      <alignment horizontal="center"/>
    </xf>
    <xf numFmtId="0" fontId="4" fillId="0" borderId="0" xfId="0" applyNumberFormat="1" applyFont="1" applyFill="1" applyBorder="1" applyAlignment="1" applyProtection="1">
      <alignment horizontal="right"/>
    </xf>
    <xf numFmtId="0" fontId="4" fillId="0" borderId="16" xfId="0" applyNumberFormat="1" applyFont="1" applyFill="1" applyBorder="1" applyAlignment="1" applyProtection="1">
      <alignment horizontal="right"/>
    </xf>
    <xf numFmtId="0" fontId="0" fillId="0" borderId="0" xfId="0" applyFill="1" applyBorder="1"/>
    <xf numFmtId="0" fontId="4" fillId="0" borderId="0" xfId="0" applyFont="1"/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4" fillId="0" borderId="4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20" xfId="0" applyBorder="1"/>
    <xf numFmtId="181" fontId="4" fillId="0" borderId="21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0" fillId="0" borderId="4" xfId="0" applyFill="1" applyBorder="1"/>
    <xf numFmtId="0" fontId="4" fillId="0" borderId="73" xfId="0" applyFont="1" applyFill="1" applyBorder="1"/>
    <xf numFmtId="0" fontId="2" fillId="0" borderId="20" xfId="0" applyFont="1" applyFill="1" applyBorder="1"/>
    <xf numFmtId="172" fontId="4" fillId="0" borderId="22" xfId="0" applyNumberFormat="1" applyFont="1" applyFill="1" applyBorder="1" applyAlignment="1">
      <alignment horizontal="center"/>
    </xf>
    <xf numFmtId="0" fontId="0" fillId="0" borderId="5" xfId="0" applyFill="1" applyBorder="1"/>
    <xf numFmtId="0" fontId="0" fillId="0" borderId="23" xfId="0" applyFill="1" applyBorder="1"/>
    <xf numFmtId="0" fontId="4" fillId="0" borderId="24" xfId="0" applyFont="1" applyFill="1" applyBorder="1" applyAlignment="1">
      <alignment horizontal="center"/>
    </xf>
    <xf numFmtId="0" fontId="0" fillId="0" borderId="16" xfId="0" applyFill="1" applyBorder="1"/>
    <xf numFmtId="0" fontId="0" fillId="0" borderId="25" xfId="0" applyFill="1" applyBorder="1"/>
    <xf numFmtId="0" fontId="0" fillId="0" borderId="4" xfId="0" applyFill="1" applyBorder="1" applyAlignment="1">
      <alignment horizontal="center"/>
    </xf>
    <xf numFmtId="0" fontId="16" fillId="0" borderId="2" xfId="0" applyFont="1" applyFill="1" applyBorder="1" applyAlignment="1">
      <alignment horizontal="center"/>
    </xf>
    <xf numFmtId="182" fontId="4" fillId="0" borderId="2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0" borderId="0" xfId="0" applyNumberFormat="1" applyFont="1" applyFill="1" applyBorder="1" applyAlignment="1"/>
    <xf numFmtId="0" fontId="0" fillId="0" borderId="26" xfId="0" applyFill="1" applyBorder="1"/>
    <xf numFmtId="0" fontId="0" fillId="0" borderId="8" xfId="0" applyFill="1" applyBorder="1"/>
    <xf numFmtId="0" fontId="0" fillId="0" borderId="27" xfId="0" applyFill="1" applyBorder="1"/>
    <xf numFmtId="0" fontId="16" fillId="0" borderId="0" xfId="0" applyFont="1" applyFill="1" applyAlignment="1">
      <alignment horizontal="center"/>
    </xf>
    <xf numFmtId="0" fontId="0" fillId="0" borderId="19" xfId="0" applyFill="1" applyBorder="1"/>
    <xf numFmtId="0" fontId="4" fillId="0" borderId="0" xfId="0" applyFont="1" applyFill="1" applyBorder="1" applyAlignment="1"/>
    <xf numFmtId="1" fontId="4" fillId="0" borderId="3" xfId="0" applyNumberFormat="1" applyFont="1" applyFill="1" applyBorder="1" applyAlignment="1">
      <alignment horizontal="center"/>
    </xf>
    <xf numFmtId="0" fontId="0" fillId="0" borderId="17" xfId="0" applyFill="1" applyBorder="1"/>
    <xf numFmtId="169" fontId="4" fillId="0" borderId="28" xfId="0" applyNumberFormat="1" applyFont="1" applyFill="1" applyBorder="1" applyAlignment="1">
      <alignment horizontal="center"/>
    </xf>
    <xf numFmtId="0" fontId="4" fillId="18" borderId="22" xfId="0" applyFont="1" applyFill="1" applyBorder="1" applyAlignment="1">
      <alignment horizontal="center"/>
    </xf>
    <xf numFmtId="0" fontId="4" fillId="18" borderId="29" xfId="0" applyFont="1" applyFill="1" applyBorder="1" applyAlignment="1">
      <alignment horizontal="center"/>
    </xf>
    <xf numFmtId="0" fontId="16" fillId="0" borderId="25" xfId="0" applyFont="1" applyFill="1" applyBorder="1" applyAlignment="1">
      <alignment horizontal="center"/>
    </xf>
    <xf numFmtId="0" fontId="17" fillId="0" borderId="0" xfId="0" applyFont="1" applyFill="1" applyBorder="1" applyAlignment="1">
      <alignment vertical="center"/>
    </xf>
    <xf numFmtId="0" fontId="4" fillId="0" borderId="30" xfId="0" applyFont="1" applyFill="1" applyBorder="1" applyAlignment="1">
      <alignment horizontal="center"/>
    </xf>
    <xf numFmtId="0" fontId="4" fillId="0" borderId="4" xfId="0" applyFont="1" applyFill="1" applyBorder="1"/>
    <xf numFmtId="0" fontId="2" fillId="0" borderId="0" xfId="0" applyFont="1" applyBorder="1"/>
    <xf numFmtId="0" fontId="19" fillId="0" borderId="0" xfId="0" applyFont="1"/>
    <xf numFmtId="0" fontId="19" fillId="0" borderId="0" xfId="0" applyFont="1" applyBorder="1"/>
    <xf numFmtId="0" fontId="20" fillId="0" borderId="0" xfId="0" applyFont="1" applyBorder="1" applyAlignment="1">
      <alignment vertical="center"/>
    </xf>
    <xf numFmtId="0" fontId="2" fillId="0" borderId="0" xfId="0" applyFont="1" applyFill="1" applyBorder="1"/>
    <xf numFmtId="0" fontId="7" fillId="0" borderId="0" xfId="0" applyFont="1"/>
    <xf numFmtId="0" fontId="7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7" fillId="0" borderId="31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24" fillId="0" borderId="4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center"/>
    </xf>
    <xf numFmtId="0" fontId="15" fillId="0" borderId="3" xfId="0" applyFont="1" applyFill="1" applyBorder="1" applyAlignment="1">
      <alignment horizontal="center"/>
    </xf>
    <xf numFmtId="0" fontId="7" fillId="2" borderId="0" xfId="0" applyFont="1" applyFill="1"/>
    <xf numFmtId="0" fontId="15" fillId="2" borderId="0" xfId="0" applyFont="1" applyFill="1"/>
    <xf numFmtId="165" fontId="2" fillId="0" borderId="0" xfId="3" applyNumberFormat="1" applyFill="1"/>
    <xf numFmtId="164" fontId="0" fillId="19" borderId="0" xfId="0" applyNumberFormat="1" applyFill="1"/>
    <xf numFmtId="164" fontId="0" fillId="19" borderId="0" xfId="0" applyNumberFormat="1" applyFill="1" applyAlignment="1">
      <alignment horizontal="center"/>
    </xf>
    <xf numFmtId="0" fontId="19" fillId="20" borderId="33" xfId="0" applyFont="1" applyFill="1" applyBorder="1" applyAlignment="1" applyProtection="1">
      <alignment horizontal="center" vertical="center"/>
      <protection locked="0" hidden="1"/>
    </xf>
    <xf numFmtId="0" fontId="19" fillId="20" borderId="34" xfId="0" applyFont="1" applyFill="1" applyBorder="1" applyAlignment="1" applyProtection="1">
      <alignment horizontal="center" vertical="center"/>
      <protection locked="0" hidden="1"/>
    </xf>
    <xf numFmtId="0" fontId="19" fillId="0" borderId="19" xfId="0" applyFont="1" applyBorder="1"/>
    <xf numFmtId="0" fontId="19" fillId="0" borderId="17" xfId="0" applyFont="1" applyBorder="1"/>
    <xf numFmtId="0" fontId="19" fillId="0" borderId="4" xfId="0" applyFont="1" applyBorder="1"/>
    <xf numFmtId="0" fontId="19" fillId="20" borderId="3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 applyBorder="1"/>
    <xf numFmtId="0" fontId="18" fillId="0" borderId="32" xfId="0" applyFont="1" applyFill="1" applyBorder="1" applyAlignment="1">
      <alignment horizontal="center"/>
    </xf>
    <xf numFmtId="0" fontId="18" fillId="0" borderId="14" xfId="0" applyFont="1" applyFill="1" applyBorder="1" applyAlignment="1">
      <alignment horizontal="center"/>
    </xf>
    <xf numFmtId="0" fontId="18" fillId="0" borderId="9" xfId="0" applyFont="1" applyFill="1" applyBorder="1" applyAlignment="1">
      <alignment horizontal="center"/>
    </xf>
    <xf numFmtId="0" fontId="2" fillId="0" borderId="0" xfId="0" applyFont="1" applyFill="1" applyBorder="1" applyAlignment="1">
      <alignment vertical="center"/>
    </xf>
    <xf numFmtId="0" fontId="2" fillId="0" borderId="4" xfId="0" applyFont="1" applyFill="1" applyBorder="1"/>
    <xf numFmtId="14" fontId="2" fillId="0" borderId="5" xfId="0" applyNumberFormat="1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19" fillId="21" borderId="3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6" fillId="22" borderId="0" xfId="0" applyFont="1" applyFill="1" applyBorder="1" applyAlignment="1">
      <alignment vertical="center"/>
    </xf>
    <xf numFmtId="0" fontId="43" fillId="23" borderId="0" xfId="0" applyFont="1" applyFill="1" applyBorder="1" applyAlignment="1">
      <alignment vertical="center"/>
    </xf>
    <xf numFmtId="0" fontId="26" fillId="24" borderId="0" xfId="0" applyFont="1" applyFill="1" applyBorder="1" applyAlignment="1">
      <alignment vertical="center"/>
    </xf>
    <xf numFmtId="0" fontId="19" fillId="15" borderId="30" xfId="0" applyFont="1" applyFill="1" applyBorder="1" applyAlignment="1">
      <alignment horizontal="center" vertical="center"/>
    </xf>
    <xf numFmtId="0" fontId="2" fillId="0" borderId="0" xfId="0" applyFont="1"/>
    <xf numFmtId="0" fontId="2" fillId="0" borderId="9" xfId="0" applyFont="1" applyBorder="1" applyAlignment="1">
      <alignment horizontal="center"/>
    </xf>
    <xf numFmtId="0" fontId="2" fillId="0" borderId="14" xfId="0" applyFont="1" applyBorder="1"/>
    <xf numFmtId="0" fontId="2" fillId="0" borderId="32" xfId="0" applyFont="1" applyBorder="1"/>
    <xf numFmtId="0" fontId="26" fillId="0" borderId="0" xfId="0" applyFont="1" applyBorder="1"/>
    <xf numFmtId="0" fontId="2" fillId="0" borderId="4" xfId="0" applyFont="1" applyBorder="1" applyAlignment="1"/>
    <xf numFmtId="1" fontId="2" fillId="0" borderId="0" xfId="0" applyNumberFormat="1" applyFont="1" applyFill="1" applyBorder="1" applyAlignment="1">
      <alignment vertical="center"/>
    </xf>
    <xf numFmtId="14" fontId="2" fillId="0" borderId="0" xfId="0" applyNumberFormat="1" applyFont="1" applyFill="1" applyBorder="1" applyAlignment="1">
      <alignment horizontal="center"/>
    </xf>
    <xf numFmtId="1" fontId="4" fillId="0" borderId="20" xfId="0" applyNumberFormat="1" applyFont="1" applyFill="1" applyBorder="1" applyAlignment="1"/>
    <xf numFmtId="0" fontId="2" fillId="0" borderId="0" xfId="0" applyFont="1" applyAlignment="1"/>
    <xf numFmtId="0" fontId="2" fillId="0" borderId="0" xfId="0" applyFont="1" applyBorder="1" applyAlignment="1"/>
    <xf numFmtId="49" fontId="2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49" fontId="3" fillId="0" borderId="2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center"/>
    </xf>
    <xf numFmtId="1" fontId="2" fillId="0" borderId="20" xfId="0" applyNumberFormat="1" applyFont="1" applyFill="1" applyBorder="1" applyAlignment="1">
      <alignment horizontal="center"/>
    </xf>
    <xf numFmtId="0" fontId="28" fillId="0" borderId="0" xfId="0" applyNumberFormat="1" applyFont="1" applyFill="1" applyBorder="1" applyAlignment="1">
      <alignment vertical="center"/>
    </xf>
    <xf numFmtId="1" fontId="2" fillId="0" borderId="2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5" fillId="0" borderId="4" xfId="0" applyFont="1" applyBorder="1" applyAlignment="1">
      <alignment vertical="center"/>
    </xf>
    <xf numFmtId="167" fontId="2" fillId="0" borderId="0" xfId="0" applyNumberFormat="1" applyFont="1" applyFill="1" applyBorder="1" applyAlignment="1">
      <alignment horizontal="center"/>
    </xf>
    <xf numFmtId="0" fontId="5" fillId="0" borderId="0" xfId="0" applyFont="1" applyBorder="1" applyAlignment="1">
      <alignment vertical="center"/>
    </xf>
    <xf numFmtId="0" fontId="30" fillId="0" borderId="20" xfId="0" applyFont="1" applyBorder="1" applyAlignment="1">
      <alignment vertical="center"/>
    </xf>
    <xf numFmtId="0" fontId="45" fillId="0" borderId="0" xfId="0" applyFont="1" applyFill="1" applyBorder="1" applyAlignment="1">
      <alignment horizontal="center" vertical="center"/>
    </xf>
    <xf numFmtId="0" fontId="4" fillId="18" borderId="3" xfId="0" applyFont="1" applyFill="1" applyBorder="1" applyAlignment="1">
      <alignment horizontal="center"/>
    </xf>
    <xf numFmtId="0" fontId="2" fillId="26" borderId="6" xfId="0" applyNumberFormat="1" applyFont="1" applyFill="1" applyBorder="1" applyAlignment="1">
      <alignment horizontal="center" vertical="center"/>
    </xf>
    <xf numFmtId="167" fontId="44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  <protection hidden="1"/>
    </xf>
    <xf numFmtId="0" fontId="2" fillId="26" borderId="3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2" fillId="0" borderId="4" xfId="0" applyFont="1" applyBorder="1"/>
    <xf numFmtId="0" fontId="2" fillId="0" borderId="20" xfId="0" applyFont="1" applyBorder="1"/>
    <xf numFmtId="0" fontId="31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>
      <alignment horizontal="center"/>
    </xf>
    <xf numFmtId="0" fontId="2" fillId="0" borderId="17" xfId="0" applyFont="1" applyBorder="1"/>
    <xf numFmtId="0" fontId="2" fillId="0" borderId="19" xfId="0" applyFont="1" applyBorder="1"/>
    <xf numFmtId="0" fontId="2" fillId="0" borderId="18" xfId="0" applyFont="1" applyBorder="1"/>
    <xf numFmtId="0" fontId="4" fillId="0" borderId="0" xfId="0" applyFont="1" applyBorder="1" applyAlignment="1"/>
    <xf numFmtId="0" fontId="4" fillId="0" borderId="0" xfId="0" applyNumberFormat="1" applyFont="1" applyBorder="1" applyAlignment="1">
      <alignment horizontal="center"/>
    </xf>
    <xf numFmtId="0" fontId="28" fillId="26" borderId="0" xfId="0" applyFont="1" applyFill="1" applyBorder="1" applyAlignment="1"/>
    <xf numFmtId="0" fontId="32" fillId="0" borderId="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3" fillId="27" borderId="0" xfId="0" applyFont="1" applyFill="1" applyAlignment="1"/>
    <xf numFmtId="0" fontId="2" fillId="0" borderId="0" xfId="1" applyFont="1" applyAlignment="1">
      <alignment vertical="center"/>
    </xf>
    <xf numFmtId="0" fontId="2" fillId="0" borderId="0" xfId="1" applyFont="1"/>
    <xf numFmtId="0" fontId="2" fillId="27" borderId="0" xfId="1" applyFont="1" applyFill="1" applyAlignment="1">
      <alignment vertical="center"/>
    </xf>
    <xf numFmtId="0" fontId="2" fillId="0" borderId="0" xfId="1" applyFont="1" applyBorder="1" applyAlignment="1">
      <alignment vertical="center"/>
    </xf>
    <xf numFmtId="0" fontId="2" fillId="0" borderId="0" xfId="1" applyFont="1" applyAlignment="1"/>
    <xf numFmtId="0" fontId="2" fillId="0" borderId="4" xfId="1" applyFont="1" applyBorder="1" applyAlignment="1">
      <alignment vertical="center"/>
    </xf>
    <xf numFmtId="0" fontId="27" fillId="0" borderId="0" xfId="1" applyFont="1" applyBorder="1" applyAlignment="1">
      <alignment vertical="center"/>
    </xf>
    <xf numFmtId="0" fontId="19" fillId="0" borderId="0" xfId="1" applyFont="1" applyBorder="1" applyAlignment="1">
      <alignment vertical="center"/>
    </xf>
    <xf numFmtId="165" fontId="0" fillId="19" borderId="3" xfId="0" applyNumberFormat="1" applyFill="1" applyBorder="1" applyAlignment="1">
      <alignment horizontal="center"/>
    </xf>
    <xf numFmtId="1" fontId="0" fillId="0" borderId="13" xfId="0" applyNumberFormat="1" applyFill="1" applyBorder="1" applyAlignment="1">
      <alignment horizontal="center"/>
    </xf>
    <xf numFmtId="164" fontId="0" fillId="0" borderId="21" xfId="0" applyNumberFormat="1" applyFill="1" applyBorder="1" applyAlignment="1">
      <alignment horizontal="center"/>
    </xf>
    <xf numFmtId="164" fontId="0" fillId="0" borderId="24" xfId="0" applyNumberFormat="1" applyFill="1" applyBorder="1"/>
    <xf numFmtId="164" fontId="0" fillId="0" borderId="28" xfId="0" applyNumberFormat="1" applyFill="1" applyBorder="1"/>
    <xf numFmtId="164" fontId="0" fillId="0" borderId="20" xfId="0" applyNumberFormat="1" applyFill="1" applyBorder="1" applyAlignment="1">
      <alignment horizontal="center"/>
    </xf>
    <xf numFmtId="164" fontId="0" fillId="0" borderId="21" xfId="0" applyNumberFormat="1" applyBorder="1"/>
    <xf numFmtId="164" fontId="0" fillId="0" borderId="28" xfId="0" applyNumberFormat="1" applyBorder="1"/>
    <xf numFmtId="164" fontId="0" fillId="0" borderId="0" xfId="0" applyNumberFormat="1" applyFont="1" applyFill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1" xfId="0" applyNumberForma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3" fillId="0" borderId="14" xfId="0" applyNumberFormat="1" applyFont="1" applyFill="1" applyBorder="1" applyAlignment="1">
      <alignment horizontal="center"/>
    </xf>
    <xf numFmtId="164" fontId="0" fillId="0" borderId="19" xfId="0" applyNumberFormat="1" applyFill="1" applyBorder="1" applyAlignment="1">
      <alignment horizontal="center"/>
    </xf>
    <xf numFmtId="164" fontId="0" fillId="0" borderId="24" xfId="0" applyNumberFormat="1" applyFill="1" applyBorder="1" applyAlignment="1">
      <alignment horizontal="center"/>
    </xf>
    <xf numFmtId="164" fontId="0" fillId="0" borderId="21" xfId="0" applyNumberFormat="1" applyFill="1" applyBorder="1"/>
    <xf numFmtId="164" fontId="0" fillId="0" borderId="28" xfId="0" applyNumberFormat="1" applyFill="1" applyBorder="1" applyAlignment="1">
      <alignment horizontal="center"/>
    </xf>
    <xf numFmtId="0" fontId="4" fillId="0" borderId="16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NumberFormat="1" applyFont="1" applyFill="1" applyBorder="1" applyAlignment="1" applyProtection="1">
      <alignment horizontal="center" vertical="center"/>
      <protection hidden="1"/>
    </xf>
    <xf numFmtId="0" fontId="46" fillId="0" borderId="0" xfId="0" applyFont="1" applyFill="1" applyBorder="1" applyAlignment="1">
      <alignment vertical="center"/>
    </xf>
    <xf numFmtId="0" fontId="46" fillId="0" borderId="0" xfId="0" applyFont="1" applyBorder="1"/>
    <xf numFmtId="0" fontId="44" fillId="0" borderId="0" xfId="0" applyFont="1"/>
    <xf numFmtId="0" fontId="27" fillId="0" borderId="0" xfId="0" applyFont="1" applyBorder="1"/>
    <xf numFmtId="0" fontId="47" fillId="0" borderId="0" xfId="0" applyFont="1" applyFill="1" applyBorder="1" applyAlignment="1">
      <alignment vertical="center"/>
    </xf>
    <xf numFmtId="0" fontId="27" fillId="0" borderId="0" xfId="0" applyFont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14" fontId="27" fillId="0" borderId="0" xfId="0" applyNumberFormat="1" applyFont="1" applyFill="1" applyBorder="1" applyAlignment="1"/>
    <xf numFmtId="0" fontId="27" fillId="0" borderId="0" xfId="0" applyFont="1" applyFill="1" applyBorder="1"/>
    <xf numFmtId="0" fontId="27" fillId="0" borderId="0" xfId="0" applyFont="1" applyBorder="1" applyAlignment="1"/>
    <xf numFmtId="182" fontId="27" fillId="0" borderId="0" xfId="0" applyNumberFormat="1" applyFont="1" applyBorder="1" applyAlignment="1">
      <alignment horizontal="center"/>
    </xf>
    <xf numFmtId="182" fontId="27" fillId="0" borderId="0" xfId="0" applyNumberFormat="1" applyFont="1" applyBorder="1"/>
    <xf numFmtId="182" fontId="38" fillId="0" borderId="0" xfId="0" applyNumberFormat="1" applyFont="1" applyFill="1" applyBorder="1" applyAlignment="1">
      <alignment horizontal="center"/>
    </xf>
    <xf numFmtId="0" fontId="34" fillId="0" borderId="0" xfId="0" applyFont="1" applyFill="1" applyBorder="1" applyAlignment="1">
      <alignment vertical="center"/>
    </xf>
    <xf numFmtId="0" fontId="27" fillId="0" borderId="0" xfId="0" applyFont="1" applyBorder="1" applyAlignment="1">
      <alignment horizontal="center" vertical="center"/>
    </xf>
    <xf numFmtId="182" fontId="27" fillId="0" borderId="0" xfId="0" applyNumberFormat="1" applyFont="1" applyFill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19" fillId="0" borderId="4" xfId="0" applyFont="1" applyFill="1" applyBorder="1"/>
    <xf numFmtId="0" fontId="20" fillId="0" borderId="0" xfId="0" applyFont="1" applyFill="1" applyBorder="1" applyAlignment="1">
      <alignment horizontal="right"/>
    </xf>
    <xf numFmtId="0" fontId="20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right" vertical="center"/>
    </xf>
    <xf numFmtId="0" fontId="19" fillId="0" borderId="0" xfId="0" applyFont="1" applyFill="1" applyBorder="1" applyAlignment="1">
      <alignment vertical="center"/>
    </xf>
    <xf numFmtId="0" fontId="19" fillId="0" borderId="20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48" fillId="0" borderId="4" xfId="0" applyFont="1" applyFill="1" applyBorder="1" applyAlignment="1">
      <alignment horizontal="center"/>
    </xf>
    <xf numFmtId="0" fontId="19" fillId="0" borderId="20" xfId="0" applyFont="1" applyFill="1" applyBorder="1" applyAlignment="1"/>
    <xf numFmtId="0" fontId="19" fillId="0" borderId="38" xfId="0" applyFont="1" applyFill="1" applyBorder="1" applyAlignment="1">
      <alignment horizontal="left"/>
    </xf>
    <xf numFmtId="0" fontId="19" fillId="0" borderId="20" xfId="0" applyFont="1" applyFill="1" applyBorder="1"/>
    <xf numFmtId="0" fontId="19" fillId="0" borderId="0" xfId="0" applyFont="1" applyFill="1" applyBorder="1" applyAlignment="1">
      <alignment horizontal="left"/>
    </xf>
    <xf numFmtId="0" fontId="20" fillId="0" borderId="4" xfId="0" applyFont="1" applyFill="1" applyBorder="1" applyAlignment="1"/>
    <xf numFmtId="182" fontId="19" fillId="0" borderId="0" xfId="0" applyNumberFormat="1" applyFont="1" applyFill="1" applyBorder="1" applyAlignment="1">
      <alignment horizontal="left"/>
    </xf>
    <xf numFmtId="182" fontId="19" fillId="0" borderId="5" xfId="0" applyNumberFormat="1" applyFont="1" applyFill="1" applyBorder="1" applyAlignment="1">
      <alignment horizontal="center"/>
    </xf>
    <xf numFmtId="0" fontId="19" fillId="0" borderId="5" xfId="0" applyFont="1" applyFill="1" applyBorder="1" applyAlignment="1">
      <alignment horizontal="left"/>
    </xf>
    <xf numFmtId="182" fontId="19" fillId="0" borderId="5" xfId="0" applyNumberFormat="1" applyFont="1" applyFill="1" applyBorder="1" applyAlignment="1">
      <alignment horizontal="left"/>
    </xf>
    <xf numFmtId="0" fontId="19" fillId="0" borderId="4" xfId="0" applyFont="1" applyFill="1" applyBorder="1" applyAlignment="1">
      <alignment vertical="center"/>
    </xf>
    <xf numFmtId="0" fontId="19" fillId="0" borderId="23" xfId="0" applyFont="1" applyFill="1" applyBorder="1" applyAlignment="1">
      <alignment vertical="center"/>
    </xf>
    <xf numFmtId="0" fontId="19" fillId="0" borderId="5" xfId="0" applyFont="1" applyFill="1" applyBorder="1" applyAlignment="1">
      <alignment vertical="center"/>
    </xf>
    <xf numFmtId="167" fontId="19" fillId="0" borderId="5" xfId="0" applyNumberFormat="1" applyFont="1" applyFill="1" applyBorder="1" applyAlignment="1">
      <alignment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0" borderId="47" xfId="0" applyNumberFormat="1" applyFont="1" applyFill="1" applyBorder="1" applyAlignment="1">
      <alignment horizontal="center" vertical="center"/>
    </xf>
    <xf numFmtId="0" fontId="19" fillId="0" borderId="0" xfId="0" applyFont="1" applyFill="1"/>
    <xf numFmtId="0" fontId="19" fillId="28" borderId="0" xfId="0" applyFont="1" applyFill="1" applyBorder="1"/>
    <xf numFmtId="0" fontId="19" fillId="28" borderId="20" xfId="0" applyFont="1" applyFill="1" applyBorder="1"/>
    <xf numFmtId="0" fontId="49" fillId="28" borderId="0" xfId="0" applyFont="1" applyFill="1" applyBorder="1"/>
    <xf numFmtId="0" fontId="50" fillId="28" borderId="0" xfId="0" applyFont="1" applyFill="1" applyBorder="1"/>
    <xf numFmtId="0" fontId="19" fillId="28" borderId="0" xfId="0" applyFont="1" applyFill="1" applyBorder="1" applyAlignment="1">
      <alignment vertical="center"/>
    </xf>
    <xf numFmtId="167" fontId="19" fillId="28" borderId="0" xfId="0" applyNumberFormat="1" applyFont="1" applyFill="1" applyBorder="1" applyAlignment="1">
      <alignment vertical="center"/>
    </xf>
    <xf numFmtId="1" fontId="19" fillId="28" borderId="0" xfId="0" applyNumberFormat="1" applyFont="1" applyFill="1" applyBorder="1" applyAlignment="1">
      <alignment horizontal="center" vertical="center"/>
    </xf>
    <xf numFmtId="1" fontId="19" fillId="28" borderId="20" xfId="0" applyNumberFormat="1" applyFont="1" applyFill="1" applyBorder="1" applyAlignment="1">
      <alignment horizontal="center" vertical="center"/>
    </xf>
    <xf numFmtId="0" fontId="20" fillId="28" borderId="0" xfId="0" applyFont="1" applyFill="1" applyBorder="1" applyAlignment="1">
      <alignment vertical="center"/>
    </xf>
    <xf numFmtId="0" fontId="19" fillId="28" borderId="20" xfId="0" applyFont="1" applyFill="1" applyBorder="1" applyAlignment="1">
      <alignment vertical="center"/>
    </xf>
    <xf numFmtId="0" fontId="20" fillId="28" borderId="0" xfId="0" applyFont="1" applyFill="1" applyBorder="1" applyAlignment="1">
      <alignment horizontal="left" vertical="center"/>
    </xf>
    <xf numFmtId="0" fontId="20" fillId="28" borderId="20" xfId="0" applyFont="1" applyFill="1" applyBorder="1" applyAlignment="1">
      <alignment horizontal="left" vertical="center"/>
    </xf>
    <xf numFmtId="0" fontId="50" fillId="28" borderId="0" xfId="0" applyFont="1" applyFill="1" applyBorder="1" applyAlignment="1">
      <alignment vertical="center"/>
    </xf>
    <xf numFmtId="0" fontId="50" fillId="28" borderId="20" xfId="0" applyFont="1" applyFill="1" applyBorder="1" applyAlignment="1">
      <alignment vertical="center"/>
    </xf>
    <xf numFmtId="0" fontId="19" fillId="28" borderId="5" xfId="0" applyFont="1" applyFill="1" applyBorder="1" applyAlignment="1">
      <alignment vertical="center"/>
    </xf>
    <xf numFmtId="0" fontId="19" fillId="0" borderId="20" xfId="0" applyFont="1" applyFill="1" applyBorder="1" applyAlignment="1">
      <alignment vertical="center"/>
    </xf>
    <xf numFmtId="0" fontId="51" fillId="0" borderId="0" xfId="0" applyFont="1" applyFill="1" applyBorder="1" applyAlignment="1"/>
    <xf numFmtId="0" fontId="52" fillId="0" borderId="4" xfId="0" applyFont="1" applyFill="1" applyBorder="1" applyAlignment="1">
      <alignment vertical="center"/>
    </xf>
    <xf numFmtId="0" fontId="53" fillId="0" borderId="4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horizontal="center" vertical="center"/>
    </xf>
    <xf numFmtId="0" fontId="53" fillId="0" borderId="20" xfId="0" applyFont="1" applyFill="1" applyBorder="1" applyAlignment="1">
      <alignment horizontal="center" vertical="center"/>
    </xf>
    <xf numFmtId="0" fontId="53" fillId="0" borderId="17" xfId="0" applyFont="1" applyFill="1" applyBorder="1" applyAlignment="1">
      <alignment horizontal="center" vertical="center"/>
    </xf>
    <xf numFmtId="0" fontId="53" fillId="0" borderId="19" xfId="0" applyFont="1" applyFill="1" applyBorder="1" applyAlignment="1">
      <alignment horizontal="center" vertical="center"/>
    </xf>
    <xf numFmtId="0" fontId="19" fillId="0" borderId="19" xfId="0" applyFont="1" applyFill="1" applyBorder="1" applyAlignment="1">
      <alignment vertical="center"/>
    </xf>
    <xf numFmtId="0" fontId="53" fillId="0" borderId="18" xfId="0" applyFont="1" applyFill="1" applyBorder="1" applyAlignment="1">
      <alignment horizontal="center" vertical="center"/>
    </xf>
    <xf numFmtId="181" fontId="4" fillId="0" borderId="3" xfId="0" applyNumberFormat="1" applyFont="1" applyFill="1" applyBorder="1" applyAlignment="1">
      <alignment horizontal="center"/>
    </xf>
    <xf numFmtId="182" fontId="4" fillId="0" borderId="48" xfId="0" applyNumberFormat="1" applyFont="1" applyFill="1" applyBorder="1" applyAlignment="1">
      <alignment horizontal="center"/>
    </xf>
    <xf numFmtId="0" fontId="27" fillId="0" borderId="20" xfId="1" applyFont="1" applyBorder="1" applyAlignment="1">
      <alignment vertical="center"/>
    </xf>
    <xf numFmtId="0" fontId="2" fillId="26" borderId="0" xfId="1" applyFont="1" applyFill="1" applyAlignment="1">
      <alignment vertical="center"/>
    </xf>
    <xf numFmtId="0" fontId="2" fillId="29" borderId="0" xfId="1" applyFont="1" applyFill="1" applyAlignment="1">
      <alignment vertical="center"/>
    </xf>
    <xf numFmtId="0" fontId="43" fillId="24" borderId="0" xfId="0" applyFont="1" applyFill="1" applyBorder="1" applyAlignment="1">
      <alignment vertical="center"/>
    </xf>
    <xf numFmtId="0" fontId="54" fillId="30" borderId="0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20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/>
    </xf>
    <xf numFmtId="0" fontId="20" fillId="0" borderId="4" xfId="0" applyFont="1" applyFill="1" applyBorder="1" applyAlignment="1">
      <alignment horizontal="center" vertical="center"/>
    </xf>
    <xf numFmtId="0" fontId="19" fillId="0" borderId="0" xfId="0" applyFont="1" applyFill="1" applyBorder="1"/>
    <xf numFmtId="0" fontId="19" fillId="0" borderId="13" xfId="0" applyFont="1" applyFill="1" applyBorder="1"/>
    <xf numFmtId="0" fontId="55" fillId="27" borderId="0" xfId="0" applyFont="1" applyFill="1" applyAlignment="1"/>
    <xf numFmtId="0" fontId="19" fillId="0" borderId="20" xfId="0" applyFont="1" applyBorder="1"/>
    <xf numFmtId="183" fontId="19" fillId="22" borderId="6" xfId="0" applyNumberFormat="1" applyFont="1" applyFill="1" applyBorder="1" applyAlignment="1">
      <alignment horizontal="center" vertical="center"/>
    </xf>
    <xf numFmtId="1" fontId="19" fillId="22" borderId="22" xfId="0" applyNumberFormat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/>
    </xf>
    <xf numFmtId="49" fontId="4" fillId="0" borderId="49" xfId="0" applyNumberFormat="1" applyFont="1" applyFill="1" applyBorder="1" applyAlignment="1">
      <alignment horizontal="center"/>
    </xf>
    <xf numFmtId="185" fontId="22" fillId="21" borderId="3" xfId="0" applyNumberFormat="1" applyFont="1" applyFill="1" applyBorder="1" applyAlignment="1">
      <alignment horizontal="center"/>
    </xf>
    <xf numFmtId="185" fontId="22" fillId="21" borderId="22" xfId="0" applyNumberFormat="1" applyFont="1" applyFill="1" applyBorder="1" applyAlignment="1">
      <alignment horizontal="center"/>
    </xf>
    <xf numFmtId="165" fontId="19" fillId="0" borderId="50" xfId="0" applyNumberFormat="1" applyFont="1" applyFill="1" applyBorder="1" applyAlignment="1">
      <alignment horizontal="center"/>
    </xf>
    <xf numFmtId="166" fontId="19" fillId="0" borderId="50" xfId="0" applyNumberFormat="1" applyFont="1" applyFill="1" applyBorder="1" applyAlignment="1">
      <alignment horizontal="center"/>
    </xf>
    <xf numFmtId="165" fontId="19" fillId="0" borderId="43" xfId="0" applyNumberFormat="1" applyFont="1" applyFill="1" applyBorder="1" applyAlignment="1">
      <alignment horizontal="center"/>
    </xf>
    <xf numFmtId="167" fontId="19" fillId="21" borderId="3" xfId="0" applyNumberFormat="1" applyFont="1" applyFill="1" applyBorder="1" applyAlignment="1">
      <alignment horizontal="center"/>
    </xf>
    <xf numFmtId="182" fontId="19" fillId="21" borderId="3" xfId="0" applyNumberFormat="1" applyFont="1" applyFill="1" applyBorder="1" applyAlignment="1">
      <alignment horizontal="center"/>
    </xf>
    <xf numFmtId="167" fontId="19" fillId="0" borderId="50" xfId="0" applyNumberFormat="1" applyFont="1" applyFill="1" applyBorder="1" applyAlignment="1">
      <alignment horizontal="center"/>
    </xf>
    <xf numFmtId="182" fontId="19" fillId="0" borderId="50" xfId="0" applyNumberFormat="1" applyFont="1" applyFill="1" applyBorder="1" applyAlignment="1">
      <alignment horizontal="center"/>
    </xf>
    <xf numFmtId="0" fontId="19" fillId="0" borderId="16" xfId="0" applyFont="1" applyFill="1" applyBorder="1" applyAlignment="1">
      <alignment horizontal="left"/>
    </xf>
    <xf numFmtId="182" fontId="19" fillId="0" borderId="16" xfId="0" applyNumberFormat="1" applyFont="1" applyFill="1" applyBorder="1" applyAlignment="1">
      <alignment horizontal="left"/>
    </xf>
    <xf numFmtId="182" fontId="19" fillId="0" borderId="15" xfId="0" applyNumberFormat="1" applyFont="1" applyFill="1" applyBorder="1" applyAlignment="1">
      <alignment horizontal="center"/>
    </xf>
    <xf numFmtId="0" fontId="19" fillId="0" borderId="3" xfId="0" applyFont="1" applyFill="1" applyBorder="1" applyAlignment="1">
      <alignment horizontal="center" vertical="center"/>
    </xf>
    <xf numFmtId="0" fontId="19" fillId="26" borderId="0" xfId="0" applyFont="1" applyFill="1" applyBorder="1" applyAlignment="1">
      <alignment horizontal="center"/>
    </xf>
    <xf numFmtId="167" fontId="19" fillId="0" borderId="3" xfId="0" applyNumberFormat="1" applyFont="1" applyFill="1" applyBorder="1" applyAlignment="1">
      <alignment horizontal="center" vertical="center"/>
    </xf>
    <xf numFmtId="0" fontId="19" fillId="26" borderId="22" xfId="0" applyFont="1" applyFill="1" applyBorder="1" applyAlignment="1">
      <alignment horizontal="center"/>
    </xf>
    <xf numFmtId="0" fontId="19" fillId="22" borderId="3" xfId="0" applyFont="1" applyFill="1" applyBorder="1" applyAlignment="1">
      <alignment horizontal="center" vertical="center"/>
    </xf>
    <xf numFmtId="167" fontId="19" fillId="21" borderId="3" xfId="0" applyNumberFormat="1" applyFont="1" applyFill="1" applyBorder="1" applyAlignment="1">
      <alignment horizontal="center" vertical="center"/>
    </xf>
    <xf numFmtId="167" fontId="19" fillId="21" borderId="22" xfId="0" applyNumberFormat="1" applyFont="1" applyFill="1" applyBorder="1" applyAlignment="1">
      <alignment horizontal="center" vertical="center"/>
    </xf>
    <xf numFmtId="182" fontId="19" fillId="21" borderId="30" xfId="0" applyNumberFormat="1" applyFont="1" applyFill="1" applyBorder="1" applyAlignment="1">
      <alignment horizontal="center" vertical="center"/>
    </xf>
    <xf numFmtId="182" fontId="19" fillId="21" borderId="3" xfId="0" applyNumberFormat="1" applyFont="1" applyFill="1" applyBorder="1" applyAlignment="1">
      <alignment horizontal="center" vertical="center"/>
    </xf>
    <xf numFmtId="182" fontId="19" fillId="21" borderId="22" xfId="0" applyNumberFormat="1" applyFont="1" applyFill="1" applyBorder="1" applyAlignment="1">
      <alignment horizontal="center" vertical="center"/>
    </xf>
    <xf numFmtId="182" fontId="19" fillId="0" borderId="15" xfId="0" applyNumberFormat="1" applyFont="1" applyFill="1" applyBorder="1" applyAlignment="1">
      <alignment horizontal="center" vertical="center"/>
    </xf>
    <xf numFmtId="182" fontId="19" fillId="0" borderId="43" xfId="0" applyNumberFormat="1" applyFont="1" applyFill="1" applyBorder="1" applyAlignment="1">
      <alignment horizontal="center" vertical="center"/>
    </xf>
    <xf numFmtId="0" fontId="19" fillId="28" borderId="15" xfId="0" applyFont="1" applyFill="1" applyBorder="1"/>
    <xf numFmtId="0" fontId="19" fillId="28" borderId="43" xfId="0" applyFont="1" applyFill="1" applyBorder="1"/>
    <xf numFmtId="0" fontId="0" fillId="31" borderId="0" xfId="0" applyFill="1" applyBorder="1"/>
    <xf numFmtId="0" fontId="19" fillId="0" borderId="51" xfId="0" applyFont="1" applyFill="1" applyBorder="1" applyAlignment="1">
      <alignment vertical="center"/>
    </xf>
    <xf numFmtId="0" fontId="19" fillId="0" borderId="15" xfId="0" applyFont="1" applyFill="1" applyBorder="1" applyAlignment="1">
      <alignment vertical="center"/>
    </xf>
    <xf numFmtId="0" fontId="19" fillId="0" borderId="43" xfId="0" applyFont="1" applyFill="1" applyBorder="1" applyAlignment="1">
      <alignment vertical="center"/>
    </xf>
    <xf numFmtId="0" fontId="55" fillId="27" borderId="0" xfId="0" applyFont="1" applyFill="1" applyAlignment="1">
      <alignment vertical="center"/>
    </xf>
    <xf numFmtId="0" fontId="56" fillId="32" borderId="0" xfId="0" applyFont="1" applyFill="1" applyAlignment="1">
      <alignment horizontal="center" vertical="center"/>
    </xf>
    <xf numFmtId="0" fontId="19" fillId="0" borderId="4" xfId="0" applyFont="1" applyBorder="1" applyAlignment="1"/>
    <xf numFmtId="0" fontId="19" fillId="0" borderId="0" xfId="0" applyFont="1" applyBorder="1" applyAlignment="1"/>
    <xf numFmtId="0" fontId="19" fillId="20" borderId="3" xfId="0" applyFont="1" applyFill="1" applyBorder="1" applyAlignment="1" applyProtection="1">
      <alignment horizontal="center" vertical="center"/>
      <protection locked="0" hidden="1"/>
    </xf>
    <xf numFmtId="0" fontId="19" fillId="20" borderId="22" xfId="0" applyFont="1" applyFill="1" applyBorder="1" applyAlignment="1" applyProtection="1">
      <alignment horizontal="center" vertical="center"/>
      <protection locked="0" hidden="1"/>
    </xf>
    <xf numFmtId="0" fontId="19" fillId="0" borderId="0" xfId="0" applyFont="1" applyBorder="1" applyProtection="1">
      <protection locked="0" hidden="1"/>
    </xf>
    <xf numFmtId="0" fontId="23" fillId="0" borderId="2" xfId="0" applyFont="1" applyBorder="1" applyAlignment="1">
      <alignment horizontal="center" vertical="center"/>
    </xf>
    <xf numFmtId="0" fontId="19" fillId="20" borderId="1" xfId="0" applyFont="1" applyFill="1" applyBorder="1" applyAlignment="1" applyProtection="1">
      <alignment horizontal="center" vertical="center"/>
      <protection locked="0" hidden="1"/>
    </xf>
    <xf numFmtId="0" fontId="4" fillId="0" borderId="29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/>
    </xf>
    <xf numFmtId="0" fontId="4" fillId="0" borderId="44" xfId="0" applyFont="1" applyFill="1" applyBorder="1" applyAlignment="1">
      <alignment horizontal="center"/>
    </xf>
    <xf numFmtId="0" fontId="4" fillId="0" borderId="45" xfId="0" applyFont="1" applyFill="1" applyBorder="1" applyAlignment="1">
      <alignment horizontal="center"/>
    </xf>
    <xf numFmtId="181" fontId="4" fillId="0" borderId="46" xfId="0" applyNumberFormat="1" applyFont="1" applyFill="1" applyBorder="1" applyAlignment="1">
      <alignment horizontal="center"/>
    </xf>
    <xf numFmtId="0" fontId="4" fillId="0" borderId="52" xfId="0" applyFont="1" applyFill="1" applyBorder="1" applyAlignment="1">
      <alignment horizontal="center"/>
    </xf>
    <xf numFmtId="0" fontId="4" fillId="0" borderId="53" xfId="0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Fill="1" applyBorder="1"/>
    <xf numFmtId="0" fontId="0" fillId="0" borderId="0" xfId="0" applyFont="1" applyFill="1"/>
    <xf numFmtId="0" fontId="0" fillId="0" borderId="0" xfId="0" applyFont="1" applyBorder="1"/>
    <xf numFmtId="0" fontId="20" fillId="0" borderId="0" xfId="0" applyFont="1" applyBorder="1"/>
    <xf numFmtId="0" fontId="20" fillId="0" borderId="26" xfId="0" applyFont="1" applyBorder="1" applyAlignment="1">
      <alignment horizontal="right"/>
    </xf>
    <xf numFmtId="0" fontId="26" fillId="8" borderId="26" xfId="0" applyFont="1" applyFill="1" applyBorder="1"/>
    <xf numFmtId="0" fontId="26" fillId="8" borderId="15" xfId="0" applyFont="1" applyFill="1" applyBorder="1"/>
    <xf numFmtId="0" fontId="26" fillId="8" borderId="40" xfId="0" applyFont="1" applyFill="1" applyBorder="1"/>
    <xf numFmtId="0" fontId="20" fillId="0" borderId="15" xfId="0" applyFont="1" applyBorder="1" applyAlignment="1">
      <alignment horizontal="right"/>
    </xf>
    <xf numFmtId="0" fontId="0" fillId="8" borderId="40" xfId="0" applyFont="1" applyFill="1" applyBorder="1"/>
    <xf numFmtId="0" fontId="0" fillId="0" borderId="0" xfId="0" applyFont="1" applyAlignment="1">
      <alignment horizontal="right"/>
    </xf>
    <xf numFmtId="178" fontId="0" fillId="8" borderId="16" xfId="0" applyNumberFormat="1" applyFont="1" applyFill="1" applyBorder="1" applyAlignment="1">
      <alignment horizontal="right"/>
    </xf>
    <xf numFmtId="172" fontId="0" fillId="8" borderId="0" xfId="0" applyNumberFormat="1" applyFont="1" applyFill="1" applyBorder="1"/>
    <xf numFmtId="179" fontId="0" fillId="8" borderId="13" xfId="0" applyNumberFormat="1" applyFont="1" applyFill="1" applyBorder="1" applyAlignment="1">
      <alignment horizontal="left"/>
    </xf>
    <xf numFmtId="178" fontId="0" fillId="8" borderId="0" xfId="0" applyNumberFormat="1" applyFont="1" applyFill="1" applyBorder="1" applyAlignment="1">
      <alignment horizontal="right"/>
    </xf>
    <xf numFmtId="0" fontId="0" fillId="0" borderId="0" xfId="0" applyNumberFormat="1" applyFont="1" applyFill="1" applyBorder="1" applyAlignment="1" applyProtection="1"/>
    <xf numFmtId="178" fontId="0" fillId="8" borderId="41" xfId="0" applyNumberFormat="1" applyFont="1" applyFill="1" applyBorder="1" applyAlignment="1">
      <alignment horizontal="right"/>
    </xf>
    <xf numFmtId="172" fontId="0" fillId="8" borderId="5" xfId="0" applyNumberFormat="1" applyFont="1" applyFill="1" applyBorder="1"/>
    <xf numFmtId="179" fontId="0" fillId="8" borderId="42" xfId="0" applyNumberFormat="1" applyFont="1" applyFill="1" applyBorder="1" applyAlignment="1">
      <alignment horizontal="left"/>
    </xf>
    <xf numFmtId="0" fontId="0" fillId="0" borderId="16" xfId="0" applyFont="1" applyFill="1" applyBorder="1" applyAlignment="1">
      <alignment horizontal="right"/>
    </xf>
    <xf numFmtId="172" fontId="0" fillId="0" borderId="8" xfId="0" applyNumberFormat="1" applyFont="1" applyFill="1" applyBorder="1" applyAlignment="1">
      <alignment horizontal="right"/>
    </xf>
    <xf numFmtId="0" fontId="0" fillId="0" borderId="54" xfId="0" applyFont="1" applyFill="1" applyBorder="1"/>
    <xf numFmtId="0" fontId="0" fillId="0" borderId="37" xfId="0" applyFont="1" applyFill="1" applyBorder="1"/>
    <xf numFmtId="0" fontId="0" fillId="0" borderId="15" xfId="0" applyFont="1" applyBorder="1"/>
    <xf numFmtId="175" fontId="0" fillId="0" borderId="38" xfId="0" applyNumberFormat="1" applyFont="1" applyFill="1" applyBorder="1"/>
    <xf numFmtId="176" fontId="0" fillId="0" borderId="55" xfId="0" applyNumberFormat="1" applyFont="1" applyFill="1" applyBorder="1" applyAlignment="1">
      <alignment horizontal="center"/>
    </xf>
    <xf numFmtId="175" fontId="0" fillId="0" borderId="39" xfId="0" applyNumberFormat="1" applyFont="1" applyFill="1" applyBorder="1" applyAlignment="1">
      <alignment horizontal="center"/>
    </xf>
    <xf numFmtId="178" fontId="0" fillId="0" borderId="0" xfId="0" applyNumberFormat="1" applyFont="1" applyBorder="1"/>
    <xf numFmtId="176" fontId="0" fillId="0" borderId="0" xfId="0" applyNumberFormat="1" applyFont="1" applyBorder="1"/>
    <xf numFmtId="177" fontId="0" fillId="0" borderId="0" xfId="0" applyNumberFormat="1" applyFont="1"/>
    <xf numFmtId="0" fontId="0" fillId="0" borderId="41" xfId="0" applyFont="1" applyFill="1" applyBorder="1" applyAlignment="1">
      <alignment horizontal="right"/>
    </xf>
    <xf numFmtId="175" fontId="0" fillId="0" borderId="1" xfId="0" applyNumberFormat="1" applyFont="1" applyFill="1" applyBorder="1"/>
    <xf numFmtId="176" fontId="0" fillId="0" borderId="16" xfId="0" applyNumberFormat="1" applyFont="1" applyFill="1" applyBorder="1" applyAlignment="1">
      <alignment horizontal="center"/>
    </xf>
    <xf numFmtId="175" fontId="0" fillId="0" borderId="0" xfId="0" applyNumberFormat="1" applyFont="1" applyFill="1" applyBorder="1" applyAlignment="1">
      <alignment horizontal="center"/>
    </xf>
    <xf numFmtId="0" fontId="0" fillId="2" borderId="0" xfId="0" applyFont="1" applyFill="1" applyBorder="1"/>
    <xf numFmtId="0" fontId="0" fillId="0" borderId="0" xfId="0" applyFont="1" applyFill="1" applyBorder="1" applyAlignment="1">
      <alignment horizontal="right"/>
    </xf>
    <xf numFmtId="178" fontId="0" fillId="0" borderId="0" xfId="0" applyNumberFormat="1" applyFont="1" applyFill="1" applyBorder="1"/>
    <xf numFmtId="176" fontId="0" fillId="0" borderId="0" xfId="0" applyNumberFormat="1" applyFont="1" applyFill="1" applyBorder="1"/>
    <xf numFmtId="180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Protection="1">
      <protection hidden="1"/>
    </xf>
    <xf numFmtId="164" fontId="0" fillId="0" borderId="0" xfId="0" applyNumberFormat="1" applyFont="1" applyFill="1" applyBorder="1" applyAlignment="1" applyProtection="1"/>
    <xf numFmtId="0" fontId="0" fillId="0" borderId="0" xfId="0" applyFont="1" applyBorder="1" applyProtection="1">
      <protection hidden="1"/>
    </xf>
    <xf numFmtId="174" fontId="0" fillId="0" borderId="0" xfId="0" applyNumberFormat="1" applyFont="1" applyFill="1" applyBorder="1" applyAlignment="1" applyProtection="1"/>
    <xf numFmtId="1" fontId="0" fillId="0" borderId="0" xfId="0" applyNumberFormat="1" applyFont="1" applyFill="1" applyBorder="1" applyAlignment="1" applyProtection="1"/>
    <xf numFmtId="168" fontId="0" fillId="0" borderId="0" xfId="0" applyNumberFormat="1" applyFont="1" applyFill="1" applyBorder="1" applyAlignment="1" applyProtection="1"/>
    <xf numFmtId="164" fontId="0" fillId="0" borderId="0" xfId="0" applyNumberFormat="1" applyFont="1" applyBorder="1"/>
    <xf numFmtId="173" fontId="0" fillId="0" borderId="0" xfId="0" applyNumberFormat="1" applyFont="1" applyBorder="1"/>
    <xf numFmtId="170" fontId="0" fillId="0" borderId="0" xfId="0" applyNumberFormat="1" applyFont="1" applyBorder="1" applyAlignment="1">
      <alignment horizontal="left"/>
    </xf>
    <xf numFmtId="170" fontId="0" fillId="0" borderId="0" xfId="0" applyNumberFormat="1" applyFont="1"/>
    <xf numFmtId="171" fontId="0" fillId="0" borderId="0" xfId="0" applyNumberFormat="1" applyFont="1" applyFill="1" applyBorder="1" applyAlignment="1" applyProtection="1"/>
    <xf numFmtId="173" fontId="0" fillId="0" borderId="0" xfId="0" applyNumberFormat="1" applyFont="1" applyFill="1" applyBorder="1" applyAlignment="1" applyProtection="1"/>
    <xf numFmtId="170" fontId="0" fillId="0" borderId="0" xfId="0" applyNumberFormat="1" applyFont="1" applyBorder="1"/>
    <xf numFmtId="172" fontId="0" fillId="0" borderId="0" xfId="0" applyNumberFormat="1" applyFont="1" applyFill="1" applyBorder="1" applyAlignment="1" applyProtection="1"/>
    <xf numFmtId="164" fontId="0" fillId="0" borderId="0" xfId="0" applyNumberFormat="1" applyFont="1"/>
    <xf numFmtId="0" fontId="0" fillId="6" borderId="0" xfId="0" applyFont="1" applyFill="1" applyBorder="1"/>
    <xf numFmtId="0" fontId="0" fillId="0" borderId="26" xfId="0" applyFont="1" applyBorder="1"/>
    <xf numFmtId="0" fontId="0" fillId="0" borderId="16" xfId="0" applyFont="1" applyBorder="1"/>
    <xf numFmtId="0" fontId="0" fillId="6" borderId="16" xfId="0" applyFont="1" applyFill="1" applyBorder="1"/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Font="1" applyBorder="1" applyAlignment="1">
      <alignment horizontal="center"/>
    </xf>
    <xf numFmtId="175" fontId="0" fillId="0" borderId="0" xfId="0" applyNumberFormat="1" applyFont="1"/>
    <xf numFmtId="0" fontId="0" fillId="2" borderId="16" xfId="0" applyFont="1" applyFill="1" applyBorder="1"/>
    <xf numFmtId="0" fontId="26" fillId="8" borderId="15" xfId="0" applyFont="1" applyFill="1" applyBorder="1" applyAlignment="1">
      <alignment horizontal="left"/>
    </xf>
    <xf numFmtId="0" fontId="0" fillId="8" borderId="40" xfId="0" applyFont="1" applyFill="1" applyBorder="1" applyAlignment="1">
      <alignment horizontal="left"/>
    </xf>
    <xf numFmtId="168" fontId="0" fillId="0" borderId="0" xfId="0" applyNumberFormat="1" applyFont="1"/>
    <xf numFmtId="164" fontId="0" fillId="17" borderId="0" xfId="0" applyNumberFormat="1" applyFont="1" applyFill="1" applyBorder="1" applyAlignment="1" applyProtection="1"/>
    <xf numFmtId="173" fontId="0" fillId="4" borderId="0" xfId="0" applyNumberFormat="1" applyFont="1" applyFill="1" applyBorder="1" applyAlignment="1" applyProtection="1"/>
    <xf numFmtId="0" fontId="26" fillId="8" borderId="15" xfId="0" applyFont="1" applyFill="1" applyBorder="1" applyAlignment="1"/>
    <xf numFmtId="0" fontId="0" fillId="0" borderId="56" xfId="0" applyFont="1" applyFill="1" applyBorder="1"/>
    <xf numFmtId="0" fontId="0" fillId="0" borderId="57" xfId="0" applyFont="1" applyFill="1" applyBorder="1"/>
    <xf numFmtId="0" fontId="20" fillId="0" borderId="0" xfId="0" applyFont="1" applyFill="1" applyBorder="1"/>
    <xf numFmtId="0" fontId="20" fillId="2" borderId="0" xfId="0" applyFont="1" applyFill="1" applyBorder="1"/>
    <xf numFmtId="0" fontId="0" fillId="2" borderId="0" xfId="0" applyFont="1" applyFill="1"/>
    <xf numFmtId="1" fontId="4" fillId="0" borderId="45" xfId="0" applyNumberFormat="1" applyFont="1" applyFill="1" applyBorder="1" applyAlignment="1">
      <alignment horizontal="center"/>
    </xf>
    <xf numFmtId="1" fontId="4" fillId="0" borderId="30" xfId="0" applyNumberFormat="1" applyFont="1" applyFill="1" applyBorder="1" applyAlignment="1">
      <alignment horizontal="center"/>
    </xf>
    <xf numFmtId="1" fontId="4" fillId="0" borderId="22" xfId="0" applyNumberFormat="1" applyFont="1" applyFill="1" applyBorder="1" applyAlignment="1">
      <alignment horizontal="center"/>
    </xf>
    <xf numFmtId="183" fontId="4" fillId="0" borderId="22" xfId="0" applyNumberFormat="1" applyFont="1" applyFill="1" applyBorder="1" applyAlignment="1">
      <alignment horizontal="center"/>
    </xf>
    <xf numFmtId="1" fontId="4" fillId="0" borderId="24" xfId="0" applyNumberFormat="1" applyFont="1" applyFill="1" applyBorder="1" applyAlignment="1">
      <alignment horizontal="center"/>
    </xf>
    <xf numFmtId="172" fontId="4" fillId="0" borderId="3" xfId="0" applyNumberFormat="1" applyFont="1" applyFill="1" applyBorder="1" applyAlignment="1">
      <alignment horizontal="center"/>
    </xf>
    <xf numFmtId="181" fontId="4" fillId="0" borderId="29" xfId="0" applyNumberFormat="1" applyFont="1" applyFill="1" applyBorder="1" applyAlignment="1">
      <alignment horizontal="center"/>
    </xf>
    <xf numFmtId="1" fontId="4" fillId="0" borderId="58" xfId="0" applyNumberFormat="1" applyFont="1" applyFill="1" applyBorder="1" applyAlignment="1">
      <alignment horizontal="center"/>
    </xf>
    <xf numFmtId="172" fontId="4" fillId="0" borderId="58" xfId="0" applyNumberFormat="1" applyFont="1" applyFill="1" applyBorder="1" applyAlignment="1">
      <alignment horizontal="center"/>
    </xf>
    <xf numFmtId="0" fontId="4" fillId="0" borderId="22" xfId="0" applyNumberFormat="1" applyFont="1" applyFill="1" applyBorder="1" applyAlignment="1">
      <alignment horizontal="center"/>
    </xf>
    <xf numFmtId="1" fontId="4" fillId="0" borderId="33" xfId="0" applyNumberFormat="1" applyFont="1" applyFill="1" applyBorder="1" applyAlignment="1">
      <alignment horizontal="center"/>
    </xf>
    <xf numFmtId="1" fontId="4" fillId="0" borderId="48" xfId="0" applyNumberFormat="1" applyFont="1" applyFill="1" applyBorder="1" applyAlignment="1">
      <alignment horizontal="center"/>
    </xf>
    <xf numFmtId="1" fontId="4" fillId="0" borderId="35" xfId="0" applyNumberFormat="1" applyFont="1" applyFill="1" applyBorder="1" applyAlignment="1">
      <alignment horizontal="center"/>
    </xf>
    <xf numFmtId="182" fontId="4" fillId="0" borderId="33" xfId="0" applyNumberFormat="1" applyFont="1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4" fillId="0" borderId="58" xfId="0" applyFont="1" applyFill="1" applyBorder="1" applyAlignment="1">
      <alignment horizontal="center"/>
    </xf>
    <xf numFmtId="0" fontId="0" fillId="0" borderId="53" xfId="0" applyFill="1" applyBorder="1"/>
    <xf numFmtId="1" fontId="4" fillId="0" borderId="59" xfId="0" applyNumberFormat="1" applyFont="1" applyFill="1" applyBorder="1" applyAlignment="1">
      <alignment horizontal="center"/>
    </xf>
    <xf numFmtId="182" fontId="4" fillId="0" borderId="22" xfId="0" applyNumberFormat="1" applyFont="1" applyFill="1" applyBorder="1" applyAlignment="1">
      <alignment horizontal="center"/>
    </xf>
    <xf numFmtId="182" fontId="4" fillId="0" borderId="30" xfId="0" applyNumberFormat="1" applyFont="1" applyFill="1" applyBorder="1" applyAlignment="1">
      <alignment horizontal="center"/>
    </xf>
    <xf numFmtId="0" fontId="0" fillId="0" borderId="20" xfId="0" applyFill="1" applyBorder="1"/>
    <xf numFmtId="0" fontId="0" fillId="0" borderId="20" xfId="0" applyFill="1" applyBorder="1" applyAlignment="1">
      <alignment horizontal="center"/>
    </xf>
    <xf numFmtId="172" fontId="4" fillId="0" borderId="60" xfId="0" applyNumberFormat="1" applyFont="1" applyFill="1" applyBorder="1" applyAlignment="1">
      <alignment horizontal="center"/>
    </xf>
    <xf numFmtId="172" fontId="4" fillId="0" borderId="26" xfId="0" applyNumberFormat="1" applyFont="1" applyFill="1" applyBorder="1" applyAlignment="1">
      <alignment horizontal="center"/>
    </xf>
    <xf numFmtId="172" fontId="4" fillId="0" borderId="33" xfId="0" applyNumberFormat="1" applyFont="1" applyFill="1" applyBorder="1" applyAlignment="1">
      <alignment horizontal="center"/>
    </xf>
    <xf numFmtId="172" fontId="4" fillId="0" borderId="61" xfId="0" applyNumberFormat="1" applyFont="1" applyFill="1" applyBorder="1" applyAlignment="1">
      <alignment horizontal="center"/>
    </xf>
    <xf numFmtId="0" fontId="4" fillId="0" borderId="62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1" fontId="4" fillId="0" borderId="21" xfId="0" applyNumberFormat="1" applyFont="1" applyFill="1" applyBorder="1" applyAlignment="1">
      <alignment horizontal="center"/>
    </xf>
    <xf numFmtId="0" fontId="4" fillId="0" borderId="48" xfId="0" applyFont="1" applyFill="1" applyBorder="1" applyAlignment="1">
      <alignment horizontal="center"/>
    </xf>
    <xf numFmtId="1" fontId="4" fillId="0" borderId="28" xfId="0" applyNumberFormat="1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4" fillId="0" borderId="61" xfId="0" applyFont="1" applyFill="1" applyBorder="1" applyAlignment="1">
      <alignment horizontal="center"/>
    </xf>
    <xf numFmtId="0" fontId="4" fillId="0" borderId="28" xfId="0" applyFont="1" applyFill="1" applyBorder="1" applyAlignment="1">
      <alignment horizontal="center"/>
    </xf>
    <xf numFmtId="0" fontId="4" fillId="0" borderId="0" xfId="0" applyFont="1" applyFill="1"/>
    <xf numFmtId="0" fontId="4" fillId="20" borderId="29" xfId="0" applyFont="1" applyFill="1" applyBorder="1" applyAlignment="1">
      <alignment horizontal="center"/>
    </xf>
    <xf numFmtId="0" fontId="4" fillId="20" borderId="46" xfId="0" applyFont="1" applyFill="1" applyBorder="1" applyAlignment="1">
      <alignment horizontal="center"/>
    </xf>
    <xf numFmtId="0" fontId="4" fillId="20" borderId="44" xfId="0" applyFont="1" applyFill="1" applyBorder="1" applyAlignment="1">
      <alignment horizontal="center"/>
    </xf>
    <xf numFmtId="0" fontId="4" fillId="20" borderId="45" xfId="0" applyFont="1" applyFill="1" applyBorder="1" applyAlignment="1">
      <alignment horizontal="center"/>
    </xf>
    <xf numFmtId="0" fontId="4" fillId="20" borderId="3" xfId="0" applyFont="1" applyFill="1" applyBorder="1" applyAlignment="1">
      <alignment horizontal="center"/>
    </xf>
    <xf numFmtId="0" fontId="4" fillId="20" borderId="22" xfId="0" applyFont="1" applyFill="1" applyBorder="1" applyAlignment="1">
      <alignment horizontal="center"/>
    </xf>
    <xf numFmtId="0" fontId="4" fillId="20" borderId="2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/>
    </xf>
    <xf numFmtId="172" fontId="4" fillId="20" borderId="22" xfId="0" applyNumberFormat="1" applyFont="1" applyFill="1" applyBorder="1" applyAlignment="1">
      <alignment horizontal="center"/>
    </xf>
    <xf numFmtId="0" fontId="4" fillId="20" borderId="63" xfId="0" applyFont="1" applyFill="1" applyBorder="1" applyAlignment="1">
      <alignment horizontal="center"/>
    </xf>
    <xf numFmtId="0" fontId="4" fillId="20" borderId="30" xfId="0" applyFont="1" applyFill="1" applyBorder="1" applyAlignment="1">
      <alignment horizontal="center"/>
    </xf>
    <xf numFmtId="0" fontId="4" fillId="20" borderId="7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" fillId="20" borderId="76" xfId="0" applyFont="1" applyFill="1" applyBorder="1" applyAlignment="1">
      <alignment horizontal="center"/>
    </xf>
    <xf numFmtId="49" fontId="4" fillId="20" borderId="24" xfId="0" applyNumberFormat="1" applyFont="1" applyFill="1" applyBorder="1" applyAlignment="1">
      <alignment horizontal="center"/>
    </xf>
    <xf numFmtId="0" fontId="4" fillId="20" borderId="64" xfId="0" applyFont="1" applyFill="1" applyBorder="1" applyAlignment="1">
      <alignment horizontal="center"/>
    </xf>
    <xf numFmtId="49" fontId="4" fillId="20" borderId="4" xfId="0" applyNumberFormat="1" applyFont="1" applyFill="1" applyBorder="1" applyAlignment="1">
      <alignment horizontal="center"/>
    </xf>
    <xf numFmtId="49" fontId="4" fillId="20" borderId="9" xfId="0" applyNumberFormat="1" applyFont="1" applyFill="1" applyBorder="1" applyAlignment="1">
      <alignment horizontal="center"/>
    </xf>
    <xf numFmtId="0" fontId="4" fillId="20" borderId="4" xfId="0" applyFont="1" applyFill="1" applyBorder="1" applyAlignment="1">
      <alignment horizontal="center"/>
    </xf>
    <xf numFmtId="0" fontId="4" fillId="20" borderId="17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4" fillId="20" borderId="65" xfId="0" applyFont="1" applyFill="1" applyBorder="1" applyAlignment="1">
      <alignment horizontal="center"/>
    </xf>
    <xf numFmtId="0" fontId="4" fillId="20" borderId="32" xfId="0" applyFont="1" applyFill="1" applyBorder="1" applyAlignment="1">
      <alignment horizontal="center"/>
    </xf>
    <xf numFmtId="49" fontId="4" fillId="20" borderId="0" xfId="0" applyNumberFormat="1" applyFont="1" applyFill="1" applyBorder="1" applyAlignment="1">
      <alignment horizontal="center"/>
    </xf>
    <xf numFmtId="49" fontId="4" fillId="20" borderId="66" xfId="0" applyNumberFormat="1" applyFont="1" applyFill="1" applyBorder="1" applyAlignment="1">
      <alignment horizontal="center"/>
    </xf>
    <xf numFmtId="0" fontId="0" fillId="20" borderId="9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17" xfId="0" applyFill="1" applyBorder="1" applyAlignment="1">
      <alignment horizontal="center"/>
    </xf>
    <xf numFmtId="164" fontId="4" fillId="20" borderId="0" xfId="0" applyNumberFormat="1" applyFont="1" applyFill="1" applyAlignment="1">
      <alignment horizontal="center"/>
    </xf>
    <xf numFmtId="164" fontId="0" fillId="20" borderId="0" xfId="0" applyNumberFormat="1" applyFill="1" applyAlignment="1">
      <alignment horizontal="center"/>
    </xf>
    <xf numFmtId="165" fontId="0" fillId="20" borderId="0" xfId="0" applyNumberFormat="1" applyFill="1" applyAlignment="1">
      <alignment horizontal="center"/>
    </xf>
    <xf numFmtId="164" fontId="0" fillId="20" borderId="2" xfId="0" applyNumberFormat="1" applyFill="1" applyBorder="1" applyAlignment="1">
      <alignment horizontal="center"/>
    </xf>
    <xf numFmtId="164" fontId="0" fillId="20" borderId="0" xfId="0" applyNumberForma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4" fillId="0" borderId="3" xfId="0" applyNumberFormat="1" applyFont="1" applyFill="1" applyBorder="1" applyAlignment="1">
      <alignment horizontal="center"/>
    </xf>
    <xf numFmtId="167" fontId="0" fillId="0" borderId="8" xfId="0" applyNumberFormat="1" applyFill="1" applyBorder="1" applyAlignment="1">
      <alignment horizontal="center"/>
    </xf>
    <xf numFmtId="165" fontId="0" fillId="0" borderId="38" xfId="0" applyNumberFormat="1" applyFill="1" applyBorder="1" applyAlignment="1">
      <alignment horizontal="center"/>
    </xf>
    <xf numFmtId="164" fontId="0" fillId="0" borderId="38" xfId="0" applyNumberFormat="1" applyFill="1" applyBorder="1" applyAlignment="1">
      <alignment horizontal="center"/>
    </xf>
    <xf numFmtId="167" fontId="0" fillId="0" borderId="38" xfId="0" applyNumberFormat="1" applyFill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166" fontId="0" fillId="0" borderId="38" xfId="0" applyNumberFormat="1" applyFill="1" applyBorder="1" applyAlignment="1">
      <alignment horizontal="center"/>
    </xf>
    <xf numFmtId="164" fontId="0" fillId="20" borderId="0" xfId="0" applyNumberFormat="1" applyFill="1"/>
    <xf numFmtId="0" fontId="0" fillId="20" borderId="0" xfId="0" applyFill="1"/>
    <xf numFmtId="167" fontId="0" fillId="20" borderId="0" xfId="0" applyNumberFormat="1" applyFill="1" applyAlignment="1">
      <alignment horizontal="center"/>
    </xf>
    <xf numFmtId="165" fontId="42" fillId="20" borderId="0" xfId="0" applyNumberFormat="1" applyFont="1" applyFill="1" applyAlignment="1">
      <alignment horizontal="center"/>
    </xf>
    <xf numFmtId="1" fontId="0" fillId="20" borderId="0" xfId="0" applyNumberFormat="1" applyFill="1" applyAlignment="1">
      <alignment horizontal="center"/>
    </xf>
    <xf numFmtId="164" fontId="2" fillId="20" borderId="0" xfId="0" applyNumberFormat="1" applyFont="1" applyFill="1" applyAlignment="1">
      <alignment horizontal="center"/>
    </xf>
    <xf numFmtId="1" fontId="0" fillId="20" borderId="0" xfId="0" applyNumberFormat="1" applyFill="1"/>
    <xf numFmtId="164" fontId="0" fillId="20" borderId="0" xfId="0" applyNumberFormat="1" applyFill="1" applyBorder="1"/>
    <xf numFmtId="165" fontId="0" fillId="20" borderId="0" xfId="0" applyNumberFormat="1" applyFill="1"/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/>
    <xf numFmtId="165" fontId="0" fillId="0" borderId="0" xfId="0" applyNumberFormat="1" applyFill="1" applyBorder="1"/>
    <xf numFmtId="164" fontId="6" fillId="0" borderId="0" xfId="0" applyNumberFormat="1" applyFont="1" applyBorder="1"/>
    <xf numFmtId="0" fontId="3" fillId="0" borderId="0" xfId="0" applyNumberFormat="1" applyFont="1" applyBorder="1" applyAlignment="1">
      <alignment horizontal="center"/>
    </xf>
    <xf numFmtId="164" fontId="42" fillId="0" borderId="13" xfId="0" applyNumberFormat="1" applyFon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4" fontId="0" fillId="17" borderId="0" xfId="0" applyNumberFormat="1" applyFill="1" applyBorder="1" applyAlignment="1">
      <alignment horizontal="center"/>
    </xf>
    <xf numFmtId="164" fontId="4" fillId="0" borderId="0" xfId="0" applyNumberFormat="1" applyFont="1" applyFill="1" applyBorder="1" applyAlignment="1"/>
    <xf numFmtId="164" fontId="0" fillId="2" borderId="0" xfId="0" applyNumberFormat="1" applyFill="1" applyBorder="1"/>
    <xf numFmtId="164" fontId="4" fillId="2" borderId="0" xfId="0" applyNumberFormat="1" applyFont="1" applyFill="1" applyBorder="1" applyAlignment="1">
      <alignment horizontal="center"/>
    </xf>
    <xf numFmtId="164" fontId="4" fillId="4" borderId="0" xfId="0" applyNumberFormat="1" applyFon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42" fillId="4" borderId="0" xfId="0" applyNumberFormat="1" applyFont="1" applyFill="1" applyBorder="1" applyAlignment="1">
      <alignment horizontal="center"/>
    </xf>
    <xf numFmtId="1" fontId="42" fillId="4" borderId="0" xfId="0" applyNumberFormat="1" applyFont="1" applyFill="1" applyBorder="1" applyAlignment="1">
      <alignment horizontal="center"/>
    </xf>
    <xf numFmtId="164" fontId="0" fillId="4" borderId="0" xfId="0" applyNumberFormat="1" applyFill="1" applyBorder="1"/>
    <xf numFmtId="164" fontId="3" fillId="4" borderId="0" xfId="0" applyNumberFormat="1" applyFont="1" applyFill="1" applyBorder="1" applyAlignment="1">
      <alignment horizontal="right"/>
    </xf>
    <xf numFmtId="1" fontId="3" fillId="4" borderId="0" xfId="0" applyNumberFormat="1" applyFont="1" applyFill="1" applyBorder="1" applyAlignment="1">
      <alignment horizontal="center"/>
    </xf>
    <xf numFmtId="0" fontId="0" fillId="17" borderId="0" xfId="0" applyFill="1" applyBorder="1"/>
    <xf numFmtId="165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64" fontId="4" fillId="3" borderId="0" xfId="0" applyNumberFormat="1" applyFont="1" applyFill="1" applyBorder="1" applyAlignment="1">
      <alignment horizontal="center"/>
    </xf>
    <xf numFmtId="165" fontId="42" fillId="4" borderId="0" xfId="0" applyNumberFormat="1" applyFont="1" applyFill="1" applyBorder="1" applyAlignment="1">
      <alignment horizontal="center"/>
    </xf>
    <xf numFmtId="164" fontId="0" fillId="3" borderId="0" xfId="0" applyNumberFormat="1" applyFill="1" applyBorder="1"/>
    <xf numFmtId="164" fontId="42" fillId="2" borderId="0" xfId="0" applyNumberFormat="1" applyFont="1" applyFill="1" applyBorder="1" applyAlignment="1">
      <alignment horizontal="center"/>
    </xf>
    <xf numFmtId="1" fontId="42" fillId="2" borderId="0" xfId="0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/>
    <xf numFmtId="1" fontId="4" fillId="2" borderId="0" xfId="0" applyNumberFormat="1" applyFont="1" applyFill="1" applyBorder="1" applyAlignment="1"/>
    <xf numFmtId="164" fontId="0" fillId="3" borderId="0" xfId="0" applyNumberFormat="1" applyFill="1" applyBorder="1" applyAlignment="1"/>
    <xf numFmtId="164" fontId="0" fillId="4" borderId="0" xfId="0" applyNumberFormat="1" applyFill="1" applyBorder="1" applyAlignment="1"/>
    <xf numFmtId="165" fontId="3" fillId="4" borderId="0" xfId="0" applyNumberFormat="1" applyFont="1" applyFill="1" applyBorder="1" applyAlignment="1">
      <alignment horizontal="right"/>
    </xf>
    <xf numFmtId="164" fontId="3" fillId="2" borderId="0" xfId="0" applyNumberFormat="1" applyFont="1" applyFill="1" applyBorder="1" applyAlignment="1">
      <alignment horizontal="right"/>
    </xf>
    <xf numFmtId="1" fontId="3" fillId="2" borderId="0" xfId="0" applyNumberFormat="1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4" fontId="0" fillId="0" borderId="26" xfId="0" applyNumberFormat="1" applyFill="1" applyBorder="1" applyAlignment="1">
      <alignment horizontal="center"/>
    </xf>
    <xf numFmtId="165" fontId="0" fillId="0" borderId="16" xfId="0" applyNumberFormat="1" applyFill="1" applyBorder="1" applyAlignment="1">
      <alignment horizontal="center"/>
    </xf>
    <xf numFmtId="164" fontId="2" fillId="0" borderId="0" xfId="0" applyNumberFormat="1" applyFont="1" applyBorder="1"/>
    <xf numFmtId="1" fontId="0" fillId="0" borderId="0" xfId="0" applyNumberFormat="1" applyBorder="1" applyAlignment="1">
      <alignment horizontal="center"/>
    </xf>
    <xf numFmtId="165" fontId="0" fillId="0" borderId="16" xfId="0" applyNumberFormat="1" applyBorder="1"/>
    <xf numFmtId="0" fontId="0" fillId="0" borderId="16" xfId="0" applyBorder="1"/>
    <xf numFmtId="0" fontId="3" fillId="0" borderId="0" xfId="0" applyFont="1" applyFill="1" applyBorder="1" applyAlignment="1"/>
    <xf numFmtId="164" fontId="0" fillId="0" borderId="0" xfId="0" applyNumberFormat="1" applyFill="1" applyBorder="1" applyAlignment="1">
      <alignment horizontal="left"/>
    </xf>
    <xf numFmtId="0" fontId="19" fillId="0" borderId="50" xfId="0" applyFont="1" applyFill="1" applyBorder="1"/>
    <xf numFmtId="0" fontId="19" fillId="0" borderId="63" xfId="0" applyFont="1" applyFill="1" applyBorder="1"/>
    <xf numFmtId="0" fontId="19" fillId="0" borderId="6" xfId="0" applyFont="1" applyFill="1" applyBorder="1"/>
    <xf numFmtId="0" fontId="19" fillId="0" borderId="23" xfId="0" applyFont="1" applyFill="1" applyBorder="1"/>
    <xf numFmtId="0" fontId="19" fillId="0" borderId="5" xfId="0" applyFont="1" applyFill="1" applyBorder="1"/>
    <xf numFmtId="0" fontId="27" fillId="0" borderId="0" xfId="1" applyFont="1" applyBorder="1" applyAlignment="1">
      <alignment horizontal="left" vertical="center"/>
    </xf>
    <xf numFmtId="0" fontId="27" fillId="0" borderId="20" xfId="1" applyFont="1" applyBorder="1" applyAlignment="1">
      <alignment horizontal="left" vertical="center"/>
    </xf>
    <xf numFmtId="49" fontId="27" fillId="0" borderId="0" xfId="1" applyNumberFormat="1" applyFont="1" applyBorder="1" applyAlignment="1">
      <alignment horizontal="left" vertical="center"/>
    </xf>
    <xf numFmtId="49" fontId="33" fillId="0" borderId="19" xfId="1" applyNumberFormat="1" applyFont="1" applyBorder="1" applyAlignment="1">
      <alignment horizontal="center" vertical="center" wrapText="1"/>
    </xf>
    <xf numFmtId="49" fontId="33" fillId="0" borderId="18" xfId="1" applyNumberFormat="1" applyFont="1" applyBorder="1" applyAlignment="1">
      <alignment horizontal="center" vertical="center" wrapText="1"/>
    </xf>
    <xf numFmtId="0" fontId="58" fillId="0" borderId="19" xfId="1" applyFont="1" applyBorder="1" applyAlignment="1">
      <alignment horizontal="center" vertical="center"/>
    </xf>
    <xf numFmtId="0" fontId="2" fillId="0" borderId="0" xfId="1" applyBorder="1"/>
    <xf numFmtId="0" fontId="2" fillId="0" borderId="0" xfId="1"/>
    <xf numFmtId="0" fontId="20" fillId="0" borderId="0" xfId="1" applyFont="1" applyFill="1" applyBorder="1" applyAlignment="1">
      <alignment vertical="center"/>
    </xf>
    <xf numFmtId="0" fontId="18" fillId="0" borderId="0" xfId="1" applyFont="1" applyBorder="1" applyAlignment="1">
      <alignment vertical="center"/>
    </xf>
    <xf numFmtId="49" fontId="22" fillId="0" borderId="0" xfId="1" applyNumberFormat="1" applyFont="1" applyBorder="1" applyAlignment="1"/>
    <xf numFmtId="49" fontId="2" fillId="0" borderId="0" xfId="1" applyNumberFormat="1" applyFont="1" applyBorder="1" applyAlignment="1"/>
    <xf numFmtId="49" fontId="27" fillId="0" borderId="20" xfId="1" applyNumberFormat="1" applyFont="1" applyBorder="1" applyAlignment="1">
      <alignment vertical="center"/>
    </xf>
    <xf numFmtId="49" fontId="27" fillId="0" borderId="0" xfId="1" applyNumberFormat="1" applyFont="1" applyBorder="1" applyAlignment="1">
      <alignment vertical="center"/>
    </xf>
    <xf numFmtId="49" fontId="22" fillId="0" borderId="0" xfId="1" applyNumberFormat="1" applyFont="1" applyBorder="1" applyAlignment="1">
      <alignment horizontal="left"/>
    </xf>
    <xf numFmtId="49" fontId="2" fillId="0" borderId="0" xfId="1" applyNumberFormat="1" applyFont="1" applyBorder="1" applyAlignment="1">
      <alignment horizontal="left"/>
    </xf>
    <xf numFmtId="49" fontId="27" fillId="0" borderId="20" xfId="1" applyNumberFormat="1" applyFont="1" applyBorder="1" applyAlignment="1">
      <alignment horizontal="left" vertical="center"/>
    </xf>
    <xf numFmtId="0" fontId="22" fillId="0" borderId="0" xfId="1" applyNumberFormat="1" applyFont="1" applyBorder="1" applyAlignment="1">
      <alignment horizontal="left"/>
    </xf>
    <xf numFmtId="0" fontId="2" fillId="0" borderId="20" xfId="1" applyFont="1" applyBorder="1" applyAlignment="1">
      <alignment vertical="center"/>
    </xf>
    <xf numFmtId="183" fontId="22" fillId="0" borderId="0" xfId="1" applyNumberFormat="1" applyFont="1" applyBorder="1" applyAlignment="1"/>
    <xf numFmtId="183" fontId="22" fillId="0" borderId="0" xfId="1" applyNumberFormat="1" applyFont="1" applyBorder="1" applyAlignment="1">
      <alignment horizontal="center"/>
    </xf>
    <xf numFmtId="183" fontId="22" fillId="0" borderId="0" xfId="1" applyNumberFormat="1" applyFont="1" applyBorder="1" applyAlignment="1">
      <alignment horizontal="left"/>
    </xf>
    <xf numFmtId="0" fontId="22" fillId="0" borderId="0" xfId="1" applyNumberFormat="1" applyFont="1" applyBorder="1" applyAlignment="1"/>
    <xf numFmtId="0" fontId="22" fillId="0" borderId="0" xfId="1" applyFont="1" applyBorder="1" applyAlignment="1"/>
    <xf numFmtId="0" fontId="22" fillId="0" borderId="0" xfId="1" applyNumberFormat="1" applyFont="1" applyBorder="1" applyAlignment="1">
      <alignment horizontal="center"/>
    </xf>
    <xf numFmtId="183" fontId="27" fillId="0" borderId="0" xfId="1" applyNumberFormat="1" applyFont="1" applyBorder="1" applyAlignment="1">
      <alignment vertical="center"/>
    </xf>
    <xf numFmtId="0" fontId="22" fillId="0" borderId="4" xfId="1" applyFont="1" applyBorder="1" applyAlignment="1">
      <alignment horizontal="left"/>
    </xf>
    <xf numFmtId="0" fontId="22" fillId="0" borderId="0" xfId="1" applyFont="1" applyBorder="1" applyAlignment="1">
      <alignment vertical="center"/>
    </xf>
    <xf numFmtId="0" fontId="19" fillId="0" borderId="4" xfId="1" applyFont="1" applyBorder="1" applyAlignment="1">
      <alignment vertical="center"/>
    </xf>
    <xf numFmtId="0" fontId="19" fillId="0" borderId="20" xfId="1" applyFont="1" applyBorder="1" applyAlignment="1">
      <alignment vertical="center"/>
    </xf>
    <xf numFmtId="0" fontId="58" fillId="0" borderId="17" xfId="1" applyFont="1" applyBorder="1" applyAlignment="1">
      <alignment vertical="center"/>
    </xf>
    <xf numFmtId="0" fontId="41" fillId="0" borderId="0" xfId="5"/>
    <xf numFmtId="0" fontId="44" fillId="0" borderId="0" xfId="1" applyFont="1"/>
    <xf numFmtId="0" fontId="59" fillId="0" borderId="0" xfId="5" applyFont="1"/>
    <xf numFmtId="0" fontId="60" fillId="0" borderId="0" xfId="5" applyFont="1" applyBorder="1" applyAlignment="1">
      <alignment vertical="center"/>
    </xf>
    <xf numFmtId="0" fontId="60" fillId="0" borderId="16" xfId="5" applyFont="1" applyBorder="1" applyAlignment="1">
      <alignment vertical="center"/>
    </xf>
    <xf numFmtId="0" fontId="59" fillId="0" borderId="0" xfId="5" applyFont="1" applyAlignment="1"/>
    <xf numFmtId="0" fontId="59" fillId="0" borderId="0" xfId="5" applyFont="1" applyAlignment="1">
      <alignment horizontal="right" vertical="center"/>
    </xf>
    <xf numFmtId="0" fontId="59" fillId="0" borderId="0" xfId="5" applyFont="1" applyAlignment="1">
      <alignment vertical="center"/>
    </xf>
    <xf numFmtId="0" fontId="2" fillId="0" borderId="0" xfId="1" applyAlignment="1">
      <alignment vertical="center"/>
    </xf>
    <xf numFmtId="0" fontId="59" fillId="20" borderId="3" xfId="5" applyFont="1" applyFill="1" applyBorder="1" applyAlignment="1">
      <alignment horizontal="center" vertical="center"/>
    </xf>
    <xf numFmtId="0" fontId="2" fillId="0" borderId="13" xfId="1" applyBorder="1" applyAlignment="1">
      <alignment vertical="center"/>
    </xf>
    <xf numFmtId="0" fontId="60" fillId="0" borderId="1" xfId="5" applyFont="1" applyBorder="1" applyAlignment="1">
      <alignment horizontal="center" vertical="center"/>
    </xf>
    <xf numFmtId="0" fontId="2" fillId="0" borderId="38" xfId="1" applyBorder="1" applyAlignment="1">
      <alignment vertical="center"/>
    </xf>
    <xf numFmtId="178" fontId="59" fillId="20" borderId="3" xfId="5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0" fontId="7" fillId="0" borderId="0" xfId="0" applyFont="1" applyFill="1" applyBorder="1" applyAlignment="1">
      <alignment horizontal="center"/>
    </xf>
    <xf numFmtId="182" fontId="7" fillId="0" borderId="0" xfId="0" applyNumberFormat="1" applyFont="1" applyFill="1" applyBorder="1" applyAlignment="1" applyProtection="1">
      <alignment horizontal="center"/>
    </xf>
    <xf numFmtId="0" fontId="7" fillId="0" borderId="4" xfId="0" applyFont="1" applyFill="1" applyBorder="1" applyAlignment="1">
      <alignment horizontal="center"/>
    </xf>
    <xf numFmtId="167" fontId="0" fillId="0" borderId="0" xfId="0" applyNumberFormat="1" applyFont="1" applyFill="1" applyAlignment="1">
      <alignment horizontal="center"/>
    </xf>
    <xf numFmtId="164" fontId="0" fillId="33" borderId="0" xfId="0" applyNumberFormat="1" applyFill="1" applyAlignment="1">
      <alignment horizontal="center"/>
    </xf>
    <xf numFmtId="165" fontId="0" fillId="17" borderId="3" xfId="0" applyNumberFormat="1" applyFill="1" applyBorder="1" applyAlignment="1">
      <alignment horizontal="center"/>
    </xf>
    <xf numFmtId="182" fontId="61" fillId="0" borderId="0" xfId="0" applyNumberFormat="1" applyFont="1" applyFill="1" applyBorder="1" applyAlignment="1">
      <alignment horizontal="right" vertical="center"/>
    </xf>
    <xf numFmtId="0" fontId="62" fillId="0" borderId="4" xfId="0" applyFont="1" applyFill="1" applyBorder="1" applyAlignment="1">
      <alignment horizontal="right" vertical="center"/>
    </xf>
    <xf numFmtId="0" fontId="0" fillId="0" borderId="0" xfId="0" applyNumberFormat="1"/>
    <xf numFmtId="0" fontId="3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Border="1"/>
    <xf numFmtId="0" fontId="4" fillId="20" borderId="3" xfId="0" applyNumberFormat="1" applyFont="1" applyFill="1" applyBorder="1"/>
    <xf numFmtId="0" fontId="0" fillId="20" borderId="0" xfId="0" applyNumberFormat="1" applyFill="1" applyAlignment="1">
      <alignment horizontal="center"/>
    </xf>
    <xf numFmtId="0" fontId="49" fillId="28" borderId="51" xfId="0" applyFont="1" applyFill="1" applyBorder="1" applyAlignment="1">
      <alignment horizontal="left" indent="1"/>
    </xf>
    <xf numFmtId="0" fontId="20" fillId="28" borderId="4" xfId="0" applyFont="1" applyFill="1" applyBorder="1" applyAlignment="1">
      <alignment horizontal="left" indent="1"/>
    </xf>
    <xf numFmtId="0" fontId="49" fillId="28" borderId="4" xfId="0" applyFont="1" applyFill="1" applyBorder="1" applyAlignment="1">
      <alignment horizontal="left" indent="1"/>
    </xf>
    <xf numFmtId="0" fontId="20" fillId="28" borderId="4" xfId="0" applyFont="1" applyFill="1" applyBorder="1" applyAlignment="1">
      <alignment horizontal="left" vertical="center" indent="1"/>
    </xf>
    <xf numFmtId="0" fontId="49" fillId="28" borderId="4" xfId="0" applyFont="1" applyFill="1" applyBorder="1" applyAlignment="1">
      <alignment horizontal="left" vertical="center" indent="1"/>
    </xf>
    <xf numFmtId="0" fontId="19" fillId="28" borderId="4" xfId="0" applyFont="1" applyFill="1" applyBorder="1" applyAlignment="1">
      <alignment horizontal="left" vertical="center" indent="1"/>
    </xf>
    <xf numFmtId="0" fontId="20" fillId="34" borderId="4" xfId="0" applyFont="1" applyFill="1" applyBorder="1" applyAlignment="1">
      <alignment horizontal="left" vertical="center" indent="1"/>
    </xf>
    <xf numFmtId="0" fontId="20" fillId="28" borderId="23" xfId="0" applyFont="1" applyFill="1" applyBorder="1" applyAlignment="1">
      <alignment horizontal="left" vertical="center" indent="1"/>
    </xf>
    <xf numFmtId="167" fontId="0" fillId="33" borderId="0" xfId="0" applyNumberFormat="1" applyFill="1"/>
    <xf numFmtId="0" fontId="54" fillId="24" borderId="0" xfId="0" applyFont="1" applyFill="1" applyBorder="1" applyAlignment="1">
      <alignment vertical="center"/>
    </xf>
    <xf numFmtId="0" fontId="19" fillId="0" borderId="0" xfId="1" applyFont="1" applyFill="1" applyBorder="1" applyAlignment="1">
      <alignment vertical="center"/>
    </xf>
    <xf numFmtId="0" fontId="19" fillId="0" borderId="0" xfId="1" applyFont="1" applyBorder="1" applyAlignment="1" applyProtection="1">
      <alignment vertical="center"/>
      <protection hidden="1"/>
    </xf>
    <xf numFmtId="0" fontId="7" fillId="0" borderId="0" xfId="0" applyFont="1" applyFill="1"/>
    <xf numFmtId="0" fontId="15" fillId="0" borderId="7" xfId="0" applyFont="1" applyFill="1" applyBorder="1" applyAlignment="1">
      <alignment horizontal="center"/>
    </xf>
    <xf numFmtId="0" fontId="7" fillId="0" borderId="9" xfId="0" applyFont="1" applyFill="1" applyBorder="1"/>
    <xf numFmtId="0" fontId="7" fillId="0" borderId="14" xfId="0" applyFont="1" applyFill="1" applyBorder="1"/>
    <xf numFmtId="0" fontId="7" fillId="0" borderId="32" xfId="0" applyFont="1" applyFill="1" applyBorder="1"/>
    <xf numFmtId="0" fontId="7" fillId="0" borderId="31" xfId="0" applyFont="1" applyFill="1" applyBorder="1"/>
    <xf numFmtId="0" fontId="15" fillId="0" borderId="4" xfId="0" applyFont="1" applyFill="1" applyBorder="1"/>
    <xf numFmtId="0" fontId="15" fillId="0" borderId="0" xfId="0" applyFont="1" applyFill="1" applyBorder="1"/>
    <xf numFmtId="0" fontId="7" fillId="0" borderId="3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left"/>
    </xf>
    <xf numFmtId="165" fontId="7" fillId="0" borderId="0" xfId="0" applyNumberFormat="1" applyFont="1" applyFill="1" applyAlignment="1">
      <alignment horizontal="center"/>
    </xf>
    <xf numFmtId="0" fontId="7" fillId="0" borderId="4" xfId="0" applyFont="1" applyFill="1" applyBorder="1"/>
    <xf numFmtId="0" fontId="7" fillId="0" borderId="17" xfId="0" applyFont="1" applyFill="1" applyBorder="1"/>
    <xf numFmtId="0" fontId="7" fillId="0" borderId="19" xfId="0" applyFont="1" applyFill="1" applyBorder="1"/>
    <xf numFmtId="0" fontId="7" fillId="0" borderId="67" xfId="0" applyFont="1" applyFill="1" applyBorder="1" applyAlignment="1">
      <alignment horizontal="center"/>
    </xf>
    <xf numFmtId="0" fontId="7" fillId="0" borderId="22" xfId="0" applyFont="1" applyFill="1" applyBorder="1" applyAlignment="1">
      <alignment horizontal="center"/>
    </xf>
    <xf numFmtId="0" fontId="7" fillId="0" borderId="33" xfId="0" applyFont="1" applyFill="1" applyBorder="1" applyAlignment="1">
      <alignment horizontal="center"/>
    </xf>
    <xf numFmtId="0" fontId="20" fillId="0" borderId="13" xfId="0" applyFont="1" applyFill="1" applyBorder="1" applyAlignment="1">
      <alignment horizontal="right" vertical="center"/>
    </xf>
    <xf numFmtId="0" fontId="74" fillId="39" borderId="0" xfId="0" applyFont="1" applyFill="1" applyAlignment="1">
      <alignment vertical="center"/>
    </xf>
    <xf numFmtId="0" fontId="0" fillId="0" borderId="0" xfId="0"/>
    <xf numFmtId="0" fontId="0" fillId="0" borderId="0" xfId="0"/>
    <xf numFmtId="0" fontId="0" fillId="0" borderId="0" xfId="0" applyFill="1"/>
    <xf numFmtId="187" fontId="0" fillId="0" borderId="0" xfId="0" applyNumberFormat="1"/>
    <xf numFmtId="188" fontId="0" fillId="0" borderId="0" xfId="0" applyNumberFormat="1"/>
    <xf numFmtId="182" fontId="0" fillId="0" borderId="0" xfId="0" applyNumberFormat="1"/>
    <xf numFmtId="0" fontId="0" fillId="26" borderId="0" xfId="0" applyFill="1"/>
    <xf numFmtId="0" fontId="0" fillId="39" borderId="0" xfId="0" applyFill="1"/>
    <xf numFmtId="0" fontId="0" fillId="15" borderId="0" xfId="0" applyFill="1"/>
    <xf numFmtId="187" fontId="0" fillId="0" borderId="0" xfId="0" applyNumberFormat="1" applyAlignment="1">
      <alignment horizontal="center"/>
    </xf>
    <xf numFmtId="0" fontId="4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187" fontId="4" fillId="0" borderId="74" xfId="0" applyNumberFormat="1" applyFont="1" applyBorder="1" applyAlignment="1">
      <alignment horizontal="center" vertical="center"/>
    </xf>
    <xf numFmtId="187" fontId="0" fillId="0" borderId="74" xfId="0" applyNumberForma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187" fontId="4" fillId="0" borderId="0" xfId="0" applyNumberFormat="1" applyFont="1" applyAlignment="1">
      <alignment horizontal="left"/>
    </xf>
    <xf numFmtId="187" fontId="0" fillId="0" borderId="0" xfId="0" applyNumberFormat="1" applyAlignment="1">
      <alignment horizontal="left"/>
    </xf>
    <xf numFmtId="0" fontId="15" fillId="0" borderId="9" xfId="0" applyFont="1" applyFill="1" applyBorder="1" applyAlignment="1">
      <alignment horizontal="center"/>
    </xf>
    <xf numFmtId="0" fontId="15" fillId="0" borderId="32" xfId="0" applyFont="1" applyFill="1" applyBorder="1" applyAlignment="1">
      <alignment horizontal="center"/>
    </xf>
    <xf numFmtId="0" fontId="7" fillId="0" borderId="20" xfId="0" applyFont="1" applyFill="1" applyBorder="1"/>
    <xf numFmtId="0" fontId="7" fillId="0" borderId="20" xfId="0" applyFont="1" applyFill="1" applyBorder="1" applyAlignment="1">
      <alignment horizontal="center"/>
    </xf>
    <xf numFmtId="182" fontId="7" fillId="0" borderId="31" xfId="0" applyNumberFormat="1" applyFont="1" applyFill="1" applyBorder="1" applyAlignment="1">
      <alignment horizontal="center"/>
    </xf>
    <xf numFmtId="0" fontId="7" fillId="0" borderId="0" xfId="0" applyFont="1" applyBorder="1"/>
    <xf numFmtId="182" fontId="7" fillId="0" borderId="0" xfId="0" applyNumberFormat="1" applyFont="1" applyFill="1" applyBorder="1"/>
    <xf numFmtId="182" fontId="7" fillId="0" borderId="14" xfId="0" applyNumberFormat="1" applyFont="1" applyFill="1" applyBorder="1"/>
    <xf numFmtId="0" fontId="7" fillId="0" borderId="14" xfId="0" applyFont="1" applyFill="1" applyBorder="1" applyAlignment="1">
      <alignment horizontal="center"/>
    </xf>
    <xf numFmtId="0" fontId="7" fillId="0" borderId="18" xfId="0" applyFont="1" applyFill="1" applyBorder="1" applyAlignment="1">
      <alignment horizontal="center"/>
    </xf>
    <xf numFmtId="182" fontId="7" fillId="0" borderId="12" xfId="0" applyNumberFormat="1" applyFont="1" applyFill="1" applyBorder="1" applyAlignment="1">
      <alignment horizontal="center"/>
    </xf>
    <xf numFmtId="0" fontId="34" fillId="0" borderId="0" xfId="0" applyFont="1" applyBorder="1" applyAlignment="1">
      <alignment horizontal="center" vertical="center"/>
    </xf>
    <xf numFmtId="182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182" fontId="27" fillId="0" borderId="16" xfId="0" applyNumberFormat="1" applyFont="1" applyFill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6" xfId="0" applyFont="1" applyBorder="1" applyAlignment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0" borderId="5" xfId="0" applyFont="1" applyBorder="1" applyAlignment="1">
      <alignment horizontal="right" vertical="center"/>
    </xf>
    <xf numFmtId="182" fontId="27" fillId="0" borderId="5" xfId="0" applyNumberFormat="1" applyFont="1" applyFill="1" applyBorder="1" applyAlignment="1">
      <alignment horizontal="center" vertical="center"/>
    </xf>
    <xf numFmtId="0" fontId="27" fillId="0" borderId="16" xfId="0" applyFont="1" applyFill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182" fontId="27" fillId="0" borderId="13" xfId="0" applyNumberFormat="1" applyFont="1" applyBorder="1" applyAlignment="1">
      <alignment horizontal="center" vertical="center"/>
    </xf>
    <xf numFmtId="182" fontId="27" fillId="0" borderId="42" xfId="0" applyNumberFormat="1" applyFont="1" applyBorder="1" applyAlignment="1">
      <alignment horizontal="center" vertical="center"/>
    </xf>
    <xf numFmtId="182" fontId="79" fillId="0" borderId="13" xfId="0" applyNumberFormat="1" applyFont="1" applyBorder="1" applyAlignment="1">
      <alignment horizontal="center" vertical="center"/>
    </xf>
    <xf numFmtId="0" fontId="0" fillId="0" borderId="0" xfId="0" applyAlignment="1"/>
    <xf numFmtId="182" fontId="0" fillId="0" borderId="0" xfId="0" applyNumberFormat="1" applyAlignment="1">
      <alignment horizontal="center"/>
    </xf>
    <xf numFmtId="182" fontId="75" fillId="0" borderId="0" xfId="0" applyNumberFormat="1" applyFont="1" applyAlignment="1">
      <alignment horizontal="center"/>
    </xf>
    <xf numFmtId="0" fontId="61" fillId="0" borderId="0" xfId="0" applyFont="1" applyBorder="1" applyAlignment="1">
      <alignment vertical="center"/>
    </xf>
    <xf numFmtId="0" fontId="80" fillId="8" borderId="26" xfId="0" applyFont="1" applyFill="1" applyBorder="1"/>
    <xf numFmtId="0" fontId="80" fillId="8" borderId="15" xfId="0" applyFont="1" applyFill="1" applyBorder="1" applyAlignment="1"/>
    <xf numFmtId="1" fontId="42" fillId="0" borderId="24" xfId="0" applyNumberFormat="1" applyFont="1" applyFill="1" applyBorder="1" applyAlignment="1">
      <alignment horizontal="center"/>
    </xf>
    <xf numFmtId="164" fontId="4" fillId="11" borderId="0" xfId="0" applyNumberFormat="1" applyFont="1" applyFill="1" applyBorder="1" applyAlignment="1">
      <alignment vertical="center"/>
    </xf>
    <xf numFmtId="164" fontId="0" fillId="11" borderId="0" xfId="0" applyNumberFormat="1" applyFont="1" applyFill="1" applyBorder="1" applyAlignment="1">
      <alignment vertical="center"/>
    </xf>
    <xf numFmtId="1" fontId="0" fillId="11" borderId="0" xfId="0" applyNumberFormat="1" applyFont="1" applyFill="1" applyBorder="1" applyAlignment="1">
      <alignment horizontal="center" vertical="center"/>
    </xf>
    <xf numFmtId="164" fontId="0" fillId="11" borderId="0" xfId="0" applyNumberFormat="1" applyFont="1" applyFill="1" applyBorder="1" applyAlignment="1">
      <alignment horizontal="center" vertical="center"/>
    </xf>
    <xf numFmtId="0" fontId="0" fillId="11" borderId="0" xfId="0" applyNumberFormat="1" applyFont="1" applyFill="1" applyBorder="1" applyAlignment="1">
      <alignment vertical="center"/>
    </xf>
    <xf numFmtId="0" fontId="0" fillId="11" borderId="0" xfId="0" applyNumberFormat="1" applyFont="1" applyFill="1" applyBorder="1" applyAlignment="1">
      <alignment horizontal="center" vertical="center"/>
    </xf>
    <xf numFmtId="167" fontId="0" fillId="11" borderId="0" xfId="0" applyNumberFormat="1" applyFont="1" applyFill="1" applyBorder="1" applyAlignment="1">
      <alignment horizontal="center" vertical="center"/>
    </xf>
    <xf numFmtId="167" fontId="0" fillId="11" borderId="0" xfId="0" applyNumberFormat="1" applyFont="1" applyFill="1" applyBorder="1" applyAlignment="1">
      <alignment vertical="center"/>
    </xf>
    <xf numFmtId="1" fontId="42" fillId="20" borderId="65" xfId="0" applyNumberFormat="1" applyFont="1" applyFill="1" applyBorder="1" applyAlignment="1">
      <alignment horizontal="center"/>
    </xf>
    <xf numFmtId="1" fontId="42" fillId="20" borderId="3" xfId="0" applyNumberFormat="1" applyFont="1" applyFill="1" applyBorder="1" applyAlignment="1">
      <alignment horizontal="center"/>
    </xf>
    <xf numFmtId="167" fontId="42" fillId="20" borderId="44" xfId="0" applyNumberFormat="1" applyFont="1" applyFill="1" applyBorder="1" applyAlignment="1">
      <alignment horizontal="center"/>
    </xf>
    <xf numFmtId="0" fontId="42" fillId="20" borderId="29" xfId="0" applyFont="1" applyFill="1" applyBorder="1" applyAlignment="1">
      <alignment horizontal="center"/>
    </xf>
    <xf numFmtId="0" fontId="82" fillId="36" borderId="0" xfId="0" applyFont="1" applyFill="1" applyBorder="1" applyAlignment="1">
      <alignment vertical="center"/>
    </xf>
    <xf numFmtId="0" fontId="15" fillId="0" borderId="32" xfId="0" applyFont="1" applyFill="1" applyBorder="1" applyAlignment="1">
      <alignment horizontal="center"/>
    </xf>
    <xf numFmtId="0" fontId="7" fillId="0" borderId="7" xfId="0" applyFont="1" applyFill="1" applyBorder="1"/>
    <xf numFmtId="1" fontId="7" fillId="0" borderId="31" xfId="0" applyNumberFormat="1" applyFont="1" applyFill="1" applyBorder="1" applyAlignment="1">
      <alignment horizontal="center"/>
    </xf>
    <xf numFmtId="0" fontId="81" fillId="0" borderId="4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center"/>
    </xf>
    <xf numFmtId="182" fontId="7" fillId="0" borderId="4" xfId="0" applyNumberFormat="1" applyFont="1" applyFill="1" applyBorder="1" applyAlignment="1">
      <alignment horizontal="center"/>
    </xf>
    <xf numFmtId="182" fontId="7" fillId="0" borderId="17" xfId="0" applyNumberFormat="1" applyFont="1" applyFill="1" applyBorder="1" applyAlignment="1">
      <alignment horizontal="center"/>
    </xf>
    <xf numFmtId="0" fontId="34" fillId="16" borderId="88" xfId="0" applyFont="1" applyFill="1" applyBorder="1" applyAlignment="1">
      <alignment vertical="center"/>
    </xf>
    <xf numFmtId="0" fontId="42" fillId="0" borderId="24" xfId="0" applyNumberFormat="1" applyFont="1" applyFill="1" applyBorder="1" applyAlignment="1">
      <alignment horizontal="center"/>
    </xf>
    <xf numFmtId="0" fontId="64" fillId="0" borderId="0" xfId="0" applyFont="1" applyBorder="1" applyAlignment="1" applyProtection="1">
      <protection hidden="1"/>
    </xf>
    <xf numFmtId="0" fontId="64" fillId="0" borderId="20" xfId="0" applyFont="1" applyBorder="1" applyAlignment="1" applyProtection="1">
      <protection hidden="1"/>
    </xf>
    <xf numFmtId="0" fontId="36" fillId="0" borderId="0" xfId="0" applyFont="1" applyBorder="1" applyAlignment="1" applyProtection="1">
      <alignment vertical="center"/>
      <protection hidden="1"/>
    </xf>
    <xf numFmtId="0" fontId="36" fillId="0" borderId="20" xfId="0" applyFont="1" applyBorder="1" applyAlignment="1" applyProtection="1">
      <alignment vertical="center"/>
      <protection hidden="1"/>
    </xf>
    <xf numFmtId="182" fontId="27" fillId="0" borderId="0" xfId="0" applyNumberFormat="1" applyFont="1" applyBorder="1" applyAlignment="1">
      <alignment horizontal="center" vertical="center"/>
    </xf>
    <xf numFmtId="0" fontId="45" fillId="0" borderId="0" xfId="0" applyNumberFormat="1" applyFont="1" applyFill="1" applyBorder="1" applyAlignment="1">
      <alignment vertical="center"/>
    </xf>
    <xf numFmtId="173" fontId="0" fillId="17" borderId="0" xfId="0" applyNumberFormat="1" applyFont="1" applyFill="1" applyBorder="1" applyAlignment="1" applyProtection="1"/>
    <xf numFmtId="0" fontId="86" fillId="0" borderId="0" xfId="0" applyFont="1" applyBorder="1" applyAlignment="1" applyProtection="1">
      <alignment vertical="center" wrapText="1"/>
      <protection hidden="1"/>
    </xf>
    <xf numFmtId="0" fontId="87" fillId="0" borderId="0" xfId="0" applyFont="1" applyBorder="1" applyAlignment="1" applyProtection="1">
      <alignment vertical="center"/>
      <protection hidden="1"/>
    </xf>
    <xf numFmtId="0" fontId="34" fillId="16" borderId="0" xfId="0" applyFont="1" applyFill="1" applyBorder="1" applyAlignment="1">
      <alignment vertical="center"/>
    </xf>
    <xf numFmtId="167" fontId="79" fillId="0" borderId="0" xfId="0" applyNumberFormat="1" applyFont="1" applyFill="1" applyBorder="1" applyAlignment="1">
      <alignment horizontal="center"/>
    </xf>
    <xf numFmtId="167" fontId="79" fillId="0" borderId="0" xfId="0" applyNumberFormat="1" applyFont="1" applyBorder="1" applyAlignment="1">
      <alignment horizontal="center"/>
    </xf>
    <xf numFmtId="0" fontId="88" fillId="0" borderId="0" xfId="0" applyFont="1" applyFill="1" applyBorder="1" applyAlignment="1"/>
    <xf numFmtId="182" fontId="34" fillId="0" borderId="0" xfId="0" applyNumberFormat="1" applyFont="1" applyBorder="1" applyAlignment="1"/>
    <xf numFmtId="182" fontId="4" fillId="16" borderId="0" xfId="0" applyNumberFormat="1" applyFont="1" applyFill="1" applyBorder="1" applyAlignment="1">
      <alignment horizontal="right" vertical="center"/>
    </xf>
    <xf numFmtId="0" fontId="4" fillId="0" borderId="24" xfId="0" applyNumberFormat="1" applyFont="1" applyFill="1" applyBorder="1" applyAlignment="1">
      <alignment horizontal="center"/>
    </xf>
    <xf numFmtId="0" fontId="63" fillId="0" borderId="0" xfId="0" applyFont="1" applyBorder="1" applyAlignment="1">
      <alignment vertical="center"/>
    </xf>
    <xf numFmtId="0" fontId="90" fillId="0" borderId="4" xfId="0" applyFont="1" applyFill="1" applyBorder="1" applyAlignment="1">
      <alignment horizontal="center"/>
    </xf>
    <xf numFmtId="14" fontId="27" fillId="0" borderId="0" xfId="0" applyNumberFormat="1" applyFont="1" applyBorder="1"/>
    <xf numFmtId="164" fontId="0" fillId="0" borderId="0" xfId="0" applyNumberFormat="1" applyFont="1" applyFill="1" applyBorder="1" applyAlignment="1"/>
    <xf numFmtId="164" fontId="0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92" xfId="0" applyFont="1" applyBorder="1"/>
    <xf numFmtId="0" fontId="85" fillId="16" borderId="0" xfId="0" applyFont="1" applyFill="1" applyBorder="1" applyAlignment="1">
      <alignment vertical="center"/>
    </xf>
    <xf numFmtId="0" fontId="34" fillId="0" borderId="0" xfId="0" applyFont="1" applyAlignment="1">
      <alignment vertical="center"/>
    </xf>
    <xf numFmtId="0" fontId="44" fillId="0" borderId="0" xfId="0" applyFont="1" applyProtection="1">
      <protection hidden="1"/>
    </xf>
    <xf numFmtId="182" fontId="27" fillId="0" borderId="0" xfId="0" applyNumberFormat="1" applyFont="1" applyFill="1" applyBorder="1" applyAlignment="1">
      <alignment vertical="center"/>
    </xf>
    <xf numFmtId="0" fontId="94" fillId="0" borderId="0" xfId="0" applyFont="1"/>
    <xf numFmtId="0" fontId="44" fillId="0" borderId="0" xfId="0" applyFont="1" applyFill="1" applyBorder="1"/>
    <xf numFmtId="14" fontId="0" fillId="0" borderId="0" xfId="0" applyNumberFormat="1"/>
    <xf numFmtId="189" fontId="0" fillId="0" borderId="0" xfId="0" applyNumberFormat="1"/>
    <xf numFmtId="182" fontId="27" fillId="19" borderId="3" xfId="0" applyNumberFormat="1" applyFont="1" applyFill="1" applyBorder="1" applyAlignment="1">
      <alignment horizontal="center" vertical="center"/>
    </xf>
    <xf numFmtId="182" fontId="27" fillId="26" borderId="3" xfId="0" applyNumberFormat="1" applyFont="1" applyFill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67" fontId="79" fillId="19" borderId="3" xfId="0" applyNumberFormat="1" applyFont="1" applyFill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10" xfId="0" applyFont="1" applyBorder="1" applyAlignment="1">
      <alignment horizontal="center" vertical="center"/>
    </xf>
    <xf numFmtId="182" fontId="27" fillId="40" borderId="94" xfId="0" applyNumberFormat="1" applyFont="1" applyFill="1" applyBorder="1" applyAlignment="1">
      <alignment vertical="center" wrapText="1"/>
    </xf>
    <xf numFmtId="182" fontId="27" fillId="40" borderId="95" xfId="0" applyNumberFormat="1" applyFont="1" applyFill="1" applyBorder="1" applyAlignment="1">
      <alignment vertical="center" wrapText="1"/>
    </xf>
    <xf numFmtId="182" fontId="27" fillId="40" borderId="95" xfId="0" applyNumberFormat="1" applyFont="1" applyFill="1" applyBorder="1" applyAlignment="1">
      <alignment horizontal="center" vertical="center" wrapText="1"/>
    </xf>
    <xf numFmtId="183" fontId="27" fillId="40" borderId="95" xfId="0" applyNumberFormat="1" applyFont="1" applyFill="1" applyBorder="1" applyAlignment="1">
      <alignment horizontal="center" vertical="center" wrapText="1"/>
    </xf>
    <xf numFmtId="182" fontId="27" fillId="40" borderId="96" xfId="0" applyNumberFormat="1" applyFont="1" applyFill="1" applyBorder="1" applyAlignment="1">
      <alignment vertical="center" wrapText="1"/>
    </xf>
    <xf numFmtId="0" fontId="37" fillId="0" borderId="0" xfId="0" applyFont="1" applyBorder="1" applyAlignment="1">
      <alignment vertical="center"/>
    </xf>
    <xf numFmtId="182" fontId="27" fillId="0" borderId="3" xfId="0" applyNumberFormat="1" applyFont="1" applyBorder="1" applyAlignment="1">
      <alignment horizontal="center" vertical="center"/>
    </xf>
    <xf numFmtId="0" fontId="34" fillId="0" borderId="0" xfId="0" applyFont="1" applyBorder="1" applyAlignment="1">
      <alignment vertical="center"/>
    </xf>
    <xf numFmtId="0" fontId="34" fillId="0" borderId="3" xfId="0" applyFont="1" applyFill="1" applyBorder="1" applyAlignment="1">
      <alignment horizontal="center" vertical="center"/>
    </xf>
    <xf numFmtId="1" fontId="37" fillId="0" borderId="0" xfId="0" applyNumberFormat="1" applyFont="1" applyFill="1" applyBorder="1" applyAlignment="1"/>
    <xf numFmtId="14" fontId="34" fillId="0" borderId="0" xfId="0" applyNumberFormat="1" applyFont="1" applyFill="1" applyBorder="1" applyAlignment="1"/>
    <xf numFmtId="0" fontId="27" fillId="0" borderId="0" xfId="0" applyFont="1" applyBorder="1" applyAlignment="1">
      <alignment horizontal="right" vertical="center"/>
    </xf>
    <xf numFmtId="183" fontId="34" fillId="26" borderId="3" xfId="0" applyNumberFormat="1" applyFont="1" applyFill="1" applyBorder="1" applyAlignment="1">
      <alignment horizontal="center" vertical="center"/>
    </xf>
    <xf numFmtId="1" fontId="34" fillId="0" borderId="0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14" fontId="34" fillId="0" borderId="0" xfId="0" applyNumberFormat="1" applyFont="1" applyFill="1" applyBorder="1" applyAlignment="1">
      <alignment vertical="center"/>
    </xf>
    <xf numFmtId="1" fontId="34" fillId="26" borderId="3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183" fontId="34" fillId="19" borderId="3" xfId="0" applyNumberFormat="1" applyFont="1" applyFill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34" fillId="0" borderId="0" xfId="0" applyNumberFormat="1" applyFont="1" applyFill="1" applyBorder="1" applyAlignment="1">
      <alignment horizontal="center" vertical="center"/>
    </xf>
    <xf numFmtId="0" fontId="34" fillId="0" borderId="0" xfId="0" applyNumberFormat="1" applyFont="1" applyFill="1" applyBorder="1" applyAlignment="1">
      <alignment vertical="center"/>
    </xf>
    <xf numFmtId="0" fontId="34" fillId="0" borderId="44" xfId="0" applyFont="1" applyBorder="1" applyAlignment="1">
      <alignment horizontal="center" vertical="center"/>
    </xf>
    <xf numFmtId="0" fontId="34" fillId="0" borderId="65" xfId="0" applyFont="1" applyFill="1" applyBorder="1" applyAlignment="1">
      <alignment horizontal="center" vertical="center"/>
    </xf>
    <xf numFmtId="0" fontId="34" fillId="0" borderId="45" xfId="0" applyFont="1" applyFill="1" applyBorder="1" applyAlignment="1">
      <alignment horizontal="center" vertical="center"/>
    </xf>
    <xf numFmtId="0" fontId="34" fillId="0" borderId="65" xfId="0" applyFont="1" applyBorder="1" applyAlignment="1">
      <alignment horizontal="center" vertical="center"/>
    </xf>
    <xf numFmtId="0" fontId="34" fillId="0" borderId="45" xfId="0" applyFont="1" applyBorder="1" applyAlignment="1">
      <alignment horizontal="center" vertical="center"/>
    </xf>
    <xf numFmtId="0" fontId="88" fillId="0" borderId="45" xfId="0" applyFont="1" applyFill="1" applyBorder="1" applyAlignment="1">
      <alignment horizontal="center" vertical="center"/>
    </xf>
    <xf numFmtId="182" fontId="27" fillId="19" borderId="29" xfId="0" applyNumberFormat="1" applyFont="1" applyFill="1" applyBorder="1" applyAlignment="1" applyProtection="1">
      <alignment horizontal="center" vertical="center"/>
    </xf>
    <xf numFmtId="182" fontId="27" fillId="19" borderId="3" xfId="0" applyNumberFormat="1" applyFont="1" applyFill="1" applyBorder="1" applyAlignment="1" applyProtection="1">
      <alignment horizontal="center" vertical="center"/>
    </xf>
    <xf numFmtId="182" fontId="27" fillId="19" borderId="22" xfId="0" applyNumberFormat="1" applyFont="1" applyFill="1" applyBorder="1" applyAlignment="1">
      <alignment horizontal="center" vertical="center"/>
    </xf>
    <xf numFmtId="182" fontId="27" fillId="19" borderId="29" xfId="0" applyNumberFormat="1" applyFont="1" applyFill="1" applyBorder="1" applyAlignment="1">
      <alignment horizontal="center" vertical="center"/>
    </xf>
    <xf numFmtId="182" fontId="27" fillId="19" borderId="22" xfId="0" applyNumberFormat="1" applyFont="1" applyFill="1" applyBorder="1" applyAlignment="1" applyProtection="1">
      <alignment horizontal="center" vertical="center"/>
    </xf>
    <xf numFmtId="182" fontId="34" fillId="0" borderId="29" xfId="0" applyNumberFormat="1" applyFont="1" applyBorder="1" applyAlignment="1">
      <alignment horizontal="center" vertical="center"/>
    </xf>
    <xf numFmtId="182" fontId="34" fillId="0" borderId="3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21" fontId="34" fillId="0" borderId="0" xfId="0" applyNumberFormat="1" applyFont="1" applyFill="1" applyBorder="1" applyAlignment="1">
      <alignment horizontal="center" vertical="center"/>
    </xf>
    <xf numFmtId="21" fontId="34" fillId="0" borderId="29" xfId="0" applyNumberFormat="1" applyFont="1" applyFill="1" applyBorder="1" applyAlignment="1">
      <alignment horizontal="center" vertical="center"/>
    </xf>
    <xf numFmtId="182" fontId="34" fillId="0" borderId="22" xfId="0" applyNumberFormat="1" applyFont="1" applyBorder="1" applyAlignment="1">
      <alignment horizontal="center" vertical="center"/>
    </xf>
    <xf numFmtId="182" fontId="27" fillId="19" borderId="29" xfId="0" applyNumberFormat="1" applyFont="1" applyFill="1" applyBorder="1" applyAlignment="1" applyProtection="1">
      <alignment horizontal="center" vertical="center"/>
      <protection hidden="1"/>
    </xf>
    <xf numFmtId="167" fontId="79" fillId="0" borderId="46" xfId="0" applyNumberFormat="1" applyFont="1" applyFill="1" applyBorder="1" applyAlignment="1">
      <alignment horizontal="center" vertical="center"/>
    </xf>
    <xf numFmtId="167" fontId="79" fillId="0" borderId="58" xfId="0" applyNumberFormat="1" applyFont="1" applyFill="1" applyBorder="1" applyAlignment="1">
      <alignment horizontal="center" vertical="center"/>
    </xf>
    <xf numFmtId="167" fontId="79" fillId="0" borderId="33" xfId="0" applyNumberFormat="1" applyFont="1" applyFill="1" applyBorder="1" applyAlignment="1">
      <alignment horizontal="center" vertical="center"/>
    </xf>
    <xf numFmtId="167" fontId="79" fillId="0" borderId="46" xfId="0" applyNumberFormat="1" applyFont="1" applyFill="1" applyBorder="1" applyAlignment="1" applyProtection="1">
      <alignment horizontal="center" vertical="center"/>
      <protection hidden="1"/>
    </xf>
    <xf numFmtId="0" fontId="79" fillId="0" borderId="0" xfId="0" applyFont="1" applyBorder="1" applyAlignment="1">
      <alignment horizontal="center" vertical="center"/>
    </xf>
    <xf numFmtId="167" fontId="79" fillId="0" borderId="19" xfId="0" applyNumberFormat="1" applyFont="1" applyBorder="1" applyAlignment="1">
      <alignment horizontal="center" vertical="center"/>
    </xf>
    <xf numFmtId="182" fontId="34" fillId="0" borderId="0" xfId="0" applyNumberFormat="1" applyFont="1" applyBorder="1" applyAlignment="1">
      <alignment horizontal="center" vertical="center"/>
    </xf>
    <xf numFmtId="182" fontId="79" fillId="0" borderId="0" xfId="0" applyNumberFormat="1" applyFont="1" applyBorder="1" applyAlignment="1">
      <alignment horizontal="center" vertical="center"/>
    </xf>
    <xf numFmtId="0" fontId="20" fillId="40" borderId="44" xfId="0" applyFont="1" applyFill="1" applyBorder="1" applyAlignment="1">
      <alignment horizontal="center" vertical="center"/>
    </xf>
    <xf numFmtId="182" fontId="20" fillId="40" borderId="65" xfId="0" applyNumberFormat="1" applyFont="1" applyFill="1" applyBorder="1" applyAlignment="1">
      <alignment horizontal="center" vertical="center"/>
    </xf>
    <xf numFmtId="184" fontId="20" fillId="40" borderId="45" xfId="0" applyNumberFormat="1" applyFont="1" applyFill="1" applyBorder="1" applyAlignment="1">
      <alignment horizontal="center" vertical="center"/>
    </xf>
    <xf numFmtId="182" fontId="47" fillId="0" borderId="0" xfId="0" applyNumberFormat="1" applyFont="1" applyFill="1" applyBorder="1" applyAlignment="1">
      <alignment vertical="center"/>
    </xf>
    <xf numFmtId="0" fontId="20" fillId="40" borderId="65" xfId="0" applyFont="1" applyFill="1" applyBorder="1" applyAlignment="1">
      <alignment horizontal="center" vertical="center"/>
    </xf>
    <xf numFmtId="0" fontId="20" fillId="40" borderId="45" xfId="0" applyFont="1" applyFill="1" applyBorder="1" applyAlignment="1">
      <alignment horizontal="center" vertical="center"/>
    </xf>
    <xf numFmtId="0" fontId="34" fillId="40" borderId="29" xfId="0" applyFont="1" applyFill="1" applyBorder="1" applyAlignment="1">
      <alignment horizontal="center" vertical="center"/>
    </xf>
    <xf numFmtId="182" fontId="34" fillId="40" borderId="3" xfId="0" applyNumberFormat="1" applyFont="1" applyFill="1" applyBorder="1" applyAlignment="1">
      <alignment horizontal="center" vertical="center"/>
    </xf>
    <xf numFmtId="0" fontId="34" fillId="40" borderId="22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34" fillId="40" borderId="3" xfId="0" applyFont="1" applyFill="1" applyBorder="1" applyAlignment="1">
      <alignment horizontal="center" vertical="center"/>
    </xf>
    <xf numFmtId="167" fontId="27" fillId="0" borderId="0" xfId="0" applyNumberFormat="1" applyFont="1" applyBorder="1" applyAlignment="1">
      <alignment horizontal="center" vertical="center"/>
    </xf>
    <xf numFmtId="167" fontId="79" fillId="0" borderId="0" xfId="0" applyNumberFormat="1" applyFont="1" applyBorder="1" applyAlignment="1">
      <alignment horizontal="center" vertical="center"/>
    </xf>
    <xf numFmtId="167" fontId="79" fillId="0" borderId="46" xfId="0" applyNumberFormat="1" applyFont="1" applyFill="1" applyBorder="1" applyAlignment="1" applyProtection="1">
      <alignment horizontal="center" vertical="center"/>
    </xf>
    <xf numFmtId="167" fontId="79" fillId="0" borderId="58" xfId="0" applyNumberFormat="1" applyFont="1" applyBorder="1" applyAlignment="1">
      <alignment horizontal="center" vertical="center"/>
    </xf>
    <xf numFmtId="167" fontId="79" fillId="0" borderId="33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67" fontId="79" fillId="0" borderId="46" xfId="0" applyNumberFormat="1" applyFont="1" applyBorder="1" applyAlignment="1">
      <alignment horizontal="center" vertical="center"/>
    </xf>
    <xf numFmtId="182" fontId="27" fillId="0" borderId="0" xfId="0" applyNumberFormat="1" applyFont="1" applyFill="1" applyBorder="1" applyAlignment="1" applyProtection="1">
      <alignment horizontal="center" vertical="center"/>
    </xf>
    <xf numFmtId="182" fontId="38" fillId="0" borderId="0" xfId="0" applyNumberFormat="1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169" fontId="79" fillId="19" borderId="3" xfId="0" applyNumberFormat="1" applyFont="1" applyFill="1" applyBorder="1" applyAlignment="1">
      <alignment horizontal="center" vertical="center"/>
    </xf>
    <xf numFmtId="182" fontId="34" fillId="0" borderId="0" xfId="0" applyNumberFormat="1" applyFont="1" applyBorder="1" applyAlignment="1">
      <alignment horizontal="right" vertical="center"/>
    </xf>
    <xf numFmtId="182" fontId="27" fillId="0" borderId="2" xfId="0" applyNumberFormat="1" applyFont="1" applyFill="1" applyBorder="1" applyAlignment="1">
      <alignment horizontal="center" vertical="center"/>
    </xf>
    <xf numFmtId="182" fontId="27" fillId="19" borderId="1" xfId="0" applyNumberFormat="1" applyFont="1" applyFill="1" applyBorder="1" applyAlignment="1" applyProtection="1">
      <alignment horizontal="center" vertical="center"/>
    </xf>
    <xf numFmtId="182" fontId="27" fillId="26" borderId="1" xfId="0" applyNumberFormat="1" applyFont="1" applyFill="1" applyBorder="1" applyAlignment="1">
      <alignment horizontal="center" vertical="center"/>
    </xf>
    <xf numFmtId="1" fontId="27" fillId="0" borderId="0" xfId="0" applyNumberFormat="1" applyFont="1" applyFill="1" applyBorder="1" applyAlignment="1">
      <alignment horizontal="center" vertical="center"/>
    </xf>
    <xf numFmtId="167" fontId="27" fillId="0" borderId="0" xfId="0" applyNumberFormat="1" applyFont="1" applyFill="1" applyBorder="1" applyAlignment="1">
      <alignment horizontal="center" vertical="center"/>
    </xf>
    <xf numFmtId="169" fontId="61" fillId="0" borderId="0" xfId="0" applyNumberFormat="1" applyFont="1" applyFill="1" applyBorder="1" applyAlignment="1">
      <alignment vertical="center"/>
    </xf>
    <xf numFmtId="0" fontId="61" fillId="0" borderId="0" xfId="0" applyFont="1" applyFill="1" applyBorder="1" applyAlignment="1">
      <alignment vertical="center"/>
    </xf>
    <xf numFmtId="21" fontId="34" fillId="0" borderId="0" xfId="0" applyNumberFormat="1" applyFont="1" applyFill="1" applyBorder="1" applyAlignment="1">
      <alignment vertical="center"/>
    </xf>
    <xf numFmtId="1" fontId="61" fillId="0" borderId="0" xfId="0" applyNumberFormat="1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182" fontId="27" fillId="42" borderId="3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vertical="center"/>
    </xf>
    <xf numFmtId="0" fontId="61" fillId="25" borderId="0" xfId="0" applyFont="1" applyFill="1" applyBorder="1" applyAlignment="1">
      <alignment vertical="center"/>
    </xf>
    <xf numFmtId="0" fontId="34" fillId="41" borderId="0" xfId="0" applyFont="1" applyFill="1" applyBorder="1" applyAlignment="1">
      <alignment vertical="center"/>
    </xf>
    <xf numFmtId="0" fontId="34" fillId="16" borderId="0" xfId="0" applyFont="1" applyFill="1" applyBorder="1" applyAlignment="1">
      <alignment horizontal="center" vertical="center"/>
    </xf>
    <xf numFmtId="182" fontId="34" fillId="19" borderId="3" xfId="0" applyNumberFormat="1" applyFont="1" applyFill="1" applyBorder="1" applyAlignment="1">
      <alignment horizontal="right" vertical="center"/>
    </xf>
    <xf numFmtId="0" fontId="27" fillId="0" borderId="0" xfId="0" applyNumberFormat="1" applyFont="1" applyFill="1" applyBorder="1" applyAlignment="1">
      <alignment vertical="center"/>
    </xf>
    <xf numFmtId="182" fontId="34" fillId="19" borderId="3" xfId="0" applyNumberFormat="1" applyFont="1" applyFill="1" applyBorder="1" applyAlignment="1">
      <alignment vertical="center"/>
    </xf>
    <xf numFmtId="0" fontId="34" fillId="41" borderId="0" xfId="0" applyFont="1" applyFill="1" applyBorder="1" applyAlignment="1">
      <alignment horizontal="center" vertical="center"/>
    </xf>
    <xf numFmtId="0" fontId="0" fillId="0" borderId="89" xfId="0" applyBorder="1" applyAlignment="1">
      <alignment vertical="center"/>
    </xf>
    <xf numFmtId="0" fontId="34" fillId="16" borderId="91" xfId="0" applyFont="1" applyFill="1" applyBorder="1" applyAlignment="1">
      <alignment horizontal="center" vertical="center"/>
    </xf>
    <xf numFmtId="0" fontId="34" fillId="16" borderId="9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vertical="center"/>
    </xf>
    <xf numFmtId="0" fontId="34" fillId="0" borderId="3" xfId="0" applyFont="1" applyBorder="1" applyAlignment="1">
      <alignment horizontal="center" vertical="center" shrinkToFit="1"/>
    </xf>
    <xf numFmtId="182" fontId="27" fillId="0" borderId="3" xfId="0" applyNumberFormat="1" applyFont="1" applyFill="1" applyBorder="1" applyAlignment="1">
      <alignment horizontal="center" vertical="center"/>
    </xf>
    <xf numFmtId="182" fontId="34" fillId="0" borderId="3" xfId="0" applyNumberFormat="1" applyFont="1" applyFill="1" applyBorder="1" applyAlignment="1">
      <alignment horizontal="center" vertical="center"/>
    </xf>
    <xf numFmtId="182" fontId="27" fillId="0" borderId="0" xfId="0" applyNumberFormat="1" applyFont="1" applyBorder="1" applyAlignment="1">
      <alignment vertical="center"/>
    </xf>
    <xf numFmtId="0" fontId="27" fillId="0" borderId="3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40" borderId="3" xfId="0" applyFont="1" applyFill="1" applyBorder="1" applyAlignment="1">
      <alignment vertical="center"/>
    </xf>
    <xf numFmtId="0" fontId="27" fillId="40" borderId="3" xfId="0" applyFont="1" applyFill="1" applyBorder="1" applyAlignment="1">
      <alignment horizontal="center" vertical="center"/>
    </xf>
    <xf numFmtId="182" fontId="27" fillId="40" borderId="3" xfId="0" applyNumberFormat="1" applyFont="1" applyFill="1" applyBorder="1" applyAlignment="1">
      <alignment horizontal="center" vertical="center"/>
    </xf>
    <xf numFmtId="0" fontId="93" fillId="40" borderId="3" xfId="0" applyFont="1" applyFill="1" applyBorder="1" applyAlignment="1">
      <alignment vertical="center"/>
    </xf>
    <xf numFmtId="182" fontId="27" fillId="40" borderId="30" xfId="0" applyNumberFormat="1" applyFont="1" applyFill="1" applyBorder="1" applyAlignment="1">
      <alignment horizontal="center" vertical="center"/>
    </xf>
    <xf numFmtId="0" fontId="27" fillId="40" borderId="93" xfId="0" applyFont="1" applyFill="1" applyBorder="1" applyAlignment="1">
      <alignment horizontal="center" vertical="center"/>
    </xf>
    <xf numFmtId="167" fontId="27" fillId="40" borderId="3" xfId="0" applyNumberFormat="1" applyFont="1" applyFill="1" applyBorder="1" applyAlignment="1">
      <alignment horizontal="center" vertical="center"/>
    </xf>
    <xf numFmtId="167" fontId="27" fillId="40" borderId="3" xfId="0" applyNumberFormat="1" applyFont="1" applyFill="1" applyBorder="1" applyAlignment="1">
      <alignment vertical="center"/>
    </xf>
    <xf numFmtId="0" fontId="27" fillId="40" borderId="95" xfId="0" applyFont="1" applyFill="1" applyBorder="1" applyAlignment="1">
      <alignment vertical="center"/>
    </xf>
    <xf numFmtId="0" fontId="27" fillId="0" borderId="3" xfId="0" applyFont="1" applyFill="1" applyBorder="1" applyAlignment="1">
      <alignment vertical="center"/>
    </xf>
    <xf numFmtId="0" fontId="83" fillId="0" borderId="3" xfId="0" applyFont="1" applyFill="1" applyBorder="1" applyAlignment="1">
      <alignment horizontal="center" vertical="center"/>
    </xf>
    <xf numFmtId="182" fontId="83" fillId="0" borderId="3" xfId="0" applyNumberFormat="1" applyFont="1" applyFill="1" applyBorder="1" applyAlignment="1">
      <alignment horizontal="center" vertical="center"/>
    </xf>
    <xf numFmtId="0" fontId="91" fillId="0" borderId="3" xfId="0" applyFont="1" applyFill="1" applyBorder="1" applyAlignment="1">
      <alignment vertical="center"/>
    </xf>
    <xf numFmtId="182" fontId="83" fillId="0" borderId="30" xfId="0" applyNumberFormat="1" applyFont="1" applyFill="1" applyBorder="1" applyAlignment="1">
      <alignment horizontal="center" vertical="center"/>
    </xf>
    <xf numFmtId="0" fontId="83" fillId="0" borderId="93" xfId="0" applyFont="1" applyFill="1" applyBorder="1" applyAlignment="1">
      <alignment horizontal="center" vertical="center"/>
    </xf>
    <xf numFmtId="0" fontId="83" fillId="0" borderId="3" xfId="0" applyFont="1" applyFill="1" applyBorder="1" applyAlignment="1">
      <alignment vertical="center"/>
    </xf>
    <xf numFmtId="182" fontId="34" fillId="0" borderId="30" xfId="0" applyNumberFormat="1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vertical="center"/>
    </xf>
    <xf numFmtId="0" fontId="37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left" vertical="center"/>
    </xf>
    <xf numFmtId="0" fontId="38" fillId="0" borderId="0" xfId="0" applyFont="1" applyBorder="1" applyAlignment="1">
      <alignment vertical="center"/>
    </xf>
    <xf numFmtId="0" fontId="37" fillId="0" borderId="0" xfId="0" applyFont="1" applyFill="1" applyBorder="1" applyAlignment="1">
      <alignment vertical="center"/>
    </xf>
    <xf numFmtId="0" fontId="37" fillId="0" borderId="0" xfId="0" applyFont="1" applyFill="1" applyBorder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182" fontId="27" fillId="9" borderId="3" xfId="0" applyNumberFormat="1" applyFont="1" applyFill="1" applyBorder="1" applyAlignment="1">
      <alignment horizontal="center" vertical="center"/>
    </xf>
    <xf numFmtId="0" fontId="38" fillId="0" borderId="0" xfId="0" applyFont="1" applyBorder="1" applyAlignment="1">
      <alignment horizontal="left" vertical="center"/>
    </xf>
    <xf numFmtId="0" fontId="27" fillId="0" borderId="41" xfId="0" applyFont="1" applyBorder="1" applyAlignment="1">
      <alignment vertical="center"/>
    </xf>
    <xf numFmtId="167" fontId="79" fillId="0" borderId="1" xfId="0" applyNumberFormat="1" applyFont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83" fillId="0" borderId="3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/>
    </xf>
    <xf numFmtId="0" fontId="44" fillId="25" borderId="4" xfId="0" applyFont="1" applyFill="1" applyBorder="1" applyAlignment="1">
      <alignment vertical="center"/>
    </xf>
    <xf numFmtId="0" fontId="45" fillId="25" borderId="4" xfId="0" applyFont="1" applyFill="1" applyBorder="1" applyAlignment="1">
      <alignment vertical="center"/>
    </xf>
    <xf numFmtId="0" fontId="95" fillId="25" borderId="4" xfId="0" applyFont="1" applyFill="1" applyBorder="1" applyAlignment="1">
      <alignment vertical="center"/>
    </xf>
    <xf numFmtId="0" fontId="44" fillId="25" borderId="4" xfId="0" applyFont="1" applyFill="1" applyBorder="1"/>
    <xf numFmtId="0" fontId="28" fillId="19" borderId="6" xfId="0" applyNumberFormat="1" applyFont="1" applyFill="1" applyBorder="1" applyAlignment="1">
      <alignment vertical="center"/>
    </xf>
    <xf numFmtId="0" fontId="28" fillId="19" borderId="10" xfId="0" applyNumberFormat="1" applyFont="1" applyFill="1" applyBorder="1" applyAlignment="1">
      <alignment vertical="center"/>
    </xf>
    <xf numFmtId="187" fontId="0" fillId="0" borderId="0" xfId="0" applyNumberFormat="1" applyFill="1" applyAlignment="1">
      <alignment horizontal="center"/>
    </xf>
    <xf numFmtId="188" fontId="0" fillId="0" borderId="0" xfId="0" applyNumberFormat="1" applyFill="1"/>
    <xf numFmtId="182" fontId="0" fillId="0" borderId="0" xfId="0" applyNumberFormat="1" applyFill="1"/>
    <xf numFmtId="182" fontId="0" fillId="0" borderId="0" xfId="0" applyNumberFormat="1" applyFill="1" applyAlignment="1">
      <alignment horizontal="center"/>
    </xf>
    <xf numFmtId="182" fontId="0" fillId="0" borderId="0" xfId="0" applyNumberFormat="1" applyFont="1" applyFill="1" applyAlignment="1">
      <alignment horizontal="center"/>
    </xf>
    <xf numFmtId="182" fontId="75" fillId="0" borderId="0" xfId="0" applyNumberFormat="1" applyFont="1" applyFill="1" applyAlignment="1">
      <alignment horizontal="center"/>
    </xf>
    <xf numFmtId="0" fontId="96" fillId="0" borderId="0" xfId="0" applyNumberFormat="1" applyFont="1" applyFill="1"/>
    <xf numFmtId="0" fontId="27" fillId="0" borderId="0" xfId="0" applyNumberFormat="1" applyFont="1" applyBorder="1" applyAlignment="1">
      <alignment horizontal="right"/>
    </xf>
    <xf numFmtId="0" fontId="0" fillId="0" borderId="0" xfId="0" applyFont="1" applyAlignment="1">
      <alignment horizontal="center"/>
    </xf>
    <xf numFmtId="0" fontId="45" fillId="0" borderId="0" xfId="0" applyFont="1"/>
    <xf numFmtId="0" fontId="61" fillId="0" borderId="0" xfId="0" applyNumberFormat="1" applyFont="1" applyFill="1" applyBorder="1" applyAlignment="1">
      <alignment horizontal="center" vertical="center"/>
    </xf>
    <xf numFmtId="0" fontId="45" fillId="0" borderId="0" xfId="0" applyFont="1" applyFill="1" applyBorder="1" applyAlignment="1" applyProtection="1">
      <alignment horizontal="center"/>
      <protection hidden="1"/>
    </xf>
    <xf numFmtId="0" fontId="44" fillId="0" borderId="0" xfId="1" applyFont="1" applyAlignment="1">
      <alignment vertical="center"/>
    </xf>
    <xf numFmtId="0" fontId="0" fillId="0" borderId="0" xfId="0" applyNumberFormat="1" applyBorder="1" applyAlignment="1">
      <alignment vertical="center"/>
    </xf>
    <xf numFmtId="167" fontId="79" fillId="0" borderId="3" xfId="0" applyNumberFormat="1" applyFont="1" applyBorder="1" applyAlignment="1">
      <alignment horizontal="center" vertical="center"/>
    </xf>
    <xf numFmtId="190" fontId="27" fillId="0" borderId="0" xfId="0" applyNumberFormat="1" applyFont="1" applyFill="1" applyBorder="1" applyAlignment="1">
      <alignment vertical="center"/>
    </xf>
    <xf numFmtId="0" fontId="27" fillId="0" borderId="0" xfId="0" applyNumberFormat="1" applyFont="1" applyBorder="1"/>
    <xf numFmtId="0" fontId="34" fillId="0" borderId="3" xfId="0" applyFont="1" applyBorder="1" applyAlignment="1">
      <alignment horizontal="center" vertical="center"/>
    </xf>
    <xf numFmtId="182" fontId="27" fillId="0" borderId="3" xfId="0" applyNumberFormat="1" applyFont="1" applyBorder="1" applyAlignment="1">
      <alignment horizontal="center" vertical="center"/>
    </xf>
    <xf numFmtId="0" fontId="83" fillId="0" borderId="3" xfId="0" applyFont="1" applyFill="1" applyBorder="1" applyAlignment="1">
      <alignment horizontal="center" vertical="center"/>
    </xf>
    <xf numFmtId="0" fontId="83" fillId="0" borderId="6" xfId="0" applyFont="1" applyBorder="1" applyAlignment="1">
      <alignment horizontal="center" vertical="center"/>
    </xf>
    <xf numFmtId="0" fontId="18" fillId="20" borderId="0" xfId="0" applyFont="1" applyFill="1" applyBorder="1" applyAlignment="1">
      <alignment horizontal="center" vertical="center"/>
    </xf>
    <xf numFmtId="0" fontId="4" fillId="0" borderId="52" xfId="0" applyFont="1" applyFill="1" applyBorder="1" applyAlignment="1">
      <alignment horizontal="center"/>
    </xf>
    <xf numFmtId="0" fontId="4" fillId="0" borderId="53" xfId="0" applyFont="1" applyFill="1" applyBorder="1" applyAlignment="1">
      <alignment horizontal="center"/>
    </xf>
    <xf numFmtId="0" fontId="4" fillId="0" borderId="67" xfId="0" applyFont="1" applyFill="1" applyBorder="1" applyAlignment="1">
      <alignment horizontal="center"/>
    </xf>
    <xf numFmtId="1" fontId="4" fillId="0" borderId="68" xfId="0" applyNumberFormat="1" applyFont="1" applyFill="1" applyBorder="1" applyAlignment="1">
      <alignment horizontal="center"/>
    </xf>
    <xf numFmtId="1" fontId="4" fillId="0" borderId="69" xfId="0" applyNumberFormat="1" applyFont="1" applyFill="1" applyBorder="1" applyAlignment="1">
      <alignment horizontal="center"/>
    </xf>
    <xf numFmtId="0" fontId="4" fillId="18" borderId="63" xfId="0" applyFont="1" applyFill="1" applyBorder="1" applyAlignment="1">
      <alignment horizontal="center"/>
    </xf>
    <xf numFmtId="0" fontId="4" fillId="18" borderId="49" xfId="0" applyFont="1" applyFill="1" applyBorder="1" applyAlignment="1">
      <alignment horizontal="center"/>
    </xf>
    <xf numFmtId="0" fontId="4" fillId="20" borderId="68" xfId="0" applyFont="1" applyFill="1" applyBorder="1" applyAlignment="1">
      <alignment horizontal="center"/>
    </xf>
    <xf numFmtId="0" fontId="4" fillId="20" borderId="36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4" fillId="20" borderId="70" xfId="0" applyFont="1" applyFill="1" applyBorder="1" applyAlignment="1">
      <alignment horizontal="center"/>
    </xf>
    <xf numFmtId="0" fontId="4" fillId="20" borderId="29" xfId="0" applyFont="1" applyFill="1" applyBorder="1" applyAlignment="1">
      <alignment horizontal="center"/>
    </xf>
    <xf numFmtId="0" fontId="4" fillId="20" borderId="22" xfId="0" applyFont="1" applyFill="1" applyBorder="1" applyAlignment="1">
      <alignment horizontal="center"/>
    </xf>
    <xf numFmtId="0" fontId="4" fillId="20" borderId="44" xfId="0" applyFont="1" applyFill="1" applyBorder="1" applyAlignment="1">
      <alignment horizontal="center"/>
    </xf>
    <xf numFmtId="0" fontId="4" fillId="20" borderId="45" xfId="0" applyFont="1" applyFill="1" applyBorder="1" applyAlignment="1">
      <alignment horizontal="center"/>
    </xf>
    <xf numFmtId="181" fontId="4" fillId="0" borderId="46" xfId="0" applyNumberFormat="1" applyFont="1" applyFill="1" applyBorder="1" applyAlignment="1">
      <alignment horizontal="center"/>
    </xf>
    <xf numFmtId="181" fontId="4" fillId="0" borderId="33" xfId="0" applyNumberFormat="1" applyFont="1" applyFill="1" applyBorder="1" applyAlignment="1">
      <alignment horizontal="center"/>
    </xf>
    <xf numFmtId="0" fontId="4" fillId="20" borderId="10" xfId="0" applyFont="1" applyFill="1" applyBorder="1" applyAlignment="1">
      <alignment horizontal="center"/>
    </xf>
    <xf numFmtId="0" fontId="4" fillId="20" borderId="69" xfId="0" applyFont="1" applyFill="1" applyBorder="1" applyAlignment="1">
      <alignment horizontal="center"/>
    </xf>
    <xf numFmtId="164" fontId="4" fillId="0" borderId="3" xfId="0" applyNumberFormat="1" applyFont="1" applyFill="1" applyBorder="1" applyAlignment="1">
      <alignment horizontal="center"/>
    </xf>
    <xf numFmtId="167" fontId="4" fillId="6" borderId="0" xfId="0" applyNumberFormat="1" applyFont="1" applyFill="1" applyBorder="1" applyAlignment="1">
      <alignment horizontal="center"/>
    </xf>
    <xf numFmtId="1" fontId="4" fillId="0" borderId="11" xfId="0" applyNumberFormat="1" applyFont="1" applyFill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167" fontId="4" fillId="0" borderId="11" xfId="0" applyNumberFormat="1" applyFont="1" applyBorder="1" applyAlignment="1">
      <alignment horizontal="center"/>
    </xf>
    <xf numFmtId="167" fontId="4" fillId="0" borderId="10" xfId="0" applyNumberFormat="1" applyFont="1" applyBorder="1" applyAlignment="1">
      <alignment horizontal="center"/>
    </xf>
    <xf numFmtId="164" fontId="2" fillId="0" borderId="11" xfId="0" applyNumberFormat="1" applyFont="1" applyBorder="1" applyAlignment="1">
      <alignment horizontal="center"/>
    </xf>
    <xf numFmtId="164" fontId="2" fillId="0" borderId="10" xfId="0" applyNumberFormat="1" applyFont="1" applyBorder="1" applyAlignment="1">
      <alignment horizontal="center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164" fontId="4" fillId="6" borderId="4" xfId="0" applyNumberFormat="1" applyFont="1" applyFill="1" applyBorder="1" applyAlignment="1">
      <alignment horizontal="center"/>
    </xf>
    <xf numFmtId="164" fontId="4" fillId="6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5" fontId="4" fillId="0" borderId="11" xfId="0" applyNumberFormat="1" applyFont="1" applyBorder="1" applyAlignment="1">
      <alignment horizontal="center"/>
    </xf>
    <xf numFmtId="165" fontId="4" fillId="0" borderId="10" xfId="0" applyNumberFormat="1" applyFont="1" applyBorder="1" applyAlignment="1">
      <alignment horizontal="center"/>
    </xf>
    <xf numFmtId="164" fontId="3" fillId="0" borderId="9" xfId="0" applyNumberFormat="1" applyFont="1" applyFill="1" applyBorder="1" applyAlignment="1">
      <alignment horizontal="center"/>
    </xf>
    <xf numFmtId="164" fontId="3" fillId="0" borderId="14" xfId="0" applyNumberFormat="1" applyFont="1" applyFill="1" applyBorder="1" applyAlignment="1">
      <alignment horizontal="center"/>
    </xf>
    <xf numFmtId="164" fontId="3" fillId="0" borderId="32" xfId="0" applyNumberFormat="1" applyFont="1" applyFill="1" applyBorder="1" applyAlignment="1">
      <alignment horizontal="center"/>
    </xf>
    <xf numFmtId="164" fontId="0" fillId="0" borderId="17" xfId="0" applyNumberFormat="1" applyFill="1" applyBorder="1" applyAlignment="1">
      <alignment horizontal="center"/>
    </xf>
    <xf numFmtId="164" fontId="0" fillId="0" borderId="19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 wrapText="1"/>
    </xf>
    <xf numFmtId="164" fontId="4" fillId="2" borderId="0" xfId="0" applyNumberFormat="1" applyFont="1" applyFill="1" applyBorder="1" applyAlignment="1">
      <alignment horizontal="center" vertical="center" wrapText="1"/>
    </xf>
    <xf numFmtId="164" fontId="4" fillId="4" borderId="0" xfId="0" applyNumberFormat="1" applyFont="1" applyFill="1" applyBorder="1" applyAlignment="1">
      <alignment horizontal="center"/>
    </xf>
    <xf numFmtId="164" fontId="4" fillId="4" borderId="0" xfId="0" applyNumberFormat="1" applyFont="1" applyFill="1" applyBorder="1" applyAlignment="1">
      <alignment horizontal="center" vertical="center" wrapText="1"/>
    </xf>
    <xf numFmtId="164" fontId="4" fillId="4" borderId="0" xfId="0" applyNumberFormat="1" applyFont="1" applyFill="1" applyBorder="1" applyAlignment="1">
      <alignment horizontal="center" wrapText="1"/>
    </xf>
    <xf numFmtId="178" fontId="0" fillId="8" borderId="16" xfId="0" applyNumberFormat="1" applyFont="1" applyFill="1" applyBorder="1" applyAlignment="1">
      <alignment horizontal="center"/>
    </xf>
    <xf numFmtId="178" fontId="0" fillId="8" borderId="0" xfId="0" applyNumberFormat="1" applyFont="1" applyFill="1" applyBorder="1" applyAlignment="1">
      <alignment horizontal="center"/>
    </xf>
    <xf numFmtId="178" fontId="0" fillId="8" borderId="13" xfId="0" applyNumberFormat="1" applyFont="1" applyFill="1" applyBorder="1" applyAlignment="1">
      <alignment horizontal="center"/>
    </xf>
    <xf numFmtId="178" fontId="0" fillId="8" borderId="41" xfId="0" applyNumberFormat="1" applyFont="1" applyFill="1" applyBorder="1" applyAlignment="1">
      <alignment horizontal="center"/>
    </xf>
    <xf numFmtId="178" fontId="0" fillId="8" borderId="5" xfId="0" applyNumberFormat="1" applyFont="1" applyFill="1" applyBorder="1" applyAlignment="1">
      <alignment horizontal="center"/>
    </xf>
    <xf numFmtId="178" fontId="0" fillId="8" borderId="42" xfId="0" applyNumberFormat="1" applyFont="1" applyFill="1" applyBorder="1" applyAlignment="1">
      <alignment horizontal="center"/>
    </xf>
    <xf numFmtId="0" fontId="26" fillId="8" borderId="15" xfId="0" applyFont="1" applyFill="1" applyBorder="1" applyAlignment="1">
      <alignment horizontal="left"/>
    </xf>
    <xf numFmtId="0" fontId="26" fillId="8" borderId="40" xfId="0" applyFont="1" applyFill="1" applyBorder="1" applyAlignment="1">
      <alignment horizontal="left"/>
    </xf>
    <xf numFmtId="0" fontId="26" fillId="8" borderId="15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5" fillId="0" borderId="0" xfId="0" applyFont="1" applyFill="1" applyAlignment="1">
      <alignment horizontal="left"/>
    </xf>
    <xf numFmtId="0" fontId="85" fillId="0" borderId="16" xfId="0" applyFont="1" applyFill="1" applyBorder="1" applyAlignment="1">
      <alignment horizontal="center" vertical="center"/>
    </xf>
    <xf numFmtId="0" fontId="85" fillId="0" borderId="0" xfId="0" applyFont="1" applyFill="1" applyBorder="1" applyAlignment="1">
      <alignment horizontal="center" vertical="center"/>
    </xf>
    <xf numFmtId="0" fontId="85" fillId="0" borderId="13" xfId="0" applyFont="1" applyFill="1" applyBorder="1" applyAlignment="1">
      <alignment horizontal="center" vertical="center"/>
    </xf>
    <xf numFmtId="182" fontId="34" fillId="0" borderId="3" xfId="0" applyNumberFormat="1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82" fontId="27" fillId="0" borderId="3" xfId="0" applyNumberFormat="1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182" fontId="57" fillId="0" borderId="0" xfId="0" applyNumberFormat="1" applyFont="1" applyFill="1" applyBorder="1" applyAlignment="1">
      <alignment horizontal="center" vertical="center"/>
    </xf>
    <xf numFmtId="182" fontId="85" fillId="0" borderId="16" xfId="0" applyNumberFormat="1" applyFont="1" applyFill="1" applyBorder="1" applyAlignment="1">
      <alignment horizontal="center" vertical="center"/>
    </xf>
    <xf numFmtId="182" fontId="85" fillId="0" borderId="0" xfId="0" applyNumberFormat="1" applyFont="1" applyFill="1" applyBorder="1" applyAlignment="1">
      <alignment horizontal="center" vertical="center"/>
    </xf>
    <xf numFmtId="182" fontId="85" fillId="0" borderId="13" xfId="0" applyNumberFormat="1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horizontal="center" vertical="center"/>
    </xf>
    <xf numFmtId="0" fontId="35" fillId="40" borderId="3" xfId="0" applyFont="1" applyFill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83" fillId="0" borderId="3" xfId="0" applyFont="1" applyFill="1" applyBorder="1" applyAlignment="1">
      <alignment horizontal="center" vertical="center"/>
    </xf>
    <xf numFmtId="0" fontId="35" fillId="20" borderId="3" xfId="0" applyFont="1" applyFill="1" applyBorder="1" applyAlignment="1">
      <alignment horizontal="center" vertical="center"/>
    </xf>
    <xf numFmtId="0" fontId="83" fillId="0" borderId="30" xfId="0" applyFont="1" applyFill="1" applyBorder="1" applyAlignment="1">
      <alignment horizontal="center" vertical="center"/>
    </xf>
    <xf numFmtId="0" fontId="35" fillId="0" borderId="50" xfId="0" applyFont="1" applyFill="1" applyBorder="1" applyAlignment="1">
      <alignment horizontal="center" vertical="center"/>
    </xf>
    <xf numFmtId="0" fontId="35" fillId="0" borderId="6" xfId="0" applyFont="1" applyFill="1" applyBorder="1" applyAlignment="1">
      <alignment horizontal="center" vertical="center"/>
    </xf>
    <xf numFmtId="183" fontId="83" fillId="0" borderId="94" xfId="0" applyNumberFormat="1" applyFont="1" applyFill="1" applyBorder="1" applyAlignment="1">
      <alignment horizontal="center" vertical="center" wrapText="1"/>
    </xf>
    <xf numFmtId="183" fontId="83" fillId="0" borderId="95" xfId="0" applyNumberFormat="1" applyFont="1" applyFill="1" applyBorder="1" applyAlignment="1">
      <alignment horizontal="center" vertical="center" wrapText="1"/>
    </xf>
    <xf numFmtId="183" fontId="83" fillId="0" borderId="96" xfId="0" applyNumberFormat="1" applyFont="1" applyFill="1" applyBorder="1" applyAlignment="1">
      <alignment horizontal="center" vertical="center" wrapText="1"/>
    </xf>
    <xf numFmtId="1" fontId="37" fillId="19" borderId="3" xfId="0" applyNumberFormat="1" applyFont="1" applyFill="1" applyBorder="1" applyAlignment="1">
      <alignment horizontal="center" vertical="center"/>
    </xf>
    <xf numFmtId="182" fontId="34" fillId="0" borderId="64" xfId="0" applyNumberFormat="1" applyFont="1" applyBorder="1" applyAlignment="1">
      <alignment horizontal="center" vertical="center"/>
    </xf>
    <xf numFmtId="182" fontId="34" fillId="0" borderId="62" xfId="0" applyNumberFormat="1" applyFont="1" applyBorder="1" applyAlignment="1">
      <alignment horizontal="center" vertical="center"/>
    </xf>
    <xf numFmtId="0" fontId="34" fillId="35" borderId="3" xfId="0" applyFont="1" applyFill="1" applyBorder="1" applyAlignment="1">
      <alignment horizontal="center" vertical="center"/>
    </xf>
    <xf numFmtId="0" fontId="34" fillId="26" borderId="3" xfId="0" applyFont="1" applyFill="1" applyBorder="1" applyAlignment="1">
      <alignment horizontal="center" vertical="center"/>
    </xf>
    <xf numFmtId="0" fontId="34" fillId="42" borderId="3" xfId="0" applyFont="1" applyFill="1" applyBorder="1" applyAlignment="1">
      <alignment horizontal="center" vertical="center"/>
    </xf>
    <xf numFmtId="0" fontId="34" fillId="19" borderId="3" xfId="0" applyFont="1" applyFill="1" applyBorder="1" applyAlignment="1">
      <alignment horizontal="center" vertical="center"/>
    </xf>
    <xf numFmtId="0" fontId="92" fillId="0" borderId="0" xfId="0" applyFont="1" applyBorder="1" applyAlignment="1">
      <alignment horizontal="center" vertical="center"/>
    </xf>
    <xf numFmtId="0" fontId="63" fillId="0" borderId="0" xfId="0" applyFont="1" applyBorder="1" applyAlignment="1">
      <alignment horizontal="center" vertical="center"/>
    </xf>
    <xf numFmtId="0" fontId="34" fillId="0" borderId="0" xfId="0" applyNumberFormat="1" applyFont="1" applyFill="1" applyBorder="1" applyAlignment="1">
      <alignment horizontal="center" vertical="center"/>
    </xf>
    <xf numFmtId="14" fontId="27" fillId="0" borderId="0" xfId="0" applyNumberFormat="1" applyFont="1" applyFill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182" fontId="20" fillId="20" borderId="9" xfId="0" applyNumberFormat="1" applyFont="1" applyFill="1" applyBorder="1" applyAlignment="1">
      <alignment horizontal="center" vertical="center" wrapText="1"/>
    </xf>
    <xf numFmtId="182" fontId="20" fillId="20" borderId="4" xfId="0" applyNumberFormat="1" applyFont="1" applyFill="1" applyBorder="1" applyAlignment="1">
      <alignment horizontal="center" vertical="center" wrapText="1"/>
    </xf>
    <xf numFmtId="182" fontId="20" fillId="20" borderId="17" xfId="0" applyNumberFormat="1" applyFont="1" applyFill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/>
    </xf>
    <xf numFmtId="0" fontId="34" fillId="0" borderId="70" xfId="0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34" fillId="0" borderId="41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20" fillId="20" borderId="32" xfId="0" applyFont="1" applyFill="1" applyBorder="1" applyAlignment="1">
      <alignment horizontal="center" vertical="center" wrapText="1"/>
    </xf>
    <xf numFmtId="0" fontId="20" fillId="20" borderId="20" xfId="0" applyFont="1" applyFill="1" applyBorder="1" applyAlignment="1">
      <alignment horizontal="center" vertical="center" wrapText="1"/>
    </xf>
    <xf numFmtId="0" fontId="20" fillId="20" borderId="18" xfId="0" applyFont="1" applyFill="1" applyBorder="1" applyAlignment="1">
      <alignment horizontal="center" vertical="center" wrapText="1"/>
    </xf>
    <xf numFmtId="182" fontId="34" fillId="0" borderId="97" xfId="0" applyNumberFormat="1" applyFont="1" applyBorder="1" applyAlignment="1">
      <alignment horizontal="center" vertical="center"/>
    </xf>
    <xf numFmtId="182" fontId="34" fillId="0" borderId="98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82" fillId="36" borderId="0" xfId="0" applyFont="1" applyFill="1" applyBorder="1" applyAlignment="1">
      <alignment horizontal="center" vertical="center"/>
    </xf>
    <xf numFmtId="0" fontId="65" fillId="26" borderId="0" xfId="0" applyFont="1" applyFill="1" applyBorder="1" applyAlignment="1">
      <alignment horizontal="center" vertical="center"/>
    </xf>
    <xf numFmtId="0" fontId="65" fillId="26" borderId="0" xfId="0" applyFont="1" applyFill="1" applyBorder="1" applyAlignment="1">
      <alignment horizont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8" fillId="19" borderId="0" xfId="0" applyNumberFormat="1" applyFont="1" applyFill="1" applyBorder="1" applyAlignment="1">
      <alignment horizontal="right" vertical="center" indent="1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19" fillId="10" borderId="30" xfId="0" applyFont="1" applyFill="1" applyBorder="1" applyAlignment="1">
      <alignment horizontal="center" vertical="center"/>
    </xf>
    <xf numFmtId="0" fontId="19" fillId="10" borderId="6" xfId="0" applyFont="1" applyFill="1" applyBorder="1" applyAlignment="1">
      <alignment horizontal="center" vertical="center"/>
    </xf>
    <xf numFmtId="0" fontId="23" fillId="36" borderId="19" xfId="0" applyFont="1" applyFill="1" applyBorder="1" applyAlignment="1">
      <alignment horizontal="left" vertical="center"/>
    </xf>
    <xf numFmtId="0" fontId="21" fillId="36" borderId="1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1" fontId="4" fillId="0" borderId="0" xfId="0" applyNumberFormat="1" applyFont="1" applyFill="1" applyBorder="1" applyAlignment="1">
      <alignment horizontal="center" vertical="center" wrapText="1"/>
    </xf>
    <xf numFmtId="0" fontId="15" fillId="9" borderId="0" xfId="0" applyFont="1" applyFill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5" fillId="0" borderId="32" xfId="0" applyFont="1" applyFill="1" applyBorder="1" applyAlignment="1">
      <alignment horizontal="center"/>
    </xf>
    <xf numFmtId="0" fontId="15" fillId="0" borderId="11" xfId="0" applyFont="1" applyFill="1" applyBorder="1" applyAlignment="1">
      <alignment horizontal="center"/>
    </xf>
    <xf numFmtId="0" fontId="15" fillId="0" borderId="70" xfId="0" applyFont="1" applyFill="1" applyBorder="1" applyAlignment="1">
      <alignment horizontal="center"/>
    </xf>
    <xf numFmtId="0" fontId="15" fillId="0" borderId="10" xfId="0" applyFont="1" applyFill="1" applyBorder="1" applyAlignment="1">
      <alignment horizontal="center"/>
    </xf>
    <xf numFmtId="0" fontId="59" fillId="0" borderId="26" xfId="5" applyFont="1" applyBorder="1" applyAlignment="1">
      <alignment horizontal="center" vertical="center"/>
    </xf>
    <xf numFmtId="0" fontId="59" fillId="0" borderId="40" xfId="5" applyFont="1" applyBorder="1" applyAlignment="1">
      <alignment horizontal="center" vertical="center"/>
    </xf>
    <xf numFmtId="183" fontId="59" fillId="20" borderId="30" xfId="5" applyNumberFormat="1" applyFont="1" applyFill="1" applyBorder="1" applyAlignment="1">
      <alignment horizontal="center" vertical="center"/>
    </xf>
    <xf numFmtId="183" fontId="59" fillId="20" borderId="6" xfId="5" applyNumberFormat="1" applyFont="1" applyFill="1" applyBorder="1" applyAlignment="1">
      <alignment horizontal="center" vertical="center"/>
    </xf>
    <xf numFmtId="0" fontId="66" fillId="0" borderId="0" xfId="5" applyFont="1" applyAlignment="1">
      <alignment horizontal="center" vertical="center"/>
    </xf>
    <xf numFmtId="0" fontId="41" fillId="0" borderId="0" xfId="5" applyAlignment="1">
      <alignment horizontal="center" vertical="center"/>
    </xf>
    <xf numFmtId="0" fontId="60" fillId="0" borderId="16" xfId="5" applyFont="1" applyBorder="1" applyAlignment="1">
      <alignment horizontal="center" vertical="center"/>
    </xf>
    <xf numFmtId="0" fontId="60" fillId="0" borderId="13" xfId="5" applyFont="1" applyBorder="1" applyAlignment="1">
      <alignment horizontal="center" vertical="center"/>
    </xf>
    <xf numFmtId="0" fontId="60" fillId="0" borderId="41" xfId="5" applyFont="1" applyBorder="1" applyAlignment="1">
      <alignment horizontal="center" vertical="center"/>
    </xf>
    <xf numFmtId="0" fontId="60" fillId="0" borderId="42" xfId="5" applyFont="1" applyBorder="1" applyAlignment="1">
      <alignment horizontal="center" vertical="center"/>
    </xf>
    <xf numFmtId="0" fontId="59" fillId="20" borderId="30" xfId="5" applyFont="1" applyFill="1" applyBorder="1" applyAlignment="1">
      <alignment horizontal="center" vertical="center"/>
    </xf>
    <xf numFmtId="0" fontId="59" fillId="20" borderId="6" xfId="5" applyFont="1" applyFill="1" applyBorder="1" applyAlignment="1">
      <alignment horizontal="center" vertical="center"/>
    </xf>
    <xf numFmtId="1" fontId="59" fillId="20" borderId="30" xfId="5" applyNumberFormat="1" applyFont="1" applyFill="1" applyBorder="1" applyAlignment="1">
      <alignment horizontal="center" vertical="center"/>
    </xf>
    <xf numFmtId="1" fontId="59" fillId="20" borderId="50" xfId="5" applyNumberFormat="1" applyFont="1" applyFill="1" applyBorder="1" applyAlignment="1">
      <alignment horizontal="center" vertical="center"/>
    </xf>
    <xf numFmtId="1" fontId="59" fillId="20" borderId="6" xfId="5" applyNumberFormat="1" applyFont="1" applyFill="1" applyBorder="1" applyAlignment="1">
      <alignment horizontal="center" vertical="center"/>
    </xf>
    <xf numFmtId="186" fontId="59" fillId="0" borderId="30" xfId="5" applyNumberFormat="1" applyFont="1" applyFill="1" applyBorder="1" applyAlignment="1">
      <alignment horizontal="center" vertical="center"/>
    </xf>
    <xf numFmtId="186" fontId="59" fillId="0" borderId="50" xfId="5" applyNumberFormat="1" applyFont="1" applyFill="1" applyBorder="1" applyAlignment="1">
      <alignment horizontal="center" vertical="center"/>
    </xf>
    <xf numFmtId="186" fontId="59" fillId="0" borderId="6" xfId="5" applyNumberFormat="1" applyFont="1" applyFill="1" applyBorder="1" applyAlignment="1">
      <alignment horizontal="center" vertical="center"/>
    </xf>
    <xf numFmtId="0" fontId="67" fillId="26" borderId="0" xfId="1" applyFont="1" applyFill="1" applyAlignment="1">
      <alignment horizontal="left" vertical="center"/>
    </xf>
    <xf numFmtId="0" fontId="68" fillId="29" borderId="0" xfId="1" applyFont="1" applyFill="1" applyAlignment="1">
      <alignment horizontal="center" vertical="center"/>
    </xf>
    <xf numFmtId="0" fontId="40" fillId="27" borderId="0" xfId="1" applyFont="1" applyFill="1" applyBorder="1" applyAlignment="1">
      <alignment horizontal="center" vertical="center"/>
    </xf>
    <xf numFmtId="0" fontId="54" fillId="32" borderId="77" xfId="1" applyFont="1" applyFill="1" applyBorder="1" applyAlignment="1">
      <alignment horizontal="center" vertical="center"/>
    </xf>
    <xf numFmtId="0" fontId="54" fillId="32" borderId="78" xfId="1" applyFont="1" applyFill="1" applyBorder="1" applyAlignment="1">
      <alignment horizontal="center" vertical="center"/>
    </xf>
    <xf numFmtId="0" fontId="59" fillId="20" borderId="50" xfId="5" applyFont="1" applyFill="1" applyBorder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69" fillId="0" borderId="79" xfId="1" applyFont="1" applyBorder="1" applyAlignment="1">
      <alignment horizontal="center"/>
    </xf>
    <xf numFmtId="0" fontId="69" fillId="0" borderId="80" xfId="1" applyFont="1" applyBorder="1" applyAlignment="1">
      <alignment horizontal="center"/>
    </xf>
    <xf numFmtId="0" fontId="69" fillId="0" borderId="81" xfId="1" applyFont="1" applyBorder="1" applyAlignment="1">
      <alignment horizontal="center"/>
    </xf>
    <xf numFmtId="0" fontId="70" fillId="0" borderId="82" xfId="1" applyFont="1" applyBorder="1" applyAlignment="1">
      <alignment horizontal="center" vertical="top" wrapText="1"/>
    </xf>
    <xf numFmtId="0" fontId="70" fillId="0" borderId="83" xfId="1" applyFont="1" applyBorder="1" applyAlignment="1">
      <alignment horizontal="center" vertical="top" wrapText="1"/>
    </xf>
    <xf numFmtId="0" fontId="70" fillId="0" borderId="84" xfId="1" applyFont="1" applyBorder="1" applyAlignment="1">
      <alignment horizontal="center" vertical="top" wrapText="1"/>
    </xf>
    <xf numFmtId="0" fontId="69" fillId="0" borderId="85" xfId="1" applyFont="1" applyBorder="1" applyAlignment="1">
      <alignment horizontal="center" vertical="center"/>
    </xf>
    <xf numFmtId="0" fontId="69" fillId="0" borderId="0" xfId="1" applyFont="1" applyBorder="1" applyAlignment="1">
      <alignment horizontal="center" vertical="center"/>
    </xf>
    <xf numFmtId="0" fontId="69" fillId="0" borderId="86" xfId="1" applyFont="1" applyBorder="1" applyAlignment="1">
      <alignment horizontal="center" vertical="center"/>
    </xf>
    <xf numFmtId="0" fontId="22" fillId="0" borderId="19" xfId="1" applyFont="1" applyBorder="1" applyAlignment="1">
      <alignment horizontal="center" vertical="top"/>
    </xf>
    <xf numFmtId="0" fontId="26" fillId="37" borderId="9" xfId="1" applyFont="1" applyFill="1" applyBorder="1" applyAlignment="1">
      <alignment horizontal="center" vertical="center"/>
    </xf>
    <xf numFmtId="0" fontId="26" fillId="37" borderId="14" xfId="1" applyFont="1" applyFill="1" applyBorder="1" applyAlignment="1">
      <alignment horizontal="center" vertical="center"/>
    </xf>
    <xf numFmtId="0" fontId="26" fillId="37" borderId="32" xfId="1" applyFont="1" applyFill="1" applyBorder="1" applyAlignment="1">
      <alignment horizontal="center" vertical="center"/>
    </xf>
    <xf numFmtId="0" fontId="19" fillId="0" borderId="9" xfId="1" applyFont="1" applyBorder="1" applyAlignment="1">
      <alignment horizontal="center" vertical="center"/>
    </xf>
    <xf numFmtId="0" fontId="19" fillId="0" borderId="14" xfId="1" applyFont="1" applyBorder="1" applyAlignment="1">
      <alignment horizontal="center" vertical="center"/>
    </xf>
    <xf numFmtId="0" fontId="19" fillId="0" borderId="32" xfId="1" applyFont="1" applyBorder="1" applyAlignment="1">
      <alignment horizontal="center" vertical="center"/>
    </xf>
    <xf numFmtId="0" fontId="22" fillId="0" borderId="0" xfId="1" applyFont="1" applyBorder="1" applyAlignment="1">
      <alignment horizontal="left"/>
    </xf>
    <xf numFmtId="0" fontId="50" fillId="0" borderId="4" xfId="1" applyFont="1" applyBorder="1" applyAlignment="1">
      <alignment horizontal="right" vertical="center"/>
    </xf>
    <xf numFmtId="0" fontId="50" fillId="0" borderId="0" xfId="1" applyFont="1" applyBorder="1" applyAlignment="1">
      <alignment horizontal="right" vertical="center"/>
    </xf>
    <xf numFmtId="0" fontId="19" fillId="0" borderId="0" xfId="1" applyFont="1" applyBorder="1" applyAlignment="1" applyProtection="1">
      <alignment horizontal="center" vertical="center"/>
      <protection locked="0" hidden="1"/>
    </xf>
    <xf numFmtId="0" fontId="43" fillId="23" borderId="0" xfId="0" applyFont="1" applyFill="1" applyBorder="1" applyAlignment="1">
      <alignment horizontal="center" vertical="center"/>
    </xf>
    <xf numFmtId="0" fontId="51" fillId="0" borderId="4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51" fillId="0" borderId="20" xfId="0" applyFont="1" applyFill="1" applyBorder="1" applyAlignment="1">
      <alignment horizontal="center" vertical="center"/>
    </xf>
    <xf numFmtId="0" fontId="43" fillId="22" borderId="0" xfId="0" applyFont="1" applyFill="1" applyBorder="1" applyAlignment="1">
      <alignment horizontal="left" vertical="center"/>
    </xf>
    <xf numFmtId="0" fontId="71" fillId="0" borderId="4" xfId="0" applyFont="1" applyFill="1" applyBorder="1" applyAlignment="1">
      <alignment horizontal="center"/>
    </xf>
    <xf numFmtId="0" fontId="71" fillId="0" borderId="0" xfId="0" applyFont="1" applyFill="1" applyBorder="1" applyAlignment="1">
      <alignment horizontal="center"/>
    </xf>
    <xf numFmtId="0" fontId="71" fillId="0" borderId="20" xfId="0" applyFont="1" applyFill="1" applyBorder="1" applyAlignment="1">
      <alignment horizontal="center"/>
    </xf>
    <xf numFmtId="0" fontId="20" fillId="28" borderId="4" xfId="0" applyFont="1" applyFill="1" applyBorder="1" applyAlignment="1">
      <alignment horizontal="left" vertical="center" indent="1"/>
    </xf>
    <xf numFmtId="0" fontId="20" fillId="28" borderId="0" xfId="0" applyFont="1" applyFill="1" applyBorder="1" applyAlignment="1">
      <alignment horizontal="left" vertical="center" indent="1"/>
    </xf>
    <xf numFmtId="0" fontId="19" fillId="0" borderId="4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20" xfId="0" applyFont="1" applyFill="1" applyBorder="1" applyAlignment="1">
      <alignment horizontal="center" vertical="center"/>
    </xf>
    <xf numFmtId="0" fontId="51" fillId="0" borderId="4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51" fillId="0" borderId="20" xfId="0" applyFont="1" applyFill="1" applyBorder="1" applyAlignment="1">
      <alignment horizontal="center"/>
    </xf>
    <xf numFmtId="182" fontId="20" fillId="28" borderId="5" xfId="0" applyNumberFormat="1" applyFont="1" applyFill="1" applyBorder="1" applyAlignment="1">
      <alignment horizontal="center" vertical="center"/>
    </xf>
    <xf numFmtId="182" fontId="20" fillId="28" borderId="47" xfId="0" applyNumberFormat="1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right" vertical="center"/>
    </xf>
    <xf numFmtId="0" fontId="19" fillId="0" borderId="0" xfId="0" applyFont="1" applyFill="1" applyBorder="1"/>
    <xf numFmtId="0" fontId="19" fillId="0" borderId="13" xfId="0" applyFont="1" applyFill="1" applyBorder="1"/>
    <xf numFmtId="0" fontId="20" fillId="0" borderId="13" xfId="0" applyFont="1" applyFill="1" applyBorder="1" applyAlignment="1">
      <alignment horizontal="right" vertical="center"/>
    </xf>
    <xf numFmtId="0" fontId="20" fillId="0" borderId="4" xfId="0" applyFont="1" applyFill="1" applyBorder="1" applyAlignment="1">
      <alignment horizontal="right"/>
    </xf>
    <xf numFmtId="0" fontId="20" fillId="0" borderId="13" xfId="0" applyFont="1" applyFill="1" applyBorder="1" applyAlignment="1">
      <alignment horizontal="right"/>
    </xf>
    <xf numFmtId="0" fontId="20" fillId="0" borderId="4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20" xfId="0" applyFont="1" applyFill="1" applyBorder="1" applyAlignment="1">
      <alignment horizontal="center" vertical="center"/>
    </xf>
    <xf numFmtId="0" fontId="19" fillId="22" borderId="3" xfId="0" applyFont="1" applyFill="1" applyBorder="1" applyAlignment="1">
      <alignment horizontal="center" vertical="center"/>
    </xf>
    <xf numFmtId="0" fontId="19" fillId="22" borderId="68" xfId="0" applyFont="1" applyFill="1" applyBorder="1" applyAlignment="1" applyProtection="1">
      <alignment horizontal="center" vertical="center"/>
      <protection hidden="1"/>
    </xf>
    <xf numFmtId="0" fontId="19" fillId="22" borderId="71" xfId="0" applyFont="1" applyFill="1" applyBorder="1" applyAlignment="1" applyProtection="1">
      <alignment horizontal="center" vertical="center"/>
      <protection hidden="1"/>
    </xf>
    <xf numFmtId="0" fontId="72" fillId="0" borderId="72" xfId="0" applyFont="1" applyFill="1" applyBorder="1" applyAlignment="1">
      <alignment horizontal="center" vertical="center"/>
    </xf>
    <xf numFmtId="0" fontId="72" fillId="0" borderId="14" xfId="0" applyFont="1" applyFill="1" applyBorder="1" applyAlignment="1">
      <alignment horizontal="center" vertical="center"/>
    </xf>
    <xf numFmtId="0" fontId="72" fillId="0" borderId="32" xfId="0" applyFont="1" applyFill="1" applyBorder="1" applyAlignment="1">
      <alignment horizontal="center" vertical="center"/>
    </xf>
    <xf numFmtId="0" fontId="72" fillId="0" borderId="16" xfId="0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0" fontId="72" fillId="0" borderId="20" xfId="0" applyFont="1" applyFill="1" applyBorder="1" applyAlignment="1">
      <alignment horizontal="center" vertical="center"/>
    </xf>
    <xf numFmtId="0" fontId="19" fillId="38" borderId="63" xfId="0" applyFont="1" applyFill="1" applyBorder="1" applyAlignment="1">
      <alignment horizontal="center" vertical="center"/>
    </xf>
    <xf numFmtId="0" fontId="19" fillId="38" borderId="50" xfId="0" applyFont="1" applyFill="1" applyBorder="1" applyAlignment="1">
      <alignment horizontal="center" vertical="center"/>
    </xf>
    <xf numFmtId="0" fontId="19" fillId="38" borderId="6" xfId="0" applyFont="1" applyFill="1" applyBorder="1" applyAlignment="1">
      <alignment horizontal="center" vertical="center"/>
    </xf>
    <xf numFmtId="0" fontId="73" fillId="0" borderId="16" xfId="0" applyFont="1" applyFill="1" applyBorder="1" applyAlignment="1">
      <alignment horizontal="center" vertical="center"/>
    </xf>
    <xf numFmtId="0" fontId="73" fillId="0" borderId="0" xfId="0" applyFont="1" applyFill="1" applyBorder="1" applyAlignment="1">
      <alignment horizontal="center" vertical="center"/>
    </xf>
    <xf numFmtId="0" fontId="73" fillId="0" borderId="20" xfId="0" applyFont="1" applyFill="1" applyBorder="1" applyAlignment="1">
      <alignment horizontal="center" vertical="center"/>
    </xf>
    <xf numFmtId="1" fontId="19" fillId="22" borderId="29" xfId="0" applyNumberFormat="1" applyFont="1" applyFill="1" applyBorder="1" applyAlignment="1">
      <alignment horizontal="center" vertical="center"/>
    </xf>
    <xf numFmtId="1" fontId="19" fillId="22" borderId="3" xfId="0" applyNumberFormat="1" applyFont="1" applyFill="1" applyBorder="1" applyAlignment="1">
      <alignment horizontal="center" vertical="center"/>
    </xf>
    <xf numFmtId="0" fontId="25" fillId="36" borderId="0" xfId="0" applyFont="1" applyFill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7" borderId="11" xfId="0" applyFont="1" applyFill="1" applyBorder="1" applyAlignment="1">
      <alignment horizontal="center"/>
    </xf>
    <xf numFmtId="0" fontId="20" fillId="7" borderId="70" xfId="0" applyFont="1" applyFill="1" applyBorder="1" applyAlignment="1">
      <alignment horizontal="center"/>
    </xf>
    <xf numFmtId="0" fontId="20" fillId="7" borderId="10" xfId="0" applyFont="1" applyFill="1" applyBorder="1" applyAlignment="1">
      <alignment horizontal="center"/>
    </xf>
    <xf numFmtId="0" fontId="21" fillId="0" borderId="4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/>
    </xf>
    <xf numFmtId="0" fontId="78" fillId="2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7" fillId="26" borderId="0" xfId="0" applyFont="1" applyFill="1" applyAlignment="1">
      <alignment horizontal="center" vertical="center"/>
    </xf>
    <xf numFmtId="0" fontId="76" fillId="15" borderId="0" xfId="0" applyFont="1" applyFill="1" applyAlignment="1">
      <alignment horizontal="center" vertical="center"/>
    </xf>
    <xf numFmtId="0" fontId="75" fillId="0" borderId="0" xfId="0" applyFont="1" applyAlignment="1">
      <alignment horizontal="center" vertical="center"/>
    </xf>
    <xf numFmtId="187" fontId="5" fillId="0" borderId="0" xfId="0" applyNumberFormat="1" applyFont="1" applyFill="1" applyAlignment="1">
      <alignment horizontal="center"/>
    </xf>
    <xf numFmtId="0" fontId="4" fillId="0" borderId="75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187" fontId="94" fillId="0" borderId="0" xfId="0" applyNumberFormat="1" applyFont="1" applyAlignment="1">
      <alignment horizontal="center"/>
    </xf>
  </cellXfs>
  <cellStyles count="358">
    <cellStyle name="Normal" xfId="0" builtinId="0"/>
    <cellStyle name="Normal 10" xfId="6"/>
    <cellStyle name="Normal 10 2" xfId="7"/>
    <cellStyle name="Normal 100" xfId="8"/>
    <cellStyle name="Normal 101" xfId="9"/>
    <cellStyle name="Normal 102" xfId="354"/>
    <cellStyle name="Normal 103" xfId="355"/>
    <cellStyle name="Normal 104" xfId="356"/>
    <cellStyle name="Normal 105" xfId="357"/>
    <cellStyle name="Normal 11" xfId="10"/>
    <cellStyle name="Normal 11 2" xfId="11"/>
    <cellStyle name="Normal 12" xfId="12"/>
    <cellStyle name="Normal 12 2" xfId="13"/>
    <cellStyle name="Normal 13" xfId="14"/>
    <cellStyle name="Normal 13 2" xfId="15"/>
    <cellStyle name="Normal 14" xfId="16"/>
    <cellStyle name="Normal 14 2" xfId="17"/>
    <cellStyle name="Normal 15" xfId="18"/>
    <cellStyle name="Normal 15 2" xfId="19"/>
    <cellStyle name="Normal 16" xfId="20"/>
    <cellStyle name="Normal 16 2" xfId="21"/>
    <cellStyle name="Normal 17" xfId="22"/>
    <cellStyle name="Normal 17 2" xfId="23"/>
    <cellStyle name="Normal 18" xfId="24"/>
    <cellStyle name="Normal 18 2" xfId="25"/>
    <cellStyle name="Normal 19" xfId="26"/>
    <cellStyle name="Normal 19 2" xfId="27"/>
    <cellStyle name="Normal 2" xfId="1"/>
    <cellStyle name="Normal 2 2" xfId="2"/>
    <cellStyle name="Normal 20" xfId="28"/>
    <cellStyle name="Normal 20 2" xfId="29"/>
    <cellStyle name="Normal 21" xfId="30"/>
    <cellStyle name="Normal 21 2" xfId="31"/>
    <cellStyle name="Normal 22" xfId="32"/>
    <cellStyle name="Normal 22 2" xfId="33"/>
    <cellStyle name="Normal 23" xfId="34"/>
    <cellStyle name="Normal 23 2" xfId="35"/>
    <cellStyle name="Normal 24" xfId="36"/>
    <cellStyle name="Normal 24 2" xfId="37"/>
    <cellStyle name="Normal 25" xfId="38"/>
    <cellStyle name="Normal 25 2" xfId="39"/>
    <cellStyle name="Normal 26" xfId="40"/>
    <cellStyle name="Normal 26 2" xfId="41"/>
    <cellStyle name="Normal 27" xfId="42"/>
    <cellStyle name="Normal 27 2" xfId="43"/>
    <cellStyle name="Normal 28" xfId="44"/>
    <cellStyle name="Normal 28 2" xfId="45"/>
    <cellStyle name="Normal 29" xfId="46"/>
    <cellStyle name="Normal 29 2" xfId="47"/>
    <cellStyle name="Normal 3" xfId="3"/>
    <cellStyle name="Normal 30" xfId="48"/>
    <cellStyle name="Normal 30 2" xfId="49"/>
    <cellStyle name="Normal 31" xfId="50"/>
    <cellStyle name="Normal 31 2" xfId="51"/>
    <cellStyle name="Normal 32" xfId="52"/>
    <cellStyle name="Normal 32 2" xfId="53"/>
    <cellStyle name="Normal 33" xfId="54"/>
    <cellStyle name="Normal 33 2" xfId="55"/>
    <cellStyle name="Normal 34" xfId="56"/>
    <cellStyle name="Normal 34 2" xfId="57"/>
    <cellStyle name="Normal 35" xfId="58"/>
    <cellStyle name="Normal 35 2" xfId="59"/>
    <cellStyle name="Normal 36" xfId="60"/>
    <cellStyle name="Normal 36 2" xfId="61"/>
    <cellStyle name="Normal 37" xfId="62"/>
    <cellStyle name="Normal 37 2" xfId="63"/>
    <cellStyle name="Normal 38" xfId="64"/>
    <cellStyle name="Normal 38 2" xfId="65"/>
    <cellStyle name="Normal 39" xfId="66"/>
    <cellStyle name="Normal 39 2" xfId="67"/>
    <cellStyle name="Normal 4" xfId="4"/>
    <cellStyle name="Normal 4 10" xfId="69"/>
    <cellStyle name="Normal 4 10 2" xfId="70"/>
    <cellStyle name="Normal 4 11" xfId="71"/>
    <cellStyle name="Normal 4 11 2" xfId="72"/>
    <cellStyle name="Normal 4 12" xfId="73"/>
    <cellStyle name="Normal 4 12 2" xfId="74"/>
    <cellStyle name="Normal 4 13" xfId="75"/>
    <cellStyle name="Normal 4 13 2" xfId="76"/>
    <cellStyle name="Normal 4 14" xfId="77"/>
    <cellStyle name="Normal 4 14 2" xfId="78"/>
    <cellStyle name="Normal 4 15" xfId="79"/>
    <cellStyle name="Normal 4 15 2" xfId="80"/>
    <cellStyle name="Normal 4 16" xfId="81"/>
    <cellStyle name="Normal 4 16 2" xfId="82"/>
    <cellStyle name="Normal 4 17" xfId="83"/>
    <cellStyle name="Normal 4 17 2" xfId="84"/>
    <cellStyle name="Normal 4 18" xfId="85"/>
    <cellStyle name="Normal 4 18 2" xfId="86"/>
    <cellStyle name="Normal 4 19" xfId="87"/>
    <cellStyle name="Normal 4 19 2" xfId="88"/>
    <cellStyle name="Normal 4 2" xfId="89"/>
    <cellStyle name="Normal 4 2 2" xfId="90"/>
    <cellStyle name="Normal 4 20" xfId="91"/>
    <cellStyle name="Normal 4 20 2" xfId="92"/>
    <cellStyle name="Normal 4 21" xfId="93"/>
    <cellStyle name="Normal 4 21 2" xfId="94"/>
    <cellStyle name="Normal 4 22" xfId="95"/>
    <cellStyle name="Normal 4 22 2" xfId="96"/>
    <cellStyle name="Normal 4 23" xfId="97"/>
    <cellStyle name="Normal 4 23 2" xfId="98"/>
    <cellStyle name="Normal 4 24" xfId="99"/>
    <cellStyle name="Normal 4 24 2" xfId="100"/>
    <cellStyle name="Normal 4 25" xfId="101"/>
    <cellStyle name="Normal 4 25 2" xfId="102"/>
    <cellStyle name="Normal 4 26" xfId="103"/>
    <cellStyle name="Normal 4 26 2" xfId="104"/>
    <cellStyle name="Normal 4 27" xfId="105"/>
    <cellStyle name="Normal 4 27 2" xfId="106"/>
    <cellStyle name="Normal 4 28" xfId="107"/>
    <cellStyle name="Normal 4 28 2" xfId="108"/>
    <cellStyle name="Normal 4 29" xfId="109"/>
    <cellStyle name="Normal 4 29 2" xfId="110"/>
    <cellStyle name="Normal 4 3" xfId="111"/>
    <cellStyle name="Normal 4 3 2" xfId="112"/>
    <cellStyle name="Normal 4 30" xfId="113"/>
    <cellStyle name="Normal 4 30 2" xfId="114"/>
    <cellStyle name="Normal 4 31" xfId="115"/>
    <cellStyle name="Normal 4 31 2" xfId="116"/>
    <cellStyle name="Normal 4 32" xfId="117"/>
    <cellStyle name="Normal 4 32 2" xfId="118"/>
    <cellStyle name="Normal 4 33" xfId="119"/>
    <cellStyle name="Normal 4 33 2" xfId="120"/>
    <cellStyle name="Normal 4 34" xfId="121"/>
    <cellStyle name="Normal 4 34 2" xfId="122"/>
    <cellStyle name="Normal 4 35" xfId="123"/>
    <cellStyle name="Normal 4 35 2" xfId="124"/>
    <cellStyle name="Normal 4 36" xfId="125"/>
    <cellStyle name="Normal 4 37" xfId="126"/>
    <cellStyle name="Normal 4 38" xfId="127"/>
    <cellStyle name="Normal 4 39" xfId="128"/>
    <cellStyle name="Normal 4 4" xfId="129"/>
    <cellStyle name="Normal 4 4 2" xfId="130"/>
    <cellStyle name="Normal 4 40" xfId="131"/>
    <cellStyle name="Normal 4 41" xfId="132"/>
    <cellStyle name="Normal 4 42" xfId="133"/>
    <cellStyle name="Normal 4 43" xfId="134"/>
    <cellStyle name="Normal 4 44" xfId="135"/>
    <cellStyle name="Normal 4 45" xfId="136"/>
    <cellStyle name="Normal 4 46" xfId="137"/>
    <cellStyle name="Normal 4 47" xfId="138"/>
    <cellStyle name="Normal 4 48" xfId="139"/>
    <cellStyle name="Normal 4 49" xfId="140"/>
    <cellStyle name="Normal 4 5" xfId="141"/>
    <cellStyle name="Normal 4 5 2" xfId="142"/>
    <cellStyle name="Normal 4 50" xfId="143"/>
    <cellStyle name="Normal 4 51" xfId="144"/>
    <cellStyle name="Normal 4 52" xfId="145"/>
    <cellStyle name="Normal 4 53" xfId="146"/>
    <cellStyle name="Normal 4 54" xfId="147"/>
    <cellStyle name="Normal 4 55" xfId="148"/>
    <cellStyle name="Normal 4 56" xfId="149"/>
    <cellStyle name="Normal 4 57" xfId="150"/>
    <cellStyle name="Normal 4 58" xfId="151"/>
    <cellStyle name="Normal 4 59" xfId="152"/>
    <cellStyle name="Normal 4 6" xfId="153"/>
    <cellStyle name="Normal 4 6 2" xfId="154"/>
    <cellStyle name="Normal 4 60" xfId="155"/>
    <cellStyle name="Normal 4 61" xfId="156"/>
    <cellStyle name="Normal 4 62" xfId="157"/>
    <cellStyle name="Normal 4 63" xfId="158"/>
    <cellStyle name="Normal 4 64" xfId="159"/>
    <cellStyle name="Normal 4 65" xfId="160"/>
    <cellStyle name="Normal 4 66" xfId="161"/>
    <cellStyle name="Normal 4 67" xfId="162"/>
    <cellStyle name="Normal 4 68" xfId="163"/>
    <cellStyle name="Normal 4 69" xfId="164"/>
    <cellStyle name="Normal 4 7" xfId="165"/>
    <cellStyle name="Normal 4 7 2" xfId="166"/>
    <cellStyle name="Normal 4 70" xfId="167"/>
    <cellStyle name="Normal 4 71" xfId="168"/>
    <cellStyle name="Normal 4 72" xfId="169"/>
    <cellStyle name="Normal 4 73" xfId="170"/>
    <cellStyle name="Normal 4 74" xfId="171"/>
    <cellStyle name="Normal 4 75" xfId="172"/>
    <cellStyle name="Normal 4 76" xfId="68"/>
    <cellStyle name="Normal 4 8" xfId="173"/>
    <cellStyle name="Normal 4 8 2" xfId="174"/>
    <cellStyle name="Normal 4 9" xfId="175"/>
    <cellStyle name="Normal 4 9 2" xfId="176"/>
    <cellStyle name="Normal 40" xfId="177"/>
    <cellStyle name="Normal 40 2" xfId="178"/>
    <cellStyle name="Normal 41" xfId="179"/>
    <cellStyle name="Normal 42" xfId="180"/>
    <cellStyle name="Normal 43" xfId="181"/>
    <cellStyle name="Normal 44" xfId="182"/>
    <cellStyle name="Normal 45" xfId="183"/>
    <cellStyle name="Normal 46" xfId="184"/>
    <cellStyle name="Normal 47" xfId="185"/>
    <cellStyle name="Normal 48" xfId="186"/>
    <cellStyle name="Normal 49" xfId="187"/>
    <cellStyle name="Normal 5" xfId="5"/>
    <cellStyle name="Normal 5 10" xfId="189"/>
    <cellStyle name="Normal 5 10 2" xfId="190"/>
    <cellStyle name="Normal 5 11" xfId="191"/>
    <cellStyle name="Normal 5 11 2" xfId="192"/>
    <cellStyle name="Normal 5 12" xfId="193"/>
    <cellStyle name="Normal 5 12 2" xfId="194"/>
    <cellStyle name="Normal 5 13" xfId="195"/>
    <cellStyle name="Normal 5 13 2" xfId="196"/>
    <cellStyle name="Normal 5 14" xfId="197"/>
    <cellStyle name="Normal 5 14 2" xfId="198"/>
    <cellStyle name="Normal 5 15" xfId="199"/>
    <cellStyle name="Normal 5 15 2" xfId="200"/>
    <cellStyle name="Normal 5 16" xfId="201"/>
    <cellStyle name="Normal 5 16 2" xfId="202"/>
    <cellStyle name="Normal 5 17" xfId="203"/>
    <cellStyle name="Normal 5 17 2" xfId="204"/>
    <cellStyle name="Normal 5 18" xfId="205"/>
    <cellStyle name="Normal 5 18 2" xfId="206"/>
    <cellStyle name="Normal 5 19" xfId="207"/>
    <cellStyle name="Normal 5 19 2" xfId="208"/>
    <cellStyle name="Normal 5 2" xfId="209"/>
    <cellStyle name="Normal 5 2 2" xfId="210"/>
    <cellStyle name="Normal 5 20" xfId="211"/>
    <cellStyle name="Normal 5 20 2" xfId="212"/>
    <cellStyle name="Normal 5 21" xfId="213"/>
    <cellStyle name="Normal 5 21 2" xfId="214"/>
    <cellStyle name="Normal 5 22" xfId="215"/>
    <cellStyle name="Normal 5 22 2" xfId="216"/>
    <cellStyle name="Normal 5 23" xfId="217"/>
    <cellStyle name="Normal 5 23 2" xfId="218"/>
    <cellStyle name="Normal 5 24" xfId="219"/>
    <cellStyle name="Normal 5 24 2" xfId="220"/>
    <cellStyle name="Normal 5 25" xfId="221"/>
    <cellStyle name="Normal 5 25 2" xfId="222"/>
    <cellStyle name="Normal 5 26" xfId="223"/>
    <cellStyle name="Normal 5 26 2" xfId="224"/>
    <cellStyle name="Normal 5 27" xfId="225"/>
    <cellStyle name="Normal 5 27 2" xfId="226"/>
    <cellStyle name="Normal 5 28" xfId="227"/>
    <cellStyle name="Normal 5 28 2" xfId="228"/>
    <cellStyle name="Normal 5 29" xfId="229"/>
    <cellStyle name="Normal 5 29 2" xfId="230"/>
    <cellStyle name="Normal 5 3" xfId="231"/>
    <cellStyle name="Normal 5 3 2" xfId="232"/>
    <cellStyle name="Normal 5 30" xfId="233"/>
    <cellStyle name="Normal 5 30 2" xfId="234"/>
    <cellStyle name="Normal 5 31" xfId="235"/>
    <cellStyle name="Normal 5 31 2" xfId="236"/>
    <cellStyle name="Normal 5 32" xfId="237"/>
    <cellStyle name="Normal 5 32 2" xfId="238"/>
    <cellStyle name="Normal 5 33" xfId="239"/>
    <cellStyle name="Normal 5 33 2" xfId="240"/>
    <cellStyle name="Normal 5 34" xfId="241"/>
    <cellStyle name="Normal 5 34 2" xfId="242"/>
    <cellStyle name="Normal 5 35" xfId="243"/>
    <cellStyle name="Normal 5 35 2" xfId="244"/>
    <cellStyle name="Normal 5 36" xfId="245"/>
    <cellStyle name="Normal 5 37" xfId="246"/>
    <cellStyle name="Normal 5 38" xfId="247"/>
    <cellStyle name="Normal 5 39" xfId="248"/>
    <cellStyle name="Normal 5 4" xfId="249"/>
    <cellStyle name="Normal 5 4 2" xfId="250"/>
    <cellStyle name="Normal 5 40" xfId="251"/>
    <cellStyle name="Normal 5 41" xfId="252"/>
    <cellStyle name="Normal 5 42" xfId="253"/>
    <cellStyle name="Normal 5 43" xfId="254"/>
    <cellStyle name="Normal 5 44" xfId="255"/>
    <cellStyle name="Normal 5 45" xfId="256"/>
    <cellStyle name="Normal 5 46" xfId="257"/>
    <cellStyle name="Normal 5 47" xfId="258"/>
    <cellStyle name="Normal 5 48" xfId="259"/>
    <cellStyle name="Normal 5 49" xfId="260"/>
    <cellStyle name="Normal 5 5" xfId="261"/>
    <cellStyle name="Normal 5 5 2" xfId="262"/>
    <cellStyle name="Normal 5 50" xfId="263"/>
    <cellStyle name="Normal 5 51" xfId="264"/>
    <cellStyle name="Normal 5 52" xfId="265"/>
    <cellStyle name="Normal 5 53" xfId="266"/>
    <cellStyle name="Normal 5 54" xfId="267"/>
    <cellStyle name="Normal 5 55" xfId="268"/>
    <cellStyle name="Normal 5 56" xfId="269"/>
    <cellStyle name="Normal 5 57" xfId="270"/>
    <cellStyle name="Normal 5 58" xfId="271"/>
    <cellStyle name="Normal 5 59" xfId="272"/>
    <cellStyle name="Normal 5 6" xfId="273"/>
    <cellStyle name="Normal 5 6 2" xfId="274"/>
    <cellStyle name="Normal 5 60" xfId="275"/>
    <cellStyle name="Normal 5 61" xfId="276"/>
    <cellStyle name="Normal 5 62" xfId="277"/>
    <cellStyle name="Normal 5 63" xfId="278"/>
    <cellStyle name="Normal 5 64" xfId="279"/>
    <cellStyle name="Normal 5 65" xfId="280"/>
    <cellStyle name="Normal 5 66" xfId="281"/>
    <cellStyle name="Normal 5 67" xfId="282"/>
    <cellStyle name="Normal 5 68" xfId="283"/>
    <cellStyle name="Normal 5 69" xfId="284"/>
    <cellStyle name="Normal 5 7" xfId="285"/>
    <cellStyle name="Normal 5 7 2" xfId="286"/>
    <cellStyle name="Normal 5 70" xfId="287"/>
    <cellStyle name="Normal 5 71" xfId="288"/>
    <cellStyle name="Normal 5 72" xfId="289"/>
    <cellStyle name="Normal 5 73" xfId="290"/>
    <cellStyle name="Normal 5 74" xfId="291"/>
    <cellStyle name="Normal 5 75" xfId="188"/>
    <cellStyle name="Normal 5 8" xfId="292"/>
    <cellStyle name="Normal 5 8 2" xfId="293"/>
    <cellStyle name="Normal 5 9" xfId="294"/>
    <cellStyle name="Normal 5 9 2" xfId="295"/>
    <cellStyle name="Normal 50" xfId="296"/>
    <cellStyle name="Normal 51" xfId="297"/>
    <cellStyle name="Normal 52" xfId="298"/>
    <cellStyle name="Normal 53" xfId="299"/>
    <cellStyle name="Normal 54" xfId="300"/>
    <cellStyle name="Normal 55" xfId="301"/>
    <cellStyle name="Normal 56" xfId="302"/>
    <cellStyle name="Normal 57" xfId="303"/>
    <cellStyle name="Normal 58" xfId="304"/>
    <cellStyle name="Normal 59" xfId="305"/>
    <cellStyle name="Normal 6" xfId="306"/>
    <cellStyle name="Normal 6 2" xfId="307"/>
    <cellStyle name="Normal 60" xfId="308"/>
    <cellStyle name="Normal 61" xfId="309"/>
    <cellStyle name="Normal 62" xfId="310"/>
    <cellStyle name="Normal 63" xfId="311"/>
    <cellStyle name="Normal 64" xfId="312"/>
    <cellStyle name="Normal 65" xfId="313"/>
    <cellStyle name="Normal 66" xfId="314"/>
    <cellStyle name="Normal 67" xfId="315"/>
    <cellStyle name="Normal 68" xfId="316"/>
    <cellStyle name="Normal 69" xfId="317"/>
    <cellStyle name="Normal 7" xfId="318"/>
    <cellStyle name="Normal 7 2" xfId="319"/>
    <cellStyle name="Normal 70" xfId="320"/>
    <cellStyle name="Normal 71" xfId="321"/>
    <cellStyle name="Normal 72" xfId="322"/>
    <cellStyle name="Normal 73" xfId="323"/>
    <cellStyle name="Normal 74" xfId="324"/>
    <cellStyle name="Normal 75" xfId="325"/>
    <cellStyle name="Normal 76" xfId="326"/>
    <cellStyle name="Normal 77" xfId="327"/>
    <cellStyle name="Normal 78" xfId="328"/>
    <cellStyle name="Normal 79" xfId="329"/>
    <cellStyle name="Normal 8" xfId="330"/>
    <cellStyle name="Normal 8 2" xfId="331"/>
    <cellStyle name="Normal 80" xfId="332"/>
    <cellStyle name="Normal 81" xfId="333"/>
    <cellStyle name="Normal 82" xfId="334"/>
    <cellStyle name="Normal 83" xfId="335"/>
    <cellStyle name="Normal 84" xfId="336"/>
    <cellStyle name="Normal 85" xfId="337"/>
    <cellStyle name="Normal 86" xfId="338"/>
    <cellStyle name="Normal 87" xfId="339"/>
    <cellStyle name="Normal 88" xfId="340"/>
    <cellStyle name="Normal 89" xfId="341"/>
    <cellStyle name="Normal 9" xfId="342"/>
    <cellStyle name="Normal 9 2" xfId="343"/>
    <cellStyle name="Normal 90" xfId="344"/>
    <cellStyle name="Normal 91" xfId="345"/>
    <cellStyle name="Normal 92" xfId="346"/>
    <cellStyle name="Normal 93" xfId="347"/>
    <cellStyle name="Normal 94" xfId="348"/>
    <cellStyle name="Normal 95" xfId="349"/>
    <cellStyle name="Normal 96" xfId="350"/>
    <cellStyle name="Normal 97" xfId="351"/>
    <cellStyle name="Normal 98" xfId="352"/>
    <cellStyle name="Normal 99" xfId="353"/>
  </cellStyles>
  <dxfs count="5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auto="1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indexed="65"/>
        </patternFill>
      </fill>
      <border>
        <left/>
        <right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indexed="65"/>
        </patternFill>
      </fill>
      <border>
        <left/>
        <right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indexed="65"/>
        </patternFill>
      </fill>
      <border>
        <left/>
        <right/>
        <bottom/>
      </border>
    </dxf>
    <dxf>
      <fill>
        <patternFill patternType="none">
          <bgColor indexed="65"/>
        </patternFill>
      </fill>
      <border>
        <left/>
        <right/>
        <bottom/>
      </border>
    </dxf>
    <dxf>
      <fill>
        <patternFill patternType="none">
          <bgColor indexed="65"/>
        </patternFill>
      </fill>
      <border>
        <left/>
        <right/>
        <bottom/>
      </border>
    </dxf>
    <dxf>
      <fill>
        <patternFill>
          <bgColor rgb="FFCCCCFF"/>
        </patternFill>
      </fill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/>
        <bottom/>
      </border>
    </dxf>
    <dxf>
      <font>
        <b/>
        <i val="0"/>
        <condense val="0"/>
        <extend val="0"/>
        <color rgb="FFFF0000"/>
      </font>
    </dxf>
    <dxf>
      <font>
        <b/>
        <i val="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ill>
        <patternFill>
          <bgColor theme="0" tint="-4.9989318521683403E-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0099"/>
      </font>
    </dxf>
    <dxf>
      <font>
        <b/>
        <i/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9999FF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EAEAEA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9999FF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EAEAEA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9999FF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EAEAEA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FFCC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8"/>
      </font>
      <fill>
        <patternFill>
          <bgColor rgb="FFFFFFFF"/>
        </patternFill>
      </fill>
      <border>
        <left/>
        <right/>
        <top/>
        <bottom/>
      </border>
    </dxf>
    <dxf>
      <fill>
        <patternFill>
          <bgColor indexed="4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condense val="0"/>
        <extend val="0"/>
        <color indexed="10"/>
      </font>
    </dxf>
    <dxf>
      <fill>
        <patternFill>
          <bgColor rgb="FFCCCCFF"/>
        </patternFill>
      </fill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CCCCFF"/>
      <color rgb="FF9999FF"/>
      <color rgb="FF0000FF"/>
      <color rgb="FFF7F7F7"/>
      <color rgb="FFFFFFCC"/>
      <color rgb="FFD9D9D9"/>
      <color rgb="FFC5D9F1"/>
      <color rgb="FFFDFDFD"/>
      <color rgb="FFFFFFEB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Drop" dropLines="3" dropStyle="combo" dx="16" fmlaLink="$G$2" fmlaRange="$I$2:$I$4" noThreeD="1" val="0"/>
</file>

<file path=xl/ctrlProps/ctrlProp2.xml><?xml version="1.0" encoding="utf-8"?>
<formControlPr xmlns="http://schemas.microsoft.com/office/spreadsheetml/2009/9/main" objectType="Drop" dropLines="3" dropStyle="combo" dx="16" fmlaLink="$G$16" fmlaRange="$M$19:$M$21" noThreeD="1" val="0"/>
</file>

<file path=xl/ctrlProps/ctrlProp3.xml><?xml version="1.0" encoding="utf-8"?>
<formControlPr xmlns="http://schemas.microsoft.com/office/spreadsheetml/2009/9/main" objectType="Drop" dropLines="3" dropStyle="combo" dx="16" fmlaLink="E5" fmlaRange="$I$2:$I$4" noThreeD="1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112</xdr:row>
          <xdr:rowOff>0</xdr:rowOff>
        </xdr:from>
        <xdr:to>
          <xdr:col>4</xdr:col>
          <xdr:colOff>685800</xdr:colOff>
          <xdr:row>112</xdr:row>
          <xdr:rowOff>0</xdr:rowOff>
        </xdr:to>
        <xdr:sp macro="" textlink="">
          <xdr:nvSpPr>
            <xdr:cNvPr id="1025" name="Picture 5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75</xdr:row>
          <xdr:rowOff>0</xdr:rowOff>
        </xdr:from>
        <xdr:to>
          <xdr:col>2</xdr:col>
          <xdr:colOff>0</xdr:colOff>
          <xdr:row>75</xdr:row>
          <xdr:rowOff>11430</xdr:rowOff>
        </xdr:to>
        <xdr:sp macro="" textlink="">
          <xdr:nvSpPr>
            <xdr:cNvPr id="1026" name="Picture 6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146</xdr:row>
          <xdr:rowOff>0</xdr:rowOff>
        </xdr:from>
        <xdr:to>
          <xdr:col>2</xdr:col>
          <xdr:colOff>0</xdr:colOff>
          <xdr:row>146</xdr:row>
          <xdr:rowOff>11430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183</xdr:row>
          <xdr:rowOff>0</xdr:rowOff>
        </xdr:from>
        <xdr:to>
          <xdr:col>4</xdr:col>
          <xdr:colOff>685800</xdr:colOff>
          <xdr:row>183</xdr:row>
          <xdr:rowOff>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255</xdr:row>
          <xdr:rowOff>0</xdr:rowOff>
        </xdr:from>
        <xdr:to>
          <xdr:col>4</xdr:col>
          <xdr:colOff>685800</xdr:colOff>
          <xdr:row>255</xdr:row>
          <xdr:rowOff>0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327</xdr:row>
          <xdr:rowOff>0</xdr:rowOff>
        </xdr:from>
        <xdr:to>
          <xdr:col>4</xdr:col>
          <xdr:colOff>685800</xdr:colOff>
          <xdr:row>327</xdr:row>
          <xdr:rowOff>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399</xdr:row>
          <xdr:rowOff>0</xdr:rowOff>
        </xdr:from>
        <xdr:to>
          <xdr:col>4</xdr:col>
          <xdr:colOff>685800</xdr:colOff>
          <xdr:row>399</xdr:row>
          <xdr:rowOff>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471</xdr:row>
          <xdr:rowOff>0</xdr:rowOff>
        </xdr:from>
        <xdr:to>
          <xdr:col>4</xdr:col>
          <xdr:colOff>685800</xdr:colOff>
          <xdr:row>471</xdr:row>
          <xdr:rowOff>0</xdr:rowOff>
        </xdr:to>
        <xdr:sp macro="" textlink="">
          <xdr:nvSpPr>
            <xdr:cNvPr id="1032" name="Object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543</xdr:row>
          <xdr:rowOff>0</xdr:rowOff>
        </xdr:from>
        <xdr:to>
          <xdr:col>4</xdr:col>
          <xdr:colOff>685800</xdr:colOff>
          <xdr:row>543</xdr:row>
          <xdr:rowOff>0</xdr:rowOff>
        </xdr:to>
        <xdr:sp macro="" textlink="">
          <xdr:nvSpPr>
            <xdr:cNvPr id="1033" name="Object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615</xdr:row>
          <xdr:rowOff>0</xdr:rowOff>
        </xdr:from>
        <xdr:to>
          <xdr:col>4</xdr:col>
          <xdr:colOff>685800</xdr:colOff>
          <xdr:row>615</xdr:row>
          <xdr:rowOff>0</xdr:rowOff>
        </xdr:to>
        <xdr:sp macro="" textlink="">
          <xdr:nvSpPr>
            <xdr:cNvPr id="1034" name="Object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687</xdr:row>
          <xdr:rowOff>0</xdr:rowOff>
        </xdr:from>
        <xdr:to>
          <xdr:col>4</xdr:col>
          <xdr:colOff>685800</xdr:colOff>
          <xdr:row>687</xdr:row>
          <xdr:rowOff>0</xdr:rowOff>
        </xdr:to>
        <xdr:sp macro="" textlink="">
          <xdr:nvSpPr>
            <xdr:cNvPr id="1035" name="Object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759</xdr:row>
          <xdr:rowOff>0</xdr:rowOff>
        </xdr:from>
        <xdr:to>
          <xdr:col>4</xdr:col>
          <xdr:colOff>685800</xdr:colOff>
          <xdr:row>759</xdr:row>
          <xdr:rowOff>0</xdr:rowOff>
        </xdr:to>
        <xdr:sp macro="" textlink="">
          <xdr:nvSpPr>
            <xdr:cNvPr id="1036" name="Object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796</xdr:row>
          <xdr:rowOff>0</xdr:rowOff>
        </xdr:from>
        <xdr:to>
          <xdr:col>4</xdr:col>
          <xdr:colOff>685800</xdr:colOff>
          <xdr:row>796</xdr:row>
          <xdr:rowOff>0</xdr:rowOff>
        </xdr:to>
        <xdr:sp macro="" textlink="">
          <xdr:nvSpPr>
            <xdr:cNvPr id="1037" name="Object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796</xdr:row>
          <xdr:rowOff>0</xdr:rowOff>
        </xdr:from>
        <xdr:to>
          <xdr:col>4</xdr:col>
          <xdr:colOff>685800</xdr:colOff>
          <xdr:row>796</xdr:row>
          <xdr:rowOff>0</xdr:rowOff>
        </xdr:to>
        <xdr:sp macro="" textlink="">
          <xdr:nvSpPr>
            <xdr:cNvPr id="1038" name="Object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796</xdr:row>
          <xdr:rowOff>0</xdr:rowOff>
        </xdr:from>
        <xdr:to>
          <xdr:col>4</xdr:col>
          <xdr:colOff>685800</xdr:colOff>
          <xdr:row>796</xdr:row>
          <xdr:rowOff>0</xdr:rowOff>
        </xdr:to>
        <xdr:sp macro="" textlink="">
          <xdr:nvSpPr>
            <xdr:cNvPr id="1039" name="Object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796</xdr:row>
          <xdr:rowOff>0</xdr:rowOff>
        </xdr:from>
        <xdr:to>
          <xdr:col>4</xdr:col>
          <xdr:colOff>685800</xdr:colOff>
          <xdr:row>796</xdr:row>
          <xdr:rowOff>0</xdr:rowOff>
        </xdr:to>
        <xdr:sp macro="" textlink="">
          <xdr:nvSpPr>
            <xdr:cNvPr id="1040" name="Object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833</xdr:row>
          <xdr:rowOff>0</xdr:rowOff>
        </xdr:from>
        <xdr:to>
          <xdr:col>4</xdr:col>
          <xdr:colOff>685800</xdr:colOff>
          <xdr:row>833</xdr:row>
          <xdr:rowOff>0</xdr:rowOff>
        </xdr:to>
        <xdr:sp macro="" textlink="">
          <xdr:nvSpPr>
            <xdr:cNvPr id="1041" name="Object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907</xdr:row>
          <xdr:rowOff>0</xdr:rowOff>
        </xdr:from>
        <xdr:to>
          <xdr:col>4</xdr:col>
          <xdr:colOff>685800</xdr:colOff>
          <xdr:row>907</xdr:row>
          <xdr:rowOff>0</xdr:rowOff>
        </xdr:to>
        <xdr:sp macro="" textlink="">
          <xdr:nvSpPr>
            <xdr:cNvPr id="1042" name="Object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907</xdr:row>
          <xdr:rowOff>0</xdr:rowOff>
        </xdr:from>
        <xdr:to>
          <xdr:col>4</xdr:col>
          <xdr:colOff>685800</xdr:colOff>
          <xdr:row>907</xdr:row>
          <xdr:rowOff>0</xdr:rowOff>
        </xdr:to>
        <xdr:sp macro="" textlink="">
          <xdr:nvSpPr>
            <xdr:cNvPr id="1043" name="Object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907</xdr:row>
          <xdr:rowOff>0</xdr:rowOff>
        </xdr:from>
        <xdr:to>
          <xdr:col>4</xdr:col>
          <xdr:colOff>685800</xdr:colOff>
          <xdr:row>907</xdr:row>
          <xdr:rowOff>0</xdr:rowOff>
        </xdr:to>
        <xdr:sp macro="" textlink="">
          <xdr:nvSpPr>
            <xdr:cNvPr id="1044" name="Object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981</xdr:row>
          <xdr:rowOff>0</xdr:rowOff>
        </xdr:from>
        <xdr:to>
          <xdr:col>4</xdr:col>
          <xdr:colOff>685800</xdr:colOff>
          <xdr:row>981</xdr:row>
          <xdr:rowOff>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981</xdr:row>
          <xdr:rowOff>0</xdr:rowOff>
        </xdr:from>
        <xdr:to>
          <xdr:col>4</xdr:col>
          <xdr:colOff>685800</xdr:colOff>
          <xdr:row>981</xdr:row>
          <xdr:rowOff>0</xdr:rowOff>
        </xdr:to>
        <xdr:sp macro="" textlink="">
          <xdr:nvSpPr>
            <xdr:cNvPr id="1046" name="Object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981</xdr:row>
          <xdr:rowOff>0</xdr:rowOff>
        </xdr:from>
        <xdr:to>
          <xdr:col>4</xdr:col>
          <xdr:colOff>685800</xdr:colOff>
          <xdr:row>981</xdr:row>
          <xdr:rowOff>0</xdr:rowOff>
        </xdr:to>
        <xdr:sp macro="" textlink="">
          <xdr:nvSpPr>
            <xdr:cNvPr id="1047" name="Object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1017</xdr:row>
          <xdr:rowOff>0</xdr:rowOff>
        </xdr:from>
        <xdr:to>
          <xdr:col>4</xdr:col>
          <xdr:colOff>685800</xdr:colOff>
          <xdr:row>1017</xdr:row>
          <xdr:rowOff>0</xdr:rowOff>
        </xdr:to>
        <xdr:sp macro="" textlink="">
          <xdr:nvSpPr>
            <xdr:cNvPr id="1048" name="Object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1017</xdr:row>
          <xdr:rowOff>0</xdr:rowOff>
        </xdr:from>
        <xdr:to>
          <xdr:col>4</xdr:col>
          <xdr:colOff>685800</xdr:colOff>
          <xdr:row>1017</xdr:row>
          <xdr:rowOff>0</xdr:rowOff>
        </xdr:to>
        <xdr:sp macro="" textlink="">
          <xdr:nvSpPr>
            <xdr:cNvPr id="1049" name="Object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1017</xdr:row>
          <xdr:rowOff>0</xdr:rowOff>
        </xdr:from>
        <xdr:to>
          <xdr:col>4</xdr:col>
          <xdr:colOff>685800</xdr:colOff>
          <xdr:row>1017</xdr:row>
          <xdr:rowOff>0</xdr:rowOff>
        </xdr:to>
        <xdr:sp macro="" textlink="">
          <xdr:nvSpPr>
            <xdr:cNvPr id="1050" name="Object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1017</xdr:row>
          <xdr:rowOff>0</xdr:rowOff>
        </xdr:from>
        <xdr:to>
          <xdr:col>4</xdr:col>
          <xdr:colOff>685800</xdr:colOff>
          <xdr:row>1017</xdr:row>
          <xdr:rowOff>0</xdr:rowOff>
        </xdr:to>
        <xdr:sp macro="" textlink="">
          <xdr:nvSpPr>
            <xdr:cNvPr id="1051" name="Object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1017</xdr:row>
          <xdr:rowOff>0</xdr:rowOff>
        </xdr:from>
        <xdr:to>
          <xdr:col>4</xdr:col>
          <xdr:colOff>685800</xdr:colOff>
          <xdr:row>1017</xdr:row>
          <xdr:rowOff>0</xdr:rowOff>
        </xdr:to>
        <xdr:sp macro="" textlink="">
          <xdr:nvSpPr>
            <xdr:cNvPr id="1052" name="Object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1017</xdr:row>
          <xdr:rowOff>0</xdr:rowOff>
        </xdr:from>
        <xdr:to>
          <xdr:col>4</xdr:col>
          <xdr:colOff>685800</xdr:colOff>
          <xdr:row>1017</xdr:row>
          <xdr:rowOff>0</xdr:rowOff>
        </xdr:to>
        <xdr:sp macro="" textlink="">
          <xdr:nvSpPr>
            <xdr:cNvPr id="1053" name="Object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1017</xdr:row>
          <xdr:rowOff>0</xdr:rowOff>
        </xdr:from>
        <xdr:to>
          <xdr:col>4</xdr:col>
          <xdr:colOff>685800</xdr:colOff>
          <xdr:row>1017</xdr:row>
          <xdr:rowOff>0</xdr:rowOff>
        </xdr:to>
        <xdr:sp macro="" textlink="">
          <xdr:nvSpPr>
            <xdr:cNvPr id="1054" name="Object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1017</xdr:row>
          <xdr:rowOff>0</xdr:rowOff>
        </xdr:from>
        <xdr:to>
          <xdr:col>4</xdr:col>
          <xdr:colOff>685800</xdr:colOff>
          <xdr:row>1017</xdr:row>
          <xdr:rowOff>0</xdr:rowOff>
        </xdr:to>
        <xdr:sp macro="" textlink="">
          <xdr:nvSpPr>
            <xdr:cNvPr id="1055" name="Object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1017</xdr:row>
          <xdr:rowOff>0</xdr:rowOff>
        </xdr:from>
        <xdr:to>
          <xdr:col>4</xdr:col>
          <xdr:colOff>685800</xdr:colOff>
          <xdr:row>1017</xdr:row>
          <xdr:rowOff>0</xdr:rowOff>
        </xdr:to>
        <xdr:sp macro="" textlink="">
          <xdr:nvSpPr>
            <xdr:cNvPr id="1056" name="Object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1054</xdr:row>
          <xdr:rowOff>0</xdr:rowOff>
        </xdr:from>
        <xdr:to>
          <xdr:col>4</xdr:col>
          <xdr:colOff>685800</xdr:colOff>
          <xdr:row>1054</xdr:row>
          <xdr:rowOff>0</xdr:rowOff>
        </xdr:to>
        <xdr:sp macro="" textlink="">
          <xdr:nvSpPr>
            <xdr:cNvPr id="1057" name="Object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1054</xdr:row>
          <xdr:rowOff>0</xdr:rowOff>
        </xdr:from>
        <xdr:to>
          <xdr:col>4</xdr:col>
          <xdr:colOff>685800</xdr:colOff>
          <xdr:row>1054</xdr:row>
          <xdr:rowOff>0</xdr:rowOff>
        </xdr:to>
        <xdr:sp macro="" textlink="">
          <xdr:nvSpPr>
            <xdr:cNvPr id="1058" name="Object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1054</xdr:row>
          <xdr:rowOff>0</xdr:rowOff>
        </xdr:from>
        <xdr:to>
          <xdr:col>4</xdr:col>
          <xdr:colOff>685800</xdr:colOff>
          <xdr:row>1054</xdr:row>
          <xdr:rowOff>0</xdr:rowOff>
        </xdr:to>
        <xdr:sp macro="" textlink="">
          <xdr:nvSpPr>
            <xdr:cNvPr id="1059" name="Object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1127</xdr:row>
          <xdr:rowOff>0</xdr:rowOff>
        </xdr:from>
        <xdr:to>
          <xdr:col>4</xdr:col>
          <xdr:colOff>685800</xdr:colOff>
          <xdr:row>1127</xdr:row>
          <xdr:rowOff>0</xdr:rowOff>
        </xdr:to>
        <xdr:sp macro="" textlink="">
          <xdr:nvSpPr>
            <xdr:cNvPr id="1060" name="Object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1127</xdr:row>
          <xdr:rowOff>0</xdr:rowOff>
        </xdr:from>
        <xdr:to>
          <xdr:col>4</xdr:col>
          <xdr:colOff>685800</xdr:colOff>
          <xdr:row>1127</xdr:row>
          <xdr:rowOff>0</xdr:rowOff>
        </xdr:to>
        <xdr:sp macro="" textlink="">
          <xdr:nvSpPr>
            <xdr:cNvPr id="1061" name="Object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1127</xdr:row>
          <xdr:rowOff>0</xdr:rowOff>
        </xdr:from>
        <xdr:to>
          <xdr:col>4</xdr:col>
          <xdr:colOff>685800</xdr:colOff>
          <xdr:row>1127</xdr:row>
          <xdr:rowOff>0</xdr:rowOff>
        </xdr:to>
        <xdr:sp macro="" textlink="">
          <xdr:nvSpPr>
            <xdr:cNvPr id="1062" name="Object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1199</xdr:row>
          <xdr:rowOff>0</xdr:rowOff>
        </xdr:from>
        <xdr:to>
          <xdr:col>4</xdr:col>
          <xdr:colOff>685800</xdr:colOff>
          <xdr:row>1199</xdr:row>
          <xdr:rowOff>0</xdr:rowOff>
        </xdr:to>
        <xdr:sp macro="" textlink="">
          <xdr:nvSpPr>
            <xdr:cNvPr id="1063" name="Object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1199</xdr:row>
          <xdr:rowOff>0</xdr:rowOff>
        </xdr:from>
        <xdr:to>
          <xdr:col>4</xdr:col>
          <xdr:colOff>685800</xdr:colOff>
          <xdr:row>1199</xdr:row>
          <xdr:rowOff>0</xdr:rowOff>
        </xdr:to>
        <xdr:sp macro="" textlink="">
          <xdr:nvSpPr>
            <xdr:cNvPr id="1064" name="Object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1199</xdr:row>
          <xdr:rowOff>0</xdr:rowOff>
        </xdr:from>
        <xdr:to>
          <xdr:col>4</xdr:col>
          <xdr:colOff>685800</xdr:colOff>
          <xdr:row>1199</xdr:row>
          <xdr:rowOff>0</xdr:rowOff>
        </xdr:to>
        <xdr:sp macro="" textlink="">
          <xdr:nvSpPr>
            <xdr:cNvPr id="1065" name="Object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1272</xdr:row>
          <xdr:rowOff>0</xdr:rowOff>
        </xdr:from>
        <xdr:to>
          <xdr:col>4</xdr:col>
          <xdr:colOff>685800</xdr:colOff>
          <xdr:row>1272</xdr:row>
          <xdr:rowOff>0</xdr:rowOff>
        </xdr:to>
        <xdr:sp macro="" textlink="">
          <xdr:nvSpPr>
            <xdr:cNvPr id="1066" name="Object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1272</xdr:row>
          <xdr:rowOff>0</xdr:rowOff>
        </xdr:from>
        <xdr:to>
          <xdr:col>4</xdr:col>
          <xdr:colOff>685800</xdr:colOff>
          <xdr:row>1272</xdr:row>
          <xdr:rowOff>0</xdr:rowOff>
        </xdr:to>
        <xdr:sp macro="" textlink="">
          <xdr:nvSpPr>
            <xdr:cNvPr id="1067" name="Object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1272</xdr:row>
          <xdr:rowOff>0</xdr:rowOff>
        </xdr:from>
        <xdr:to>
          <xdr:col>4</xdr:col>
          <xdr:colOff>685800</xdr:colOff>
          <xdr:row>1272</xdr:row>
          <xdr:rowOff>0</xdr:rowOff>
        </xdr:to>
        <xdr:sp macro="" textlink="">
          <xdr:nvSpPr>
            <xdr:cNvPr id="1068" name="Object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1344</xdr:row>
          <xdr:rowOff>0</xdr:rowOff>
        </xdr:from>
        <xdr:to>
          <xdr:col>4</xdr:col>
          <xdr:colOff>685800</xdr:colOff>
          <xdr:row>1344</xdr:row>
          <xdr:rowOff>0</xdr:rowOff>
        </xdr:to>
        <xdr:sp macro="" textlink="">
          <xdr:nvSpPr>
            <xdr:cNvPr id="1069" name="Object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1344</xdr:row>
          <xdr:rowOff>0</xdr:rowOff>
        </xdr:from>
        <xdr:to>
          <xdr:col>4</xdr:col>
          <xdr:colOff>685800</xdr:colOff>
          <xdr:row>1344</xdr:row>
          <xdr:rowOff>0</xdr:rowOff>
        </xdr:to>
        <xdr:sp macro="" textlink="">
          <xdr:nvSpPr>
            <xdr:cNvPr id="1070" name="Object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1344</xdr:row>
          <xdr:rowOff>0</xdr:rowOff>
        </xdr:from>
        <xdr:to>
          <xdr:col>4</xdr:col>
          <xdr:colOff>685800</xdr:colOff>
          <xdr:row>1344</xdr:row>
          <xdr:rowOff>0</xdr:rowOff>
        </xdr:to>
        <xdr:sp macro="" textlink="">
          <xdr:nvSpPr>
            <xdr:cNvPr id="1071" name="Object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1417</xdr:row>
          <xdr:rowOff>0</xdr:rowOff>
        </xdr:from>
        <xdr:to>
          <xdr:col>4</xdr:col>
          <xdr:colOff>685800</xdr:colOff>
          <xdr:row>1417</xdr:row>
          <xdr:rowOff>0</xdr:rowOff>
        </xdr:to>
        <xdr:sp macro="" textlink="">
          <xdr:nvSpPr>
            <xdr:cNvPr id="1072" name="Object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1417</xdr:row>
          <xdr:rowOff>0</xdr:rowOff>
        </xdr:from>
        <xdr:to>
          <xdr:col>4</xdr:col>
          <xdr:colOff>685800</xdr:colOff>
          <xdr:row>1417</xdr:row>
          <xdr:rowOff>0</xdr:rowOff>
        </xdr:to>
        <xdr:sp macro="" textlink="">
          <xdr:nvSpPr>
            <xdr:cNvPr id="1073" name="Object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1417</xdr:row>
          <xdr:rowOff>0</xdr:rowOff>
        </xdr:from>
        <xdr:to>
          <xdr:col>4</xdr:col>
          <xdr:colOff>685800</xdr:colOff>
          <xdr:row>1417</xdr:row>
          <xdr:rowOff>0</xdr:rowOff>
        </xdr:to>
        <xdr:sp macro="" textlink="">
          <xdr:nvSpPr>
            <xdr:cNvPr id="1074" name="Object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40</xdr:row>
          <xdr:rowOff>0</xdr:rowOff>
        </xdr:from>
        <xdr:to>
          <xdr:col>4</xdr:col>
          <xdr:colOff>685800</xdr:colOff>
          <xdr:row>40</xdr:row>
          <xdr:rowOff>0</xdr:rowOff>
        </xdr:to>
        <xdr:sp macro="" textlink="">
          <xdr:nvSpPr>
            <xdr:cNvPr id="1075" name="Object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74</xdr:row>
          <xdr:rowOff>0</xdr:rowOff>
        </xdr:from>
        <xdr:to>
          <xdr:col>2</xdr:col>
          <xdr:colOff>0</xdr:colOff>
          <xdr:row>74</xdr:row>
          <xdr:rowOff>11430</xdr:rowOff>
        </xdr:to>
        <xdr:sp macro="" textlink="">
          <xdr:nvSpPr>
            <xdr:cNvPr id="1076" name="Object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40</xdr:row>
          <xdr:rowOff>0</xdr:rowOff>
        </xdr:from>
        <xdr:to>
          <xdr:col>4</xdr:col>
          <xdr:colOff>685800</xdr:colOff>
          <xdr:row>40</xdr:row>
          <xdr:rowOff>0</xdr:rowOff>
        </xdr:to>
        <xdr:sp macro="" textlink="">
          <xdr:nvSpPr>
            <xdr:cNvPr id="1077" name="Object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74</xdr:row>
          <xdr:rowOff>0</xdr:rowOff>
        </xdr:from>
        <xdr:to>
          <xdr:col>2</xdr:col>
          <xdr:colOff>0</xdr:colOff>
          <xdr:row>74</xdr:row>
          <xdr:rowOff>11430</xdr:rowOff>
        </xdr:to>
        <xdr:sp macro="" textlink="">
          <xdr:nvSpPr>
            <xdr:cNvPr id="1078" name="Object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1490</xdr:row>
          <xdr:rowOff>0</xdr:rowOff>
        </xdr:from>
        <xdr:to>
          <xdr:col>4</xdr:col>
          <xdr:colOff>685800</xdr:colOff>
          <xdr:row>1490</xdr:row>
          <xdr:rowOff>0</xdr:rowOff>
        </xdr:to>
        <xdr:sp macro="" textlink="">
          <xdr:nvSpPr>
            <xdr:cNvPr id="1079" name="Object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1490</xdr:row>
          <xdr:rowOff>0</xdr:rowOff>
        </xdr:from>
        <xdr:to>
          <xdr:col>4</xdr:col>
          <xdr:colOff>685800</xdr:colOff>
          <xdr:row>1490</xdr:row>
          <xdr:rowOff>0</xdr:rowOff>
        </xdr:to>
        <xdr:sp macro="" textlink="">
          <xdr:nvSpPr>
            <xdr:cNvPr id="1080" name="Object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1490</xdr:row>
          <xdr:rowOff>0</xdr:rowOff>
        </xdr:from>
        <xdr:to>
          <xdr:col>4</xdr:col>
          <xdr:colOff>685800</xdr:colOff>
          <xdr:row>1490</xdr:row>
          <xdr:rowOff>0</xdr:rowOff>
        </xdr:to>
        <xdr:sp macro="" textlink="">
          <xdr:nvSpPr>
            <xdr:cNvPr id="1081" name="Object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1563</xdr:row>
          <xdr:rowOff>0</xdr:rowOff>
        </xdr:from>
        <xdr:to>
          <xdr:col>4</xdr:col>
          <xdr:colOff>685800</xdr:colOff>
          <xdr:row>1563</xdr:row>
          <xdr:rowOff>0</xdr:rowOff>
        </xdr:to>
        <xdr:sp macro="" textlink="">
          <xdr:nvSpPr>
            <xdr:cNvPr id="1082" name="Object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1563</xdr:row>
          <xdr:rowOff>0</xdr:rowOff>
        </xdr:from>
        <xdr:to>
          <xdr:col>4</xdr:col>
          <xdr:colOff>685800</xdr:colOff>
          <xdr:row>1563</xdr:row>
          <xdr:rowOff>0</xdr:rowOff>
        </xdr:to>
        <xdr:sp macro="" textlink="">
          <xdr:nvSpPr>
            <xdr:cNvPr id="1083" name="Object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1563</xdr:row>
          <xdr:rowOff>0</xdr:rowOff>
        </xdr:from>
        <xdr:to>
          <xdr:col>4</xdr:col>
          <xdr:colOff>685800</xdr:colOff>
          <xdr:row>1563</xdr:row>
          <xdr:rowOff>0</xdr:rowOff>
        </xdr:to>
        <xdr:sp macro="" textlink="">
          <xdr:nvSpPr>
            <xdr:cNvPr id="1084" name="Object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1636</xdr:row>
          <xdr:rowOff>0</xdr:rowOff>
        </xdr:from>
        <xdr:to>
          <xdr:col>4</xdr:col>
          <xdr:colOff>685800</xdr:colOff>
          <xdr:row>1636</xdr:row>
          <xdr:rowOff>0</xdr:rowOff>
        </xdr:to>
        <xdr:sp macro="" textlink="">
          <xdr:nvSpPr>
            <xdr:cNvPr id="1085" name="Object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1636</xdr:row>
          <xdr:rowOff>0</xdr:rowOff>
        </xdr:from>
        <xdr:to>
          <xdr:col>4</xdr:col>
          <xdr:colOff>685800</xdr:colOff>
          <xdr:row>1636</xdr:row>
          <xdr:rowOff>0</xdr:rowOff>
        </xdr:to>
        <xdr:sp macro="" textlink="">
          <xdr:nvSpPr>
            <xdr:cNvPr id="1086" name="Object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1636</xdr:row>
          <xdr:rowOff>0</xdr:rowOff>
        </xdr:from>
        <xdr:to>
          <xdr:col>4</xdr:col>
          <xdr:colOff>685800</xdr:colOff>
          <xdr:row>1636</xdr:row>
          <xdr:rowOff>0</xdr:rowOff>
        </xdr:to>
        <xdr:sp macro="" textlink="">
          <xdr:nvSpPr>
            <xdr:cNvPr id="1087" name="Object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981</xdr:row>
          <xdr:rowOff>0</xdr:rowOff>
        </xdr:from>
        <xdr:to>
          <xdr:col>14</xdr:col>
          <xdr:colOff>685800</xdr:colOff>
          <xdr:row>981</xdr:row>
          <xdr:rowOff>0</xdr:rowOff>
        </xdr:to>
        <xdr:sp macro="" textlink="">
          <xdr:nvSpPr>
            <xdr:cNvPr id="1088" name="Object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981</xdr:row>
          <xdr:rowOff>0</xdr:rowOff>
        </xdr:from>
        <xdr:to>
          <xdr:col>14</xdr:col>
          <xdr:colOff>685800</xdr:colOff>
          <xdr:row>981</xdr:row>
          <xdr:rowOff>0</xdr:rowOff>
        </xdr:to>
        <xdr:sp macro="" textlink="">
          <xdr:nvSpPr>
            <xdr:cNvPr id="1089" name="Object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981</xdr:row>
          <xdr:rowOff>0</xdr:rowOff>
        </xdr:from>
        <xdr:to>
          <xdr:col>14</xdr:col>
          <xdr:colOff>685800</xdr:colOff>
          <xdr:row>981</xdr:row>
          <xdr:rowOff>0</xdr:rowOff>
        </xdr:to>
        <xdr:sp macro="" textlink="">
          <xdr:nvSpPr>
            <xdr:cNvPr id="1090" name="Object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981</xdr:row>
          <xdr:rowOff>0</xdr:rowOff>
        </xdr:from>
        <xdr:to>
          <xdr:col>24</xdr:col>
          <xdr:colOff>685800</xdr:colOff>
          <xdr:row>981</xdr:row>
          <xdr:rowOff>0</xdr:rowOff>
        </xdr:to>
        <xdr:sp macro="" textlink="">
          <xdr:nvSpPr>
            <xdr:cNvPr id="1091" name="Object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981</xdr:row>
          <xdr:rowOff>0</xdr:rowOff>
        </xdr:from>
        <xdr:to>
          <xdr:col>24</xdr:col>
          <xdr:colOff>685800</xdr:colOff>
          <xdr:row>981</xdr:row>
          <xdr:rowOff>0</xdr:rowOff>
        </xdr:to>
        <xdr:sp macro="" textlink="">
          <xdr:nvSpPr>
            <xdr:cNvPr id="1092" name="Object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981</xdr:row>
          <xdr:rowOff>0</xdr:rowOff>
        </xdr:from>
        <xdr:to>
          <xdr:col>24</xdr:col>
          <xdr:colOff>685800</xdr:colOff>
          <xdr:row>981</xdr:row>
          <xdr:rowOff>0</xdr:rowOff>
        </xdr:to>
        <xdr:sp macro="" textlink="">
          <xdr:nvSpPr>
            <xdr:cNvPr id="1093" name="Object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907</xdr:row>
          <xdr:rowOff>0</xdr:rowOff>
        </xdr:from>
        <xdr:to>
          <xdr:col>14</xdr:col>
          <xdr:colOff>685800</xdr:colOff>
          <xdr:row>907</xdr:row>
          <xdr:rowOff>0</xdr:rowOff>
        </xdr:to>
        <xdr:sp macro="" textlink="">
          <xdr:nvSpPr>
            <xdr:cNvPr id="1094" name="Object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907</xdr:row>
          <xdr:rowOff>0</xdr:rowOff>
        </xdr:from>
        <xdr:to>
          <xdr:col>14</xdr:col>
          <xdr:colOff>685800</xdr:colOff>
          <xdr:row>907</xdr:row>
          <xdr:rowOff>0</xdr:rowOff>
        </xdr:to>
        <xdr:sp macro="" textlink="">
          <xdr:nvSpPr>
            <xdr:cNvPr id="1095" name="Object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907</xdr:row>
          <xdr:rowOff>0</xdr:rowOff>
        </xdr:from>
        <xdr:to>
          <xdr:col>14</xdr:col>
          <xdr:colOff>685800</xdr:colOff>
          <xdr:row>907</xdr:row>
          <xdr:rowOff>0</xdr:rowOff>
        </xdr:to>
        <xdr:sp macro="" textlink="">
          <xdr:nvSpPr>
            <xdr:cNvPr id="1096" name="Object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907</xdr:row>
          <xdr:rowOff>0</xdr:rowOff>
        </xdr:from>
        <xdr:to>
          <xdr:col>24</xdr:col>
          <xdr:colOff>685800</xdr:colOff>
          <xdr:row>907</xdr:row>
          <xdr:rowOff>0</xdr:rowOff>
        </xdr:to>
        <xdr:sp macro="" textlink="">
          <xdr:nvSpPr>
            <xdr:cNvPr id="1097" name="Object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907</xdr:row>
          <xdr:rowOff>0</xdr:rowOff>
        </xdr:from>
        <xdr:to>
          <xdr:col>24</xdr:col>
          <xdr:colOff>685800</xdr:colOff>
          <xdr:row>907</xdr:row>
          <xdr:rowOff>0</xdr:rowOff>
        </xdr:to>
        <xdr:sp macro="" textlink="">
          <xdr:nvSpPr>
            <xdr:cNvPr id="1098" name="Object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907</xdr:row>
          <xdr:rowOff>0</xdr:rowOff>
        </xdr:from>
        <xdr:to>
          <xdr:col>24</xdr:col>
          <xdr:colOff>685800</xdr:colOff>
          <xdr:row>907</xdr:row>
          <xdr:rowOff>0</xdr:rowOff>
        </xdr:to>
        <xdr:sp macro="" textlink="">
          <xdr:nvSpPr>
            <xdr:cNvPr id="1099" name="Object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74</xdr:row>
          <xdr:rowOff>0</xdr:rowOff>
        </xdr:from>
        <xdr:to>
          <xdr:col>2</xdr:col>
          <xdr:colOff>0</xdr:colOff>
          <xdr:row>74</xdr:row>
          <xdr:rowOff>11430</xdr:rowOff>
        </xdr:to>
        <xdr:sp macro="" textlink="">
          <xdr:nvSpPr>
            <xdr:cNvPr id="1100" name="Object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112</xdr:row>
          <xdr:rowOff>0</xdr:rowOff>
        </xdr:from>
        <xdr:to>
          <xdr:col>4</xdr:col>
          <xdr:colOff>685800</xdr:colOff>
          <xdr:row>112</xdr:row>
          <xdr:rowOff>0</xdr:rowOff>
        </xdr:to>
        <xdr:sp macro="" textlink="">
          <xdr:nvSpPr>
            <xdr:cNvPr id="1101" name="Object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146</xdr:row>
          <xdr:rowOff>0</xdr:rowOff>
        </xdr:from>
        <xdr:to>
          <xdr:col>2</xdr:col>
          <xdr:colOff>0</xdr:colOff>
          <xdr:row>146</xdr:row>
          <xdr:rowOff>11430</xdr:rowOff>
        </xdr:to>
        <xdr:sp macro="" textlink="">
          <xdr:nvSpPr>
            <xdr:cNvPr id="1102" name="Object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112</xdr:row>
          <xdr:rowOff>0</xdr:rowOff>
        </xdr:from>
        <xdr:to>
          <xdr:col>4</xdr:col>
          <xdr:colOff>685800</xdr:colOff>
          <xdr:row>112</xdr:row>
          <xdr:rowOff>0</xdr:rowOff>
        </xdr:to>
        <xdr:sp macro="" textlink="">
          <xdr:nvSpPr>
            <xdr:cNvPr id="1103" name="Object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146</xdr:row>
          <xdr:rowOff>0</xdr:rowOff>
        </xdr:from>
        <xdr:to>
          <xdr:col>2</xdr:col>
          <xdr:colOff>0</xdr:colOff>
          <xdr:row>146</xdr:row>
          <xdr:rowOff>11430</xdr:rowOff>
        </xdr:to>
        <xdr:sp macro="" textlink="">
          <xdr:nvSpPr>
            <xdr:cNvPr id="1104" name="Object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146</xdr:row>
          <xdr:rowOff>0</xdr:rowOff>
        </xdr:from>
        <xdr:to>
          <xdr:col>2</xdr:col>
          <xdr:colOff>0</xdr:colOff>
          <xdr:row>146</xdr:row>
          <xdr:rowOff>11430</xdr:rowOff>
        </xdr:to>
        <xdr:sp macro="" textlink="">
          <xdr:nvSpPr>
            <xdr:cNvPr id="1105" name="Object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183</xdr:row>
          <xdr:rowOff>0</xdr:rowOff>
        </xdr:from>
        <xdr:to>
          <xdr:col>4</xdr:col>
          <xdr:colOff>685800</xdr:colOff>
          <xdr:row>183</xdr:row>
          <xdr:rowOff>0</xdr:rowOff>
        </xdr:to>
        <xdr:sp macro="" textlink="">
          <xdr:nvSpPr>
            <xdr:cNvPr id="1106" name="Object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217</xdr:row>
          <xdr:rowOff>0</xdr:rowOff>
        </xdr:from>
        <xdr:to>
          <xdr:col>2</xdr:col>
          <xdr:colOff>0</xdr:colOff>
          <xdr:row>217</xdr:row>
          <xdr:rowOff>11430</xdr:rowOff>
        </xdr:to>
        <xdr:sp macro="" textlink="">
          <xdr:nvSpPr>
            <xdr:cNvPr id="1107" name="Object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183</xdr:row>
          <xdr:rowOff>0</xdr:rowOff>
        </xdr:from>
        <xdr:to>
          <xdr:col>4</xdr:col>
          <xdr:colOff>685800</xdr:colOff>
          <xdr:row>183</xdr:row>
          <xdr:rowOff>0</xdr:rowOff>
        </xdr:to>
        <xdr:sp macro="" textlink="">
          <xdr:nvSpPr>
            <xdr:cNvPr id="1108" name="Object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217</xdr:row>
          <xdr:rowOff>0</xdr:rowOff>
        </xdr:from>
        <xdr:to>
          <xdr:col>2</xdr:col>
          <xdr:colOff>0</xdr:colOff>
          <xdr:row>217</xdr:row>
          <xdr:rowOff>11430</xdr:rowOff>
        </xdr:to>
        <xdr:sp macro="" textlink="">
          <xdr:nvSpPr>
            <xdr:cNvPr id="1109" name="Object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217</xdr:row>
          <xdr:rowOff>0</xdr:rowOff>
        </xdr:from>
        <xdr:to>
          <xdr:col>2</xdr:col>
          <xdr:colOff>0</xdr:colOff>
          <xdr:row>217</xdr:row>
          <xdr:rowOff>11430</xdr:rowOff>
        </xdr:to>
        <xdr:sp macro="" textlink="">
          <xdr:nvSpPr>
            <xdr:cNvPr id="1110" name="Object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255</xdr:row>
          <xdr:rowOff>0</xdr:rowOff>
        </xdr:from>
        <xdr:to>
          <xdr:col>4</xdr:col>
          <xdr:colOff>685800</xdr:colOff>
          <xdr:row>255</xdr:row>
          <xdr:rowOff>0</xdr:rowOff>
        </xdr:to>
        <xdr:sp macro="" textlink="">
          <xdr:nvSpPr>
            <xdr:cNvPr id="1111" name="Object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289</xdr:row>
          <xdr:rowOff>0</xdr:rowOff>
        </xdr:from>
        <xdr:to>
          <xdr:col>2</xdr:col>
          <xdr:colOff>0</xdr:colOff>
          <xdr:row>289</xdr:row>
          <xdr:rowOff>11430</xdr:rowOff>
        </xdr:to>
        <xdr:sp macro="" textlink="">
          <xdr:nvSpPr>
            <xdr:cNvPr id="1112" name="Object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255</xdr:row>
          <xdr:rowOff>0</xdr:rowOff>
        </xdr:from>
        <xdr:to>
          <xdr:col>4</xdr:col>
          <xdr:colOff>685800</xdr:colOff>
          <xdr:row>255</xdr:row>
          <xdr:rowOff>0</xdr:rowOff>
        </xdr:to>
        <xdr:sp macro="" textlink="">
          <xdr:nvSpPr>
            <xdr:cNvPr id="1113" name="Object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289</xdr:row>
          <xdr:rowOff>0</xdr:rowOff>
        </xdr:from>
        <xdr:to>
          <xdr:col>2</xdr:col>
          <xdr:colOff>0</xdr:colOff>
          <xdr:row>289</xdr:row>
          <xdr:rowOff>11430</xdr:rowOff>
        </xdr:to>
        <xdr:sp macro="" textlink="">
          <xdr:nvSpPr>
            <xdr:cNvPr id="1114" name="Object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289</xdr:row>
          <xdr:rowOff>0</xdr:rowOff>
        </xdr:from>
        <xdr:to>
          <xdr:col>2</xdr:col>
          <xdr:colOff>0</xdr:colOff>
          <xdr:row>289</xdr:row>
          <xdr:rowOff>11430</xdr:rowOff>
        </xdr:to>
        <xdr:sp macro="" textlink="">
          <xdr:nvSpPr>
            <xdr:cNvPr id="1115" name="Object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327</xdr:row>
          <xdr:rowOff>0</xdr:rowOff>
        </xdr:from>
        <xdr:to>
          <xdr:col>4</xdr:col>
          <xdr:colOff>685800</xdr:colOff>
          <xdr:row>327</xdr:row>
          <xdr:rowOff>0</xdr:rowOff>
        </xdr:to>
        <xdr:sp macro="" textlink="">
          <xdr:nvSpPr>
            <xdr:cNvPr id="1116" name="Object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327</xdr:row>
          <xdr:rowOff>0</xdr:rowOff>
        </xdr:from>
        <xdr:to>
          <xdr:col>4</xdr:col>
          <xdr:colOff>685800</xdr:colOff>
          <xdr:row>327</xdr:row>
          <xdr:rowOff>0</xdr:rowOff>
        </xdr:to>
        <xdr:sp macro="" textlink="">
          <xdr:nvSpPr>
            <xdr:cNvPr id="1117" name="Object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361</xdr:row>
          <xdr:rowOff>0</xdr:rowOff>
        </xdr:from>
        <xdr:to>
          <xdr:col>2</xdr:col>
          <xdr:colOff>0</xdr:colOff>
          <xdr:row>361</xdr:row>
          <xdr:rowOff>11430</xdr:rowOff>
        </xdr:to>
        <xdr:sp macro="" textlink="">
          <xdr:nvSpPr>
            <xdr:cNvPr id="1118" name="Object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327</xdr:row>
          <xdr:rowOff>0</xdr:rowOff>
        </xdr:from>
        <xdr:to>
          <xdr:col>4</xdr:col>
          <xdr:colOff>685800</xdr:colOff>
          <xdr:row>327</xdr:row>
          <xdr:rowOff>0</xdr:rowOff>
        </xdr:to>
        <xdr:sp macro="" textlink="">
          <xdr:nvSpPr>
            <xdr:cNvPr id="1119" name="Object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361</xdr:row>
          <xdr:rowOff>0</xdr:rowOff>
        </xdr:from>
        <xdr:to>
          <xdr:col>2</xdr:col>
          <xdr:colOff>0</xdr:colOff>
          <xdr:row>361</xdr:row>
          <xdr:rowOff>11430</xdr:rowOff>
        </xdr:to>
        <xdr:sp macro="" textlink="">
          <xdr:nvSpPr>
            <xdr:cNvPr id="1120" name="Object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361</xdr:row>
          <xdr:rowOff>0</xdr:rowOff>
        </xdr:from>
        <xdr:to>
          <xdr:col>2</xdr:col>
          <xdr:colOff>0</xdr:colOff>
          <xdr:row>361</xdr:row>
          <xdr:rowOff>11430</xdr:rowOff>
        </xdr:to>
        <xdr:sp macro="" textlink="">
          <xdr:nvSpPr>
            <xdr:cNvPr id="1121" name="Object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399</xdr:row>
          <xdr:rowOff>0</xdr:rowOff>
        </xdr:from>
        <xdr:to>
          <xdr:col>4</xdr:col>
          <xdr:colOff>685800</xdr:colOff>
          <xdr:row>399</xdr:row>
          <xdr:rowOff>0</xdr:rowOff>
        </xdr:to>
        <xdr:sp macro="" textlink="">
          <xdr:nvSpPr>
            <xdr:cNvPr id="1122" name="Object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399</xdr:row>
          <xdr:rowOff>0</xdr:rowOff>
        </xdr:from>
        <xdr:to>
          <xdr:col>4</xdr:col>
          <xdr:colOff>685800</xdr:colOff>
          <xdr:row>399</xdr:row>
          <xdr:rowOff>0</xdr:rowOff>
        </xdr:to>
        <xdr:sp macro="" textlink="">
          <xdr:nvSpPr>
            <xdr:cNvPr id="1123" name="Object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399</xdr:row>
          <xdr:rowOff>0</xdr:rowOff>
        </xdr:from>
        <xdr:to>
          <xdr:col>4</xdr:col>
          <xdr:colOff>685800</xdr:colOff>
          <xdr:row>399</xdr:row>
          <xdr:rowOff>0</xdr:rowOff>
        </xdr:to>
        <xdr:sp macro="" textlink="">
          <xdr:nvSpPr>
            <xdr:cNvPr id="1124" name="Object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433</xdr:row>
          <xdr:rowOff>0</xdr:rowOff>
        </xdr:from>
        <xdr:to>
          <xdr:col>2</xdr:col>
          <xdr:colOff>0</xdr:colOff>
          <xdr:row>433</xdr:row>
          <xdr:rowOff>11430</xdr:rowOff>
        </xdr:to>
        <xdr:sp macro="" textlink="">
          <xdr:nvSpPr>
            <xdr:cNvPr id="1125" name="Object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399</xdr:row>
          <xdr:rowOff>0</xdr:rowOff>
        </xdr:from>
        <xdr:to>
          <xdr:col>4</xdr:col>
          <xdr:colOff>685800</xdr:colOff>
          <xdr:row>399</xdr:row>
          <xdr:rowOff>0</xdr:rowOff>
        </xdr:to>
        <xdr:sp macro="" textlink="">
          <xdr:nvSpPr>
            <xdr:cNvPr id="1126" name="Object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433</xdr:row>
          <xdr:rowOff>0</xdr:rowOff>
        </xdr:from>
        <xdr:to>
          <xdr:col>2</xdr:col>
          <xdr:colOff>0</xdr:colOff>
          <xdr:row>433</xdr:row>
          <xdr:rowOff>11430</xdr:rowOff>
        </xdr:to>
        <xdr:sp macro="" textlink="">
          <xdr:nvSpPr>
            <xdr:cNvPr id="1127" name="Object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433</xdr:row>
          <xdr:rowOff>0</xdr:rowOff>
        </xdr:from>
        <xdr:to>
          <xdr:col>2</xdr:col>
          <xdr:colOff>0</xdr:colOff>
          <xdr:row>433</xdr:row>
          <xdr:rowOff>11430</xdr:rowOff>
        </xdr:to>
        <xdr:sp macro="" textlink="">
          <xdr:nvSpPr>
            <xdr:cNvPr id="1128" name="Object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471</xdr:row>
          <xdr:rowOff>0</xdr:rowOff>
        </xdr:from>
        <xdr:to>
          <xdr:col>4</xdr:col>
          <xdr:colOff>685800</xdr:colOff>
          <xdr:row>471</xdr:row>
          <xdr:rowOff>0</xdr:rowOff>
        </xdr:to>
        <xdr:sp macro="" textlink="">
          <xdr:nvSpPr>
            <xdr:cNvPr id="1129" name="Object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471</xdr:row>
          <xdr:rowOff>0</xdr:rowOff>
        </xdr:from>
        <xdr:to>
          <xdr:col>4</xdr:col>
          <xdr:colOff>685800</xdr:colOff>
          <xdr:row>471</xdr:row>
          <xdr:rowOff>0</xdr:rowOff>
        </xdr:to>
        <xdr:sp macro="" textlink="">
          <xdr:nvSpPr>
            <xdr:cNvPr id="1130" name="Object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471</xdr:row>
          <xdr:rowOff>0</xdr:rowOff>
        </xdr:from>
        <xdr:to>
          <xdr:col>4</xdr:col>
          <xdr:colOff>685800</xdr:colOff>
          <xdr:row>471</xdr:row>
          <xdr:rowOff>0</xdr:rowOff>
        </xdr:to>
        <xdr:sp macro="" textlink="">
          <xdr:nvSpPr>
            <xdr:cNvPr id="1131" name="Object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505</xdr:row>
          <xdr:rowOff>0</xdr:rowOff>
        </xdr:from>
        <xdr:to>
          <xdr:col>2</xdr:col>
          <xdr:colOff>0</xdr:colOff>
          <xdr:row>505</xdr:row>
          <xdr:rowOff>11430</xdr:rowOff>
        </xdr:to>
        <xdr:sp macro="" textlink="">
          <xdr:nvSpPr>
            <xdr:cNvPr id="1132" name="Object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471</xdr:row>
          <xdr:rowOff>0</xdr:rowOff>
        </xdr:from>
        <xdr:to>
          <xdr:col>4</xdr:col>
          <xdr:colOff>685800</xdr:colOff>
          <xdr:row>471</xdr:row>
          <xdr:rowOff>0</xdr:rowOff>
        </xdr:to>
        <xdr:sp macro="" textlink="">
          <xdr:nvSpPr>
            <xdr:cNvPr id="1133" name="Object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505</xdr:row>
          <xdr:rowOff>0</xdr:rowOff>
        </xdr:from>
        <xdr:to>
          <xdr:col>2</xdr:col>
          <xdr:colOff>0</xdr:colOff>
          <xdr:row>505</xdr:row>
          <xdr:rowOff>11430</xdr:rowOff>
        </xdr:to>
        <xdr:sp macro="" textlink="">
          <xdr:nvSpPr>
            <xdr:cNvPr id="1134" name="Object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505</xdr:row>
          <xdr:rowOff>0</xdr:rowOff>
        </xdr:from>
        <xdr:to>
          <xdr:col>2</xdr:col>
          <xdr:colOff>0</xdr:colOff>
          <xdr:row>505</xdr:row>
          <xdr:rowOff>11430</xdr:rowOff>
        </xdr:to>
        <xdr:sp macro="" textlink="">
          <xdr:nvSpPr>
            <xdr:cNvPr id="1135" name="Object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543</xdr:row>
          <xdr:rowOff>0</xdr:rowOff>
        </xdr:from>
        <xdr:to>
          <xdr:col>4</xdr:col>
          <xdr:colOff>685800</xdr:colOff>
          <xdr:row>543</xdr:row>
          <xdr:rowOff>0</xdr:rowOff>
        </xdr:to>
        <xdr:sp macro="" textlink="">
          <xdr:nvSpPr>
            <xdr:cNvPr id="1136" name="Object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543</xdr:row>
          <xdr:rowOff>0</xdr:rowOff>
        </xdr:from>
        <xdr:to>
          <xdr:col>4</xdr:col>
          <xdr:colOff>685800</xdr:colOff>
          <xdr:row>543</xdr:row>
          <xdr:rowOff>0</xdr:rowOff>
        </xdr:to>
        <xdr:sp macro="" textlink="">
          <xdr:nvSpPr>
            <xdr:cNvPr id="1137" name="Object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543</xdr:row>
          <xdr:rowOff>0</xdr:rowOff>
        </xdr:from>
        <xdr:to>
          <xdr:col>4</xdr:col>
          <xdr:colOff>685800</xdr:colOff>
          <xdr:row>543</xdr:row>
          <xdr:rowOff>0</xdr:rowOff>
        </xdr:to>
        <xdr:sp macro="" textlink="">
          <xdr:nvSpPr>
            <xdr:cNvPr id="1138" name="Object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577</xdr:row>
          <xdr:rowOff>0</xdr:rowOff>
        </xdr:from>
        <xdr:to>
          <xdr:col>2</xdr:col>
          <xdr:colOff>0</xdr:colOff>
          <xdr:row>577</xdr:row>
          <xdr:rowOff>11430</xdr:rowOff>
        </xdr:to>
        <xdr:sp macro="" textlink="">
          <xdr:nvSpPr>
            <xdr:cNvPr id="1139" name="Object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543</xdr:row>
          <xdr:rowOff>0</xdr:rowOff>
        </xdr:from>
        <xdr:to>
          <xdr:col>4</xdr:col>
          <xdr:colOff>685800</xdr:colOff>
          <xdr:row>543</xdr:row>
          <xdr:rowOff>0</xdr:rowOff>
        </xdr:to>
        <xdr:sp macro="" textlink="">
          <xdr:nvSpPr>
            <xdr:cNvPr id="1140" name="Object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577</xdr:row>
          <xdr:rowOff>0</xdr:rowOff>
        </xdr:from>
        <xdr:to>
          <xdr:col>2</xdr:col>
          <xdr:colOff>0</xdr:colOff>
          <xdr:row>577</xdr:row>
          <xdr:rowOff>11430</xdr:rowOff>
        </xdr:to>
        <xdr:sp macro="" textlink="">
          <xdr:nvSpPr>
            <xdr:cNvPr id="1141" name="Object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577</xdr:row>
          <xdr:rowOff>0</xdr:rowOff>
        </xdr:from>
        <xdr:to>
          <xdr:col>2</xdr:col>
          <xdr:colOff>0</xdr:colOff>
          <xdr:row>577</xdr:row>
          <xdr:rowOff>11430</xdr:rowOff>
        </xdr:to>
        <xdr:sp macro="" textlink="">
          <xdr:nvSpPr>
            <xdr:cNvPr id="1142" name="Object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615</xdr:row>
          <xdr:rowOff>0</xdr:rowOff>
        </xdr:from>
        <xdr:to>
          <xdr:col>4</xdr:col>
          <xdr:colOff>685800</xdr:colOff>
          <xdr:row>615</xdr:row>
          <xdr:rowOff>0</xdr:rowOff>
        </xdr:to>
        <xdr:sp macro="" textlink="">
          <xdr:nvSpPr>
            <xdr:cNvPr id="1143" name="Object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615</xdr:row>
          <xdr:rowOff>0</xdr:rowOff>
        </xdr:from>
        <xdr:to>
          <xdr:col>4</xdr:col>
          <xdr:colOff>685800</xdr:colOff>
          <xdr:row>615</xdr:row>
          <xdr:rowOff>0</xdr:rowOff>
        </xdr:to>
        <xdr:sp macro="" textlink="">
          <xdr:nvSpPr>
            <xdr:cNvPr id="1144" name="Object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615</xdr:row>
          <xdr:rowOff>0</xdr:rowOff>
        </xdr:from>
        <xdr:to>
          <xdr:col>4</xdr:col>
          <xdr:colOff>685800</xdr:colOff>
          <xdr:row>615</xdr:row>
          <xdr:rowOff>0</xdr:rowOff>
        </xdr:to>
        <xdr:sp macro="" textlink="">
          <xdr:nvSpPr>
            <xdr:cNvPr id="1145" name="Object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649</xdr:row>
          <xdr:rowOff>0</xdr:rowOff>
        </xdr:from>
        <xdr:to>
          <xdr:col>2</xdr:col>
          <xdr:colOff>0</xdr:colOff>
          <xdr:row>649</xdr:row>
          <xdr:rowOff>11430</xdr:rowOff>
        </xdr:to>
        <xdr:sp macro="" textlink="">
          <xdr:nvSpPr>
            <xdr:cNvPr id="1146" name="Object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615</xdr:row>
          <xdr:rowOff>0</xdr:rowOff>
        </xdr:from>
        <xdr:to>
          <xdr:col>4</xdr:col>
          <xdr:colOff>685800</xdr:colOff>
          <xdr:row>615</xdr:row>
          <xdr:rowOff>0</xdr:rowOff>
        </xdr:to>
        <xdr:sp macro="" textlink="">
          <xdr:nvSpPr>
            <xdr:cNvPr id="1147" name="Object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649</xdr:row>
          <xdr:rowOff>0</xdr:rowOff>
        </xdr:from>
        <xdr:to>
          <xdr:col>2</xdr:col>
          <xdr:colOff>0</xdr:colOff>
          <xdr:row>649</xdr:row>
          <xdr:rowOff>11430</xdr:rowOff>
        </xdr:to>
        <xdr:sp macro="" textlink="">
          <xdr:nvSpPr>
            <xdr:cNvPr id="1148" name="Object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649</xdr:row>
          <xdr:rowOff>0</xdr:rowOff>
        </xdr:from>
        <xdr:to>
          <xdr:col>2</xdr:col>
          <xdr:colOff>0</xdr:colOff>
          <xdr:row>649</xdr:row>
          <xdr:rowOff>11430</xdr:rowOff>
        </xdr:to>
        <xdr:sp macro="" textlink="">
          <xdr:nvSpPr>
            <xdr:cNvPr id="1149" name="Object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687</xdr:row>
          <xdr:rowOff>0</xdr:rowOff>
        </xdr:from>
        <xdr:to>
          <xdr:col>4</xdr:col>
          <xdr:colOff>685800</xdr:colOff>
          <xdr:row>687</xdr:row>
          <xdr:rowOff>0</xdr:rowOff>
        </xdr:to>
        <xdr:sp macro="" textlink="">
          <xdr:nvSpPr>
            <xdr:cNvPr id="1150" name="Object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687</xdr:row>
          <xdr:rowOff>0</xdr:rowOff>
        </xdr:from>
        <xdr:to>
          <xdr:col>4</xdr:col>
          <xdr:colOff>685800</xdr:colOff>
          <xdr:row>687</xdr:row>
          <xdr:rowOff>0</xdr:rowOff>
        </xdr:to>
        <xdr:sp macro="" textlink="">
          <xdr:nvSpPr>
            <xdr:cNvPr id="1151" name="Object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687</xdr:row>
          <xdr:rowOff>0</xdr:rowOff>
        </xdr:from>
        <xdr:to>
          <xdr:col>4</xdr:col>
          <xdr:colOff>685800</xdr:colOff>
          <xdr:row>687</xdr:row>
          <xdr:rowOff>0</xdr:rowOff>
        </xdr:to>
        <xdr:sp macro="" textlink="">
          <xdr:nvSpPr>
            <xdr:cNvPr id="1152" name="Object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721</xdr:row>
          <xdr:rowOff>0</xdr:rowOff>
        </xdr:from>
        <xdr:to>
          <xdr:col>2</xdr:col>
          <xdr:colOff>0</xdr:colOff>
          <xdr:row>721</xdr:row>
          <xdr:rowOff>11430</xdr:rowOff>
        </xdr:to>
        <xdr:sp macro="" textlink="">
          <xdr:nvSpPr>
            <xdr:cNvPr id="1153" name="Object 129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687</xdr:row>
          <xdr:rowOff>0</xdr:rowOff>
        </xdr:from>
        <xdr:to>
          <xdr:col>4</xdr:col>
          <xdr:colOff>685800</xdr:colOff>
          <xdr:row>687</xdr:row>
          <xdr:rowOff>0</xdr:rowOff>
        </xdr:to>
        <xdr:sp macro="" textlink="">
          <xdr:nvSpPr>
            <xdr:cNvPr id="1154" name="Object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721</xdr:row>
          <xdr:rowOff>0</xdr:rowOff>
        </xdr:from>
        <xdr:to>
          <xdr:col>2</xdr:col>
          <xdr:colOff>0</xdr:colOff>
          <xdr:row>721</xdr:row>
          <xdr:rowOff>11430</xdr:rowOff>
        </xdr:to>
        <xdr:sp macro="" textlink="">
          <xdr:nvSpPr>
            <xdr:cNvPr id="1155" name="Object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721</xdr:row>
          <xdr:rowOff>0</xdr:rowOff>
        </xdr:from>
        <xdr:to>
          <xdr:col>2</xdr:col>
          <xdr:colOff>0</xdr:colOff>
          <xdr:row>721</xdr:row>
          <xdr:rowOff>11430</xdr:rowOff>
        </xdr:to>
        <xdr:sp macro="" textlink="">
          <xdr:nvSpPr>
            <xdr:cNvPr id="1156" name="Object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759</xdr:row>
          <xdr:rowOff>0</xdr:rowOff>
        </xdr:from>
        <xdr:to>
          <xdr:col>4</xdr:col>
          <xdr:colOff>685800</xdr:colOff>
          <xdr:row>759</xdr:row>
          <xdr:rowOff>0</xdr:rowOff>
        </xdr:to>
        <xdr:sp macro="" textlink="">
          <xdr:nvSpPr>
            <xdr:cNvPr id="1157" name="Object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759</xdr:row>
          <xdr:rowOff>0</xdr:rowOff>
        </xdr:from>
        <xdr:to>
          <xdr:col>4</xdr:col>
          <xdr:colOff>685800</xdr:colOff>
          <xdr:row>759</xdr:row>
          <xdr:rowOff>0</xdr:rowOff>
        </xdr:to>
        <xdr:sp macro="" textlink="">
          <xdr:nvSpPr>
            <xdr:cNvPr id="1158" name="Object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759</xdr:row>
          <xdr:rowOff>0</xdr:rowOff>
        </xdr:from>
        <xdr:to>
          <xdr:col>4</xdr:col>
          <xdr:colOff>685800</xdr:colOff>
          <xdr:row>759</xdr:row>
          <xdr:rowOff>0</xdr:rowOff>
        </xdr:to>
        <xdr:sp macro="" textlink="">
          <xdr:nvSpPr>
            <xdr:cNvPr id="1159" name="Object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793</xdr:row>
          <xdr:rowOff>0</xdr:rowOff>
        </xdr:from>
        <xdr:to>
          <xdr:col>2</xdr:col>
          <xdr:colOff>0</xdr:colOff>
          <xdr:row>793</xdr:row>
          <xdr:rowOff>11430</xdr:rowOff>
        </xdr:to>
        <xdr:sp macro="" textlink="">
          <xdr:nvSpPr>
            <xdr:cNvPr id="1160" name="Object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759</xdr:row>
          <xdr:rowOff>0</xdr:rowOff>
        </xdr:from>
        <xdr:to>
          <xdr:col>4</xdr:col>
          <xdr:colOff>685800</xdr:colOff>
          <xdr:row>759</xdr:row>
          <xdr:rowOff>0</xdr:rowOff>
        </xdr:to>
        <xdr:sp macro="" textlink="">
          <xdr:nvSpPr>
            <xdr:cNvPr id="1161" name="Object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793</xdr:row>
          <xdr:rowOff>0</xdr:rowOff>
        </xdr:from>
        <xdr:to>
          <xdr:col>2</xdr:col>
          <xdr:colOff>0</xdr:colOff>
          <xdr:row>793</xdr:row>
          <xdr:rowOff>11430</xdr:rowOff>
        </xdr:to>
        <xdr:sp macro="" textlink="">
          <xdr:nvSpPr>
            <xdr:cNvPr id="1162" name="Object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793</xdr:row>
          <xdr:rowOff>0</xdr:rowOff>
        </xdr:from>
        <xdr:to>
          <xdr:col>2</xdr:col>
          <xdr:colOff>0</xdr:colOff>
          <xdr:row>793</xdr:row>
          <xdr:rowOff>11430</xdr:rowOff>
        </xdr:to>
        <xdr:sp macro="" textlink="">
          <xdr:nvSpPr>
            <xdr:cNvPr id="1163" name="Object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833</xdr:row>
          <xdr:rowOff>0</xdr:rowOff>
        </xdr:from>
        <xdr:to>
          <xdr:col>4</xdr:col>
          <xdr:colOff>685800</xdr:colOff>
          <xdr:row>833</xdr:row>
          <xdr:rowOff>0</xdr:rowOff>
        </xdr:to>
        <xdr:sp macro="" textlink="">
          <xdr:nvSpPr>
            <xdr:cNvPr id="1164" name="Object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833</xdr:row>
          <xdr:rowOff>0</xdr:rowOff>
        </xdr:from>
        <xdr:to>
          <xdr:col>4</xdr:col>
          <xdr:colOff>685800</xdr:colOff>
          <xdr:row>833</xdr:row>
          <xdr:rowOff>0</xdr:rowOff>
        </xdr:to>
        <xdr:sp macro="" textlink="">
          <xdr:nvSpPr>
            <xdr:cNvPr id="1165" name="Object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833</xdr:row>
          <xdr:rowOff>0</xdr:rowOff>
        </xdr:from>
        <xdr:to>
          <xdr:col>4</xdr:col>
          <xdr:colOff>685800</xdr:colOff>
          <xdr:row>833</xdr:row>
          <xdr:rowOff>0</xdr:rowOff>
        </xdr:to>
        <xdr:sp macro="" textlink="">
          <xdr:nvSpPr>
            <xdr:cNvPr id="1166" name="Object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867</xdr:row>
          <xdr:rowOff>0</xdr:rowOff>
        </xdr:from>
        <xdr:to>
          <xdr:col>2</xdr:col>
          <xdr:colOff>0</xdr:colOff>
          <xdr:row>867</xdr:row>
          <xdr:rowOff>11430</xdr:rowOff>
        </xdr:to>
        <xdr:sp macro="" textlink="">
          <xdr:nvSpPr>
            <xdr:cNvPr id="1167" name="Object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833</xdr:row>
          <xdr:rowOff>0</xdr:rowOff>
        </xdr:from>
        <xdr:to>
          <xdr:col>4</xdr:col>
          <xdr:colOff>685800</xdr:colOff>
          <xdr:row>833</xdr:row>
          <xdr:rowOff>0</xdr:rowOff>
        </xdr:to>
        <xdr:sp macro="" textlink="">
          <xdr:nvSpPr>
            <xdr:cNvPr id="1168" name="Object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867</xdr:row>
          <xdr:rowOff>0</xdr:rowOff>
        </xdr:from>
        <xdr:to>
          <xdr:col>2</xdr:col>
          <xdr:colOff>0</xdr:colOff>
          <xdr:row>867</xdr:row>
          <xdr:rowOff>11430</xdr:rowOff>
        </xdr:to>
        <xdr:sp macro="" textlink="">
          <xdr:nvSpPr>
            <xdr:cNvPr id="1169" name="Object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867</xdr:row>
          <xdr:rowOff>0</xdr:rowOff>
        </xdr:from>
        <xdr:to>
          <xdr:col>2</xdr:col>
          <xdr:colOff>0</xdr:colOff>
          <xdr:row>867</xdr:row>
          <xdr:rowOff>11430</xdr:rowOff>
        </xdr:to>
        <xdr:sp macro="" textlink="">
          <xdr:nvSpPr>
            <xdr:cNvPr id="1170" name="Object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216609</xdr:colOff>
      <xdr:row>70</xdr:row>
      <xdr:rowOff>64325</xdr:rowOff>
    </xdr:from>
    <xdr:ext cx="2103120" cy="731520"/>
    <xdr:sp macro="[0]!back2CC" textlink="">
      <xdr:nvSpPr>
        <xdr:cNvPr id="3" name="Rectangle 2"/>
        <xdr:cNvSpPr/>
      </xdr:nvSpPr>
      <xdr:spPr>
        <a:xfrm>
          <a:off x="15807530" y="18500213"/>
          <a:ext cx="2103120" cy="73152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8575">
          <a:solidFill>
            <a:srgbClr val="0033CC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en-US" sz="2000" b="1">
              <a:solidFill>
                <a:srgbClr val="0033CC"/>
              </a:solidFill>
            </a:rPr>
            <a:t>RETURN</a:t>
          </a:r>
          <a:r>
            <a:rPr lang="en-US" sz="2000" b="1" baseline="0">
              <a:solidFill>
                <a:srgbClr val="0033CC"/>
              </a:solidFill>
            </a:rPr>
            <a:t> TO CLAIM CHECK</a:t>
          </a:r>
          <a:endParaRPr lang="en-US" sz="2000" b="1">
            <a:solidFill>
              <a:srgbClr val="0033CC"/>
            </a:solidFill>
          </a:endParaRPr>
        </a:p>
      </xdr:txBody>
    </xdr:sp>
    <xdr:clientData/>
  </xdr:oneCellAnchor>
  <xdr:oneCellAnchor>
    <xdr:from>
      <xdr:col>13</xdr:col>
      <xdr:colOff>232253</xdr:colOff>
      <xdr:row>6</xdr:row>
      <xdr:rowOff>42111</xdr:rowOff>
    </xdr:from>
    <xdr:ext cx="2103120" cy="731520"/>
    <xdr:sp macro="[0]!back2CC" textlink="">
      <xdr:nvSpPr>
        <xdr:cNvPr id="5" name="Rectangle 4"/>
        <xdr:cNvSpPr/>
      </xdr:nvSpPr>
      <xdr:spPr>
        <a:xfrm>
          <a:off x="15823174" y="1433262"/>
          <a:ext cx="2103120" cy="73152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2225">
          <a:solidFill>
            <a:srgbClr val="0033CC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en-US" sz="2000" b="1">
              <a:solidFill>
                <a:srgbClr val="0033CC"/>
              </a:solidFill>
            </a:rPr>
            <a:t>RETURN TO CLAIM CHECK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438150</xdr:colOff>
      <xdr:row>24</xdr:row>
      <xdr:rowOff>9525</xdr:rowOff>
    </xdr:from>
    <xdr:to>
      <xdr:col>4</xdr:col>
      <xdr:colOff>1285875</xdr:colOff>
      <xdr:row>28</xdr:row>
      <xdr:rowOff>190500</xdr:rowOff>
    </xdr:to>
    <xdr:pic macro="[0]!GotoCC">
      <xdr:nvPicPr>
        <xdr:cNvPr id="5142" name="Picture 3" descr="pretygl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752" r="50359" b="48354"/>
        <a:stretch>
          <a:fillRect/>
        </a:stretch>
      </xdr:blipFill>
      <xdr:spPr bwMode="auto">
        <a:xfrm>
          <a:off x="4067175" y="2581275"/>
          <a:ext cx="847725" cy="695325"/>
        </a:xfrm>
        <a:prstGeom prst="rect">
          <a:avLst/>
        </a:prstGeom>
        <a:noFill/>
        <a:ln w="19050">
          <a:solidFill>
            <a:srgbClr val="0000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209780</xdr:colOff>
      <xdr:row>10</xdr:row>
      <xdr:rowOff>81741</xdr:rowOff>
    </xdr:from>
    <xdr:ext cx="1450483" cy="468013"/>
    <xdr:sp macro="" textlink="">
      <xdr:nvSpPr>
        <xdr:cNvPr id="3" name="TextBox 2" hidden="1"/>
        <xdr:cNvSpPr txBox="1"/>
      </xdr:nvSpPr>
      <xdr:spPr>
        <a:xfrm>
          <a:off x="6526707" y="1364970"/>
          <a:ext cx="1450483" cy="468013"/>
        </a:xfrm>
        <a:prstGeom prst="rect">
          <a:avLst/>
        </a:prstGeom>
        <a:noFill/>
        <a:ln w="12700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 anchorCtr="0">
          <a:spAutoFit/>
        </a:bodyPr>
        <a:lstStyle/>
        <a:p>
          <a:pPr algn="ctr"/>
          <a:r>
            <a:rPr lang="en-US" sz="800"/>
            <a:t>Number each Turn Point,</a:t>
          </a:r>
          <a:r>
            <a:rPr lang="en-US" sz="800" baseline="0"/>
            <a:t> using</a:t>
          </a:r>
          <a:r>
            <a:rPr lang="en-US" sz="800"/>
            <a:t> 0 for any not achieved.</a:t>
          </a:r>
        </a:p>
        <a:p>
          <a:pPr algn="ctr"/>
          <a:r>
            <a:rPr lang="en-US" sz="800"/>
            <a:t>Then, click below</a:t>
          </a:r>
        </a:p>
      </xdr:txBody>
    </xdr:sp>
    <xdr:clientData/>
  </xdr:oneCellAnchor>
  <xdr:twoCellAnchor>
    <xdr:from>
      <xdr:col>7</xdr:col>
      <xdr:colOff>13229</xdr:colOff>
      <xdr:row>28</xdr:row>
      <xdr:rowOff>13230</xdr:rowOff>
    </xdr:from>
    <xdr:to>
      <xdr:col>7</xdr:col>
      <xdr:colOff>978958</xdr:colOff>
      <xdr:row>29</xdr:row>
      <xdr:rowOff>0</xdr:rowOff>
    </xdr:to>
    <xdr:sp macro="[0]!CloseAll" textlink="">
      <xdr:nvSpPr>
        <xdr:cNvPr id="2" name="Rectangle 1"/>
        <xdr:cNvSpPr/>
      </xdr:nvSpPr>
      <xdr:spPr>
        <a:xfrm>
          <a:off x="7309114" y="3108855"/>
          <a:ext cx="965729" cy="1852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469639</xdr:colOff>
      <xdr:row>15</xdr:row>
      <xdr:rowOff>39712</xdr:rowOff>
    </xdr:from>
    <xdr:to>
      <xdr:col>7</xdr:col>
      <xdr:colOff>405081</xdr:colOff>
      <xdr:row>17</xdr:row>
      <xdr:rowOff>30187</xdr:rowOff>
    </xdr:to>
    <xdr:sp macro="[0]!CalcC" textlink="">
      <xdr:nvSpPr>
        <xdr:cNvPr id="4" name="Rounded Rectangle 3" hidden="1"/>
        <xdr:cNvSpPr/>
      </xdr:nvSpPr>
      <xdr:spPr>
        <a:xfrm>
          <a:off x="6786566" y="1891795"/>
          <a:ext cx="914400" cy="228600"/>
        </a:xfrm>
        <a:prstGeom prst="roundRect">
          <a:avLst/>
        </a:prstGeom>
        <a:solidFill>
          <a:srgbClr val="99CCFF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FF"/>
              </a:solidFill>
            </a:rPr>
            <a:t>Verify</a:t>
          </a:r>
          <a:r>
            <a:rPr lang="en-US" sz="1100" b="1" baseline="0">
              <a:solidFill>
                <a:srgbClr val="0000FF"/>
              </a:solidFill>
            </a:rPr>
            <a:t> Task</a:t>
          </a:r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</xdr:col>
      <xdr:colOff>45796</xdr:colOff>
      <xdr:row>18</xdr:row>
      <xdr:rowOff>20612</xdr:rowOff>
    </xdr:from>
    <xdr:to>
      <xdr:col>5</xdr:col>
      <xdr:colOff>961919</xdr:colOff>
      <xdr:row>20</xdr:row>
      <xdr:rowOff>11087</xdr:rowOff>
    </xdr:to>
    <xdr:sp macro="[0]!ReTry" textlink="">
      <xdr:nvSpPr>
        <xdr:cNvPr id="8" name="Rounded Rectangle 7" hidden="1"/>
        <xdr:cNvSpPr/>
      </xdr:nvSpPr>
      <xdr:spPr>
        <a:xfrm>
          <a:off x="5388814" y="2117239"/>
          <a:ext cx="916123" cy="227191"/>
        </a:xfrm>
        <a:prstGeom prst="roundRect">
          <a:avLst/>
        </a:prstGeom>
        <a:solidFill>
          <a:srgbClr val="9999FF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1">
              <a:solidFill>
                <a:srgbClr val="FF0000"/>
              </a:solidFill>
            </a:rPr>
            <a:t>Try</a:t>
          </a:r>
          <a:r>
            <a:rPr lang="en-US" sz="1100" b="1" baseline="0">
              <a:solidFill>
                <a:srgbClr val="FF0000"/>
              </a:solidFill>
            </a:rPr>
            <a:t> Again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982980</xdr:colOff>
          <xdr:row>1</xdr:row>
          <xdr:rowOff>0</xdr:rowOff>
        </xdr:from>
        <xdr:to>
          <xdr:col>7</xdr:col>
          <xdr:colOff>11430</xdr:colOff>
          <xdr:row>1</xdr:row>
          <xdr:rowOff>190500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314325</xdr:colOff>
      <xdr:row>22</xdr:row>
      <xdr:rowOff>9525</xdr:rowOff>
    </xdr:from>
    <xdr:to>
      <xdr:col>6</xdr:col>
      <xdr:colOff>352425</xdr:colOff>
      <xdr:row>26</xdr:row>
      <xdr:rowOff>171450</xdr:rowOff>
    </xdr:to>
    <xdr:pic macro="[0]!PrintThis">
      <xdr:nvPicPr>
        <xdr:cNvPr id="10254" name="Picture 1" descr="pretygl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752" r="50359" b="48354"/>
        <a:stretch>
          <a:fillRect/>
        </a:stretch>
      </xdr:blipFill>
      <xdr:spPr bwMode="auto">
        <a:xfrm>
          <a:off x="4724400" y="3829050"/>
          <a:ext cx="819150" cy="638175"/>
        </a:xfrm>
        <a:prstGeom prst="rect">
          <a:avLst/>
        </a:prstGeom>
        <a:noFill/>
        <a:ln w="19050">
          <a:solidFill>
            <a:srgbClr val="0000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7384</xdr:colOff>
      <xdr:row>26</xdr:row>
      <xdr:rowOff>10026</xdr:rowOff>
    </xdr:from>
    <xdr:to>
      <xdr:col>10</xdr:col>
      <xdr:colOff>380980</xdr:colOff>
      <xdr:row>27</xdr:row>
      <xdr:rowOff>0</xdr:rowOff>
    </xdr:to>
    <xdr:sp macro="[0]!CloseAll" textlink="">
      <xdr:nvSpPr>
        <xdr:cNvPr id="3" name="Rectangle 2"/>
        <xdr:cNvSpPr/>
      </xdr:nvSpPr>
      <xdr:spPr>
        <a:xfrm>
          <a:off x="7465459" y="4039101"/>
          <a:ext cx="1154646" cy="1804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803910</xdr:colOff>
          <xdr:row>14</xdr:row>
          <xdr:rowOff>95250</xdr:rowOff>
        </xdr:from>
        <xdr:to>
          <xdr:col>8</xdr:col>
          <xdr:colOff>26670</xdr:colOff>
          <xdr:row>16</xdr:row>
          <xdr:rowOff>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1107257</xdr:colOff>
      <xdr:row>32</xdr:row>
      <xdr:rowOff>89093</xdr:rowOff>
    </xdr:from>
    <xdr:ext cx="1122359" cy="342786"/>
    <xdr:sp macro="[0]!GO2WKS" textlink="">
      <xdr:nvSpPr>
        <xdr:cNvPr id="3" name="Rectangle 2"/>
        <xdr:cNvSpPr/>
      </xdr:nvSpPr>
      <xdr:spPr>
        <a:xfrm>
          <a:off x="9119463" y="5346519"/>
          <a:ext cx="1122359" cy="34278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2225">
          <a:solidFill>
            <a:srgbClr val="0033CC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 anchorCtr="0">
          <a:spAutoFit/>
        </a:bodyPr>
        <a:lstStyle/>
        <a:p>
          <a:pPr algn="ctr"/>
          <a:r>
            <a:rPr lang="en-US" sz="1600" b="1">
              <a:solidFill>
                <a:srgbClr val="0033CC"/>
              </a:solidFill>
            </a:rPr>
            <a:t>See Details</a:t>
          </a:r>
        </a:p>
      </xdr:txBody>
    </xdr:sp>
    <xdr:clientData fPrintsWithSheet="0"/>
  </xdr:oneCellAnchor>
  <xdr:twoCellAnchor editAs="oneCell">
    <xdr:from>
      <xdr:col>4</xdr:col>
      <xdr:colOff>323850</xdr:colOff>
      <xdr:row>62</xdr:row>
      <xdr:rowOff>19050</xdr:rowOff>
    </xdr:from>
    <xdr:to>
      <xdr:col>5</xdr:col>
      <xdr:colOff>152400</xdr:colOff>
      <xdr:row>66</xdr:row>
      <xdr:rowOff>244028</xdr:rowOff>
    </xdr:to>
    <xdr:pic macro="[0]!OpenForm">
      <xdr:nvPicPr>
        <xdr:cNvPr id="11284" name="Picture 3" descr="pretygl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752" r="50359" b="48354"/>
        <a:stretch>
          <a:fillRect/>
        </a:stretch>
      </xdr:blipFill>
      <xdr:spPr bwMode="auto">
        <a:xfrm>
          <a:off x="5781675" y="10639425"/>
          <a:ext cx="1009650" cy="819150"/>
        </a:xfrm>
        <a:prstGeom prst="rect">
          <a:avLst/>
        </a:prstGeom>
        <a:noFill/>
        <a:ln w="19050">
          <a:solidFill>
            <a:srgbClr val="0000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65</xdr:row>
      <xdr:rowOff>64732</xdr:rowOff>
    </xdr:from>
    <xdr:to>
      <xdr:col>8</xdr:col>
      <xdr:colOff>0</xdr:colOff>
      <xdr:row>67</xdr:row>
      <xdr:rowOff>9247</xdr:rowOff>
    </xdr:to>
    <xdr:sp macro="[0]!CloseAll" textlink="">
      <xdr:nvSpPr>
        <xdr:cNvPr id="2" name="Rectangle 1"/>
        <xdr:cNvSpPr/>
      </xdr:nvSpPr>
      <xdr:spPr>
        <a:xfrm>
          <a:off x="9201335" y="11605703"/>
          <a:ext cx="1377888" cy="2496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827209</xdr:colOff>
      <xdr:row>3</xdr:row>
      <xdr:rowOff>59348</xdr:rowOff>
    </xdr:from>
    <xdr:to>
      <xdr:col>2</xdr:col>
      <xdr:colOff>251606</xdr:colOff>
      <xdr:row>5</xdr:row>
      <xdr:rowOff>2198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2072786" y="586886"/>
          <a:ext cx="274320" cy="287216"/>
        </a:xfrm>
        <a:prstGeom prst="star5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1047750</xdr:colOff>
          <xdr:row>5</xdr:row>
          <xdr:rowOff>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561974</xdr:colOff>
      <xdr:row>34</xdr:row>
      <xdr:rowOff>9524</xdr:rowOff>
    </xdr:from>
    <xdr:to>
      <xdr:col>7</xdr:col>
      <xdr:colOff>78866</xdr:colOff>
      <xdr:row>39</xdr:row>
      <xdr:rowOff>5714</xdr:rowOff>
    </xdr:to>
    <xdr:pic macro="[0]!FreeM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499" y="5257799"/>
          <a:ext cx="945642" cy="77724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LAIMS"/>
      <sheetName val="Parsed"/>
      <sheetName val="E-DEC"/>
      <sheetName val="OTHER"/>
      <sheetName val="DATA ENTRY CHECK"/>
      <sheetName val="Logo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DWK3"/>
      <sheetName val="Sheet2"/>
      <sheetName val="Sheet3"/>
      <sheetName val="TASKS"/>
      <sheetName val="B"/>
    </sheetNames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oleObject" Target="../embeddings/oleObject21.bin"/><Relationship Id="rId117" Type="http://schemas.openxmlformats.org/officeDocument/2006/relationships/oleObject" Target="../embeddings/oleObject111.bin"/><Relationship Id="rId21" Type="http://schemas.openxmlformats.org/officeDocument/2006/relationships/oleObject" Target="../embeddings/oleObject16.bin"/><Relationship Id="rId42" Type="http://schemas.openxmlformats.org/officeDocument/2006/relationships/oleObject" Target="../embeddings/oleObject37.bin"/><Relationship Id="rId47" Type="http://schemas.openxmlformats.org/officeDocument/2006/relationships/oleObject" Target="../embeddings/oleObject42.bin"/><Relationship Id="rId63" Type="http://schemas.openxmlformats.org/officeDocument/2006/relationships/oleObject" Target="../embeddings/oleObject58.bin"/><Relationship Id="rId68" Type="http://schemas.openxmlformats.org/officeDocument/2006/relationships/oleObject" Target="../embeddings/oleObject63.bin"/><Relationship Id="rId84" Type="http://schemas.openxmlformats.org/officeDocument/2006/relationships/oleObject" Target="../embeddings/oleObject78.bin"/><Relationship Id="rId89" Type="http://schemas.openxmlformats.org/officeDocument/2006/relationships/oleObject" Target="../embeddings/oleObject83.bin"/><Relationship Id="rId112" Type="http://schemas.openxmlformats.org/officeDocument/2006/relationships/oleObject" Target="../embeddings/oleObject106.bin"/><Relationship Id="rId133" Type="http://schemas.openxmlformats.org/officeDocument/2006/relationships/oleObject" Target="../embeddings/oleObject127.bin"/><Relationship Id="rId138" Type="http://schemas.openxmlformats.org/officeDocument/2006/relationships/oleObject" Target="../embeddings/oleObject132.bin"/><Relationship Id="rId16" Type="http://schemas.openxmlformats.org/officeDocument/2006/relationships/oleObject" Target="../embeddings/oleObject11.bin"/><Relationship Id="rId107" Type="http://schemas.openxmlformats.org/officeDocument/2006/relationships/oleObject" Target="../embeddings/oleObject101.bin"/><Relationship Id="rId11" Type="http://schemas.openxmlformats.org/officeDocument/2006/relationships/oleObject" Target="../embeddings/oleObject6.bin"/><Relationship Id="rId32" Type="http://schemas.openxmlformats.org/officeDocument/2006/relationships/oleObject" Target="../embeddings/oleObject27.bin"/><Relationship Id="rId37" Type="http://schemas.openxmlformats.org/officeDocument/2006/relationships/oleObject" Target="../embeddings/oleObject32.bin"/><Relationship Id="rId53" Type="http://schemas.openxmlformats.org/officeDocument/2006/relationships/oleObject" Target="../embeddings/oleObject48.bin"/><Relationship Id="rId58" Type="http://schemas.openxmlformats.org/officeDocument/2006/relationships/oleObject" Target="../embeddings/oleObject53.bin"/><Relationship Id="rId74" Type="http://schemas.openxmlformats.org/officeDocument/2006/relationships/oleObject" Target="../embeddings/oleObject69.bin"/><Relationship Id="rId79" Type="http://schemas.openxmlformats.org/officeDocument/2006/relationships/oleObject" Target="../embeddings/oleObject74.bin"/><Relationship Id="rId102" Type="http://schemas.openxmlformats.org/officeDocument/2006/relationships/oleObject" Target="../embeddings/oleObject96.bin"/><Relationship Id="rId123" Type="http://schemas.openxmlformats.org/officeDocument/2006/relationships/oleObject" Target="../embeddings/oleObject117.bin"/><Relationship Id="rId128" Type="http://schemas.openxmlformats.org/officeDocument/2006/relationships/oleObject" Target="../embeddings/oleObject122.bin"/><Relationship Id="rId144" Type="http://schemas.openxmlformats.org/officeDocument/2006/relationships/oleObject" Target="../embeddings/oleObject138.bin"/><Relationship Id="rId149" Type="http://schemas.openxmlformats.org/officeDocument/2006/relationships/oleObject" Target="../embeddings/oleObject143.bin"/><Relationship Id="rId5" Type="http://schemas.openxmlformats.org/officeDocument/2006/relationships/image" Target="../media/image1.emf"/><Relationship Id="rId90" Type="http://schemas.openxmlformats.org/officeDocument/2006/relationships/oleObject" Target="../embeddings/oleObject84.bin"/><Relationship Id="rId95" Type="http://schemas.openxmlformats.org/officeDocument/2006/relationships/oleObject" Target="../embeddings/oleObject89.bin"/><Relationship Id="rId22" Type="http://schemas.openxmlformats.org/officeDocument/2006/relationships/oleObject" Target="../embeddings/oleObject17.bin"/><Relationship Id="rId27" Type="http://schemas.openxmlformats.org/officeDocument/2006/relationships/oleObject" Target="../embeddings/oleObject22.bin"/><Relationship Id="rId43" Type="http://schemas.openxmlformats.org/officeDocument/2006/relationships/oleObject" Target="../embeddings/oleObject38.bin"/><Relationship Id="rId48" Type="http://schemas.openxmlformats.org/officeDocument/2006/relationships/oleObject" Target="../embeddings/oleObject43.bin"/><Relationship Id="rId64" Type="http://schemas.openxmlformats.org/officeDocument/2006/relationships/oleObject" Target="../embeddings/oleObject59.bin"/><Relationship Id="rId69" Type="http://schemas.openxmlformats.org/officeDocument/2006/relationships/oleObject" Target="../embeddings/oleObject64.bin"/><Relationship Id="rId113" Type="http://schemas.openxmlformats.org/officeDocument/2006/relationships/oleObject" Target="../embeddings/oleObject107.bin"/><Relationship Id="rId118" Type="http://schemas.openxmlformats.org/officeDocument/2006/relationships/oleObject" Target="../embeddings/oleObject112.bin"/><Relationship Id="rId134" Type="http://schemas.openxmlformats.org/officeDocument/2006/relationships/oleObject" Target="../embeddings/oleObject128.bin"/><Relationship Id="rId139" Type="http://schemas.openxmlformats.org/officeDocument/2006/relationships/oleObject" Target="../embeddings/oleObject133.bin"/><Relationship Id="rId80" Type="http://schemas.openxmlformats.org/officeDocument/2006/relationships/oleObject" Target="../embeddings/oleObject75.bin"/><Relationship Id="rId85" Type="http://schemas.openxmlformats.org/officeDocument/2006/relationships/oleObject" Target="../embeddings/oleObject79.bin"/><Relationship Id="rId150" Type="http://schemas.openxmlformats.org/officeDocument/2006/relationships/oleObject" Target="../embeddings/oleObject144.bin"/><Relationship Id="rId12" Type="http://schemas.openxmlformats.org/officeDocument/2006/relationships/oleObject" Target="../embeddings/oleObject7.bin"/><Relationship Id="rId17" Type="http://schemas.openxmlformats.org/officeDocument/2006/relationships/oleObject" Target="../embeddings/oleObject12.bin"/><Relationship Id="rId25" Type="http://schemas.openxmlformats.org/officeDocument/2006/relationships/oleObject" Target="../embeddings/oleObject20.bin"/><Relationship Id="rId33" Type="http://schemas.openxmlformats.org/officeDocument/2006/relationships/oleObject" Target="../embeddings/oleObject28.bin"/><Relationship Id="rId38" Type="http://schemas.openxmlformats.org/officeDocument/2006/relationships/oleObject" Target="../embeddings/oleObject33.bin"/><Relationship Id="rId46" Type="http://schemas.openxmlformats.org/officeDocument/2006/relationships/oleObject" Target="../embeddings/oleObject41.bin"/><Relationship Id="rId59" Type="http://schemas.openxmlformats.org/officeDocument/2006/relationships/oleObject" Target="../embeddings/oleObject54.bin"/><Relationship Id="rId67" Type="http://schemas.openxmlformats.org/officeDocument/2006/relationships/oleObject" Target="../embeddings/oleObject62.bin"/><Relationship Id="rId103" Type="http://schemas.openxmlformats.org/officeDocument/2006/relationships/oleObject" Target="../embeddings/oleObject97.bin"/><Relationship Id="rId108" Type="http://schemas.openxmlformats.org/officeDocument/2006/relationships/oleObject" Target="../embeddings/oleObject102.bin"/><Relationship Id="rId116" Type="http://schemas.openxmlformats.org/officeDocument/2006/relationships/oleObject" Target="../embeddings/oleObject110.bin"/><Relationship Id="rId124" Type="http://schemas.openxmlformats.org/officeDocument/2006/relationships/oleObject" Target="../embeddings/oleObject118.bin"/><Relationship Id="rId129" Type="http://schemas.openxmlformats.org/officeDocument/2006/relationships/oleObject" Target="../embeddings/oleObject123.bin"/><Relationship Id="rId137" Type="http://schemas.openxmlformats.org/officeDocument/2006/relationships/oleObject" Target="../embeddings/oleObject131.bin"/><Relationship Id="rId20" Type="http://schemas.openxmlformats.org/officeDocument/2006/relationships/oleObject" Target="../embeddings/oleObject15.bin"/><Relationship Id="rId41" Type="http://schemas.openxmlformats.org/officeDocument/2006/relationships/oleObject" Target="../embeddings/oleObject36.bin"/><Relationship Id="rId54" Type="http://schemas.openxmlformats.org/officeDocument/2006/relationships/oleObject" Target="../embeddings/oleObject49.bin"/><Relationship Id="rId62" Type="http://schemas.openxmlformats.org/officeDocument/2006/relationships/oleObject" Target="../embeddings/oleObject57.bin"/><Relationship Id="rId70" Type="http://schemas.openxmlformats.org/officeDocument/2006/relationships/oleObject" Target="../embeddings/oleObject65.bin"/><Relationship Id="rId75" Type="http://schemas.openxmlformats.org/officeDocument/2006/relationships/oleObject" Target="../embeddings/oleObject70.bin"/><Relationship Id="rId83" Type="http://schemas.openxmlformats.org/officeDocument/2006/relationships/oleObject" Target="../embeddings/oleObject77.bin"/><Relationship Id="rId88" Type="http://schemas.openxmlformats.org/officeDocument/2006/relationships/oleObject" Target="../embeddings/oleObject82.bin"/><Relationship Id="rId91" Type="http://schemas.openxmlformats.org/officeDocument/2006/relationships/oleObject" Target="../embeddings/oleObject85.bin"/><Relationship Id="rId96" Type="http://schemas.openxmlformats.org/officeDocument/2006/relationships/oleObject" Target="../embeddings/oleObject90.bin"/><Relationship Id="rId111" Type="http://schemas.openxmlformats.org/officeDocument/2006/relationships/oleObject" Target="../embeddings/oleObject105.bin"/><Relationship Id="rId132" Type="http://schemas.openxmlformats.org/officeDocument/2006/relationships/oleObject" Target="../embeddings/oleObject126.bin"/><Relationship Id="rId140" Type="http://schemas.openxmlformats.org/officeDocument/2006/relationships/oleObject" Target="../embeddings/oleObject134.bin"/><Relationship Id="rId145" Type="http://schemas.openxmlformats.org/officeDocument/2006/relationships/oleObject" Target="../embeddings/oleObject139.bin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2.bin"/><Relationship Id="rId15" Type="http://schemas.openxmlformats.org/officeDocument/2006/relationships/oleObject" Target="../embeddings/oleObject10.bin"/><Relationship Id="rId23" Type="http://schemas.openxmlformats.org/officeDocument/2006/relationships/oleObject" Target="../embeddings/oleObject18.bin"/><Relationship Id="rId28" Type="http://schemas.openxmlformats.org/officeDocument/2006/relationships/oleObject" Target="../embeddings/oleObject23.bin"/><Relationship Id="rId36" Type="http://schemas.openxmlformats.org/officeDocument/2006/relationships/oleObject" Target="../embeddings/oleObject31.bin"/><Relationship Id="rId49" Type="http://schemas.openxmlformats.org/officeDocument/2006/relationships/oleObject" Target="../embeddings/oleObject44.bin"/><Relationship Id="rId57" Type="http://schemas.openxmlformats.org/officeDocument/2006/relationships/oleObject" Target="../embeddings/oleObject52.bin"/><Relationship Id="rId106" Type="http://schemas.openxmlformats.org/officeDocument/2006/relationships/oleObject" Target="../embeddings/oleObject100.bin"/><Relationship Id="rId114" Type="http://schemas.openxmlformats.org/officeDocument/2006/relationships/oleObject" Target="../embeddings/oleObject108.bin"/><Relationship Id="rId119" Type="http://schemas.openxmlformats.org/officeDocument/2006/relationships/oleObject" Target="../embeddings/oleObject113.bin"/><Relationship Id="rId127" Type="http://schemas.openxmlformats.org/officeDocument/2006/relationships/oleObject" Target="../embeddings/oleObject121.bin"/><Relationship Id="rId10" Type="http://schemas.openxmlformats.org/officeDocument/2006/relationships/oleObject" Target="../embeddings/oleObject5.bin"/><Relationship Id="rId31" Type="http://schemas.openxmlformats.org/officeDocument/2006/relationships/oleObject" Target="../embeddings/oleObject26.bin"/><Relationship Id="rId44" Type="http://schemas.openxmlformats.org/officeDocument/2006/relationships/oleObject" Target="../embeddings/oleObject39.bin"/><Relationship Id="rId52" Type="http://schemas.openxmlformats.org/officeDocument/2006/relationships/oleObject" Target="../embeddings/oleObject47.bin"/><Relationship Id="rId60" Type="http://schemas.openxmlformats.org/officeDocument/2006/relationships/oleObject" Target="../embeddings/oleObject55.bin"/><Relationship Id="rId65" Type="http://schemas.openxmlformats.org/officeDocument/2006/relationships/oleObject" Target="../embeddings/oleObject60.bin"/><Relationship Id="rId73" Type="http://schemas.openxmlformats.org/officeDocument/2006/relationships/oleObject" Target="../embeddings/oleObject68.bin"/><Relationship Id="rId78" Type="http://schemas.openxmlformats.org/officeDocument/2006/relationships/oleObject" Target="../embeddings/oleObject73.bin"/><Relationship Id="rId81" Type="http://schemas.openxmlformats.org/officeDocument/2006/relationships/oleObject" Target="../embeddings/oleObject76.bin"/><Relationship Id="rId86" Type="http://schemas.openxmlformats.org/officeDocument/2006/relationships/oleObject" Target="../embeddings/oleObject80.bin"/><Relationship Id="rId94" Type="http://schemas.openxmlformats.org/officeDocument/2006/relationships/oleObject" Target="../embeddings/oleObject88.bin"/><Relationship Id="rId99" Type="http://schemas.openxmlformats.org/officeDocument/2006/relationships/oleObject" Target="../embeddings/oleObject93.bin"/><Relationship Id="rId101" Type="http://schemas.openxmlformats.org/officeDocument/2006/relationships/oleObject" Target="../embeddings/oleObject95.bin"/><Relationship Id="rId122" Type="http://schemas.openxmlformats.org/officeDocument/2006/relationships/oleObject" Target="../embeddings/oleObject116.bin"/><Relationship Id="rId130" Type="http://schemas.openxmlformats.org/officeDocument/2006/relationships/oleObject" Target="../embeddings/oleObject124.bin"/><Relationship Id="rId135" Type="http://schemas.openxmlformats.org/officeDocument/2006/relationships/oleObject" Target="../embeddings/oleObject129.bin"/><Relationship Id="rId143" Type="http://schemas.openxmlformats.org/officeDocument/2006/relationships/oleObject" Target="../embeddings/oleObject137.bin"/><Relationship Id="rId148" Type="http://schemas.openxmlformats.org/officeDocument/2006/relationships/oleObject" Target="../embeddings/oleObject142.bin"/><Relationship Id="rId151" Type="http://schemas.openxmlformats.org/officeDocument/2006/relationships/oleObject" Target="../embeddings/oleObject145.bin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4.bin"/><Relationship Id="rId13" Type="http://schemas.openxmlformats.org/officeDocument/2006/relationships/oleObject" Target="../embeddings/oleObject8.bin"/><Relationship Id="rId18" Type="http://schemas.openxmlformats.org/officeDocument/2006/relationships/oleObject" Target="../embeddings/oleObject13.bin"/><Relationship Id="rId39" Type="http://schemas.openxmlformats.org/officeDocument/2006/relationships/oleObject" Target="../embeddings/oleObject34.bin"/><Relationship Id="rId109" Type="http://schemas.openxmlformats.org/officeDocument/2006/relationships/oleObject" Target="../embeddings/oleObject103.bin"/><Relationship Id="rId34" Type="http://schemas.openxmlformats.org/officeDocument/2006/relationships/oleObject" Target="../embeddings/oleObject29.bin"/><Relationship Id="rId50" Type="http://schemas.openxmlformats.org/officeDocument/2006/relationships/oleObject" Target="../embeddings/oleObject45.bin"/><Relationship Id="rId55" Type="http://schemas.openxmlformats.org/officeDocument/2006/relationships/oleObject" Target="../embeddings/oleObject50.bin"/><Relationship Id="rId76" Type="http://schemas.openxmlformats.org/officeDocument/2006/relationships/oleObject" Target="../embeddings/oleObject71.bin"/><Relationship Id="rId97" Type="http://schemas.openxmlformats.org/officeDocument/2006/relationships/oleObject" Target="../embeddings/oleObject91.bin"/><Relationship Id="rId104" Type="http://schemas.openxmlformats.org/officeDocument/2006/relationships/oleObject" Target="../embeddings/oleObject98.bin"/><Relationship Id="rId120" Type="http://schemas.openxmlformats.org/officeDocument/2006/relationships/oleObject" Target="../embeddings/oleObject114.bin"/><Relationship Id="rId125" Type="http://schemas.openxmlformats.org/officeDocument/2006/relationships/oleObject" Target="../embeddings/oleObject119.bin"/><Relationship Id="rId141" Type="http://schemas.openxmlformats.org/officeDocument/2006/relationships/oleObject" Target="../embeddings/oleObject135.bin"/><Relationship Id="rId146" Type="http://schemas.openxmlformats.org/officeDocument/2006/relationships/oleObject" Target="../embeddings/oleObject140.bin"/><Relationship Id="rId7" Type="http://schemas.openxmlformats.org/officeDocument/2006/relationships/image" Target="../media/image2.emf"/><Relationship Id="rId71" Type="http://schemas.openxmlformats.org/officeDocument/2006/relationships/oleObject" Target="../embeddings/oleObject66.bin"/><Relationship Id="rId92" Type="http://schemas.openxmlformats.org/officeDocument/2006/relationships/oleObject" Target="../embeddings/oleObject86.bin"/><Relationship Id="rId2" Type="http://schemas.openxmlformats.org/officeDocument/2006/relationships/drawing" Target="../drawings/drawing1.xml"/><Relationship Id="rId29" Type="http://schemas.openxmlformats.org/officeDocument/2006/relationships/oleObject" Target="../embeddings/oleObject24.bin"/><Relationship Id="rId24" Type="http://schemas.openxmlformats.org/officeDocument/2006/relationships/oleObject" Target="../embeddings/oleObject19.bin"/><Relationship Id="rId40" Type="http://schemas.openxmlformats.org/officeDocument/2006/relationships/oleObject" Target="../embeddings/oleObject35.bin"/><Relationship Id="rId45" Type="http://schemas.openxmlformats.org/officeDocument/2006/relationships/oleObject" Target="../embeddings/oleObject40.bin"/><Relationship Id="rId66" Type="http://schemas.openxmlformats.org/officeDocument/2006/relationships/oleObject" Target="../embeddings/oleObject61.bin"/><Relationship Id="rId87" Type="http://schemas.openxmlformats.org/officeDocument/2006/relationships/oleObject" Target="../embeddings/oleObject81.bin"/><Relationship Id="rId110" Type="http://schemas.openxmlformats.org/officeDocument/2006/relationships/oleObject" Target="../embeddings/oleObject104.bin"/><Relationship Id="rId115" Type="http://schemas.openxmlformats.org/officeDocument/2006/relationships/oleObject" Target="../embeddings/oleObject109.bin"/><Relationship Id="rId131" Type="http://schemas.openxmlformats.org/officeDocument/2006/relationships/oleObject" Target="../embeddings/oleObject125.bin"/><Relationship Id="rId136" Type="http://schemas.openxmlformats.org/officeDocument/2006/relationships/oleObject" Target="../embeddings/oleObject130.bin"/><Relationship Id="rId61" Type="http://schemas.openxmlformats.org/officeDocument/2006/relationships/oleObject" Target="../embeddings/oleObject56.bin"/><Relationship Id="rId82" Type="http://schemas.openxmlformats.org/officeDocument/2006/relationships/image" Target="../media/image3.emf"/><Relationship Id="rId152" Type="http://schemas.openxmlformats.org/officeDocument/2006/relationships/oleObject" Target="../embeddings/oleObject146.bin"/><Relationship Id="rId19" Type="http://schemas.openxmlformats.org/officeDocument/2006/relationships/oleObject" Target="../embeddings/oleObject14.bin"/><Relationship Id="rId14" Type="http://schemas.openxmlformats.org/officeDocument/2006/relationships/oleObject" Target="../embeddings/oleObject9.bin"/><Relationship Id="rId30" Type="http://schemas.openxmlformats.org/officeDocument/2006/relationships/oleObject" Target="../embeddings/oleObject25.bin"/><Relationship Id="rId35" Type="http://schemas.openxmlformats.org/officeDocument/2006/relationships/oleObject" Target="../embeddings/oleObject30.bin"/><Relationship Id="rId56" Type="http://schemas.openxmlformats.org/officeDocument/2006/relationships/oleObject" Target="../embeddings/oleObject51.bin"/><Relationship Id="rId77" Type="http://schemas.openxmlformats.org/officeDocument/2006/relationships/oleObject" Target="../embeddings/oleObject72.bin"/><Relationship Id="rId100" Type="http://schemas.openxmlformats.org/officeDocument/2006/relationships/oleObject" Target="../embeddings/oleObject94.bin"/><Relationship Id="rId105" Type="http://schemas.openxmlformats.org/officeDocument/2006/relationships/oleObject" Target="../embeddings/oleObject99.bin"/><Relationship Id="rId126" Type="http://schemas.openxmlformats.org/officeDocument/2006/relationships/oleObject" Target="../embeddings/oleObject120.bin"/><Relationship Id="rId147" Type="http://schemas.openxmlformats.org/officeDocument/2006/relationships/oleObject" Target="../embeddings/oleObject141.bin"/><Relationship Id="rId8" Type="http://schemas.openxmlformats.org/officeDocument/2006/relationships/oleObject" Target="../embeddings/oleObject3.bin"/><Relationship Id="rId51" Type="http://schemas.openxmlformats.org/officeDocument/2006/relationships/oleObject" Target="../embeddings/oleObject46.bin"/><Relationship Id="rId72" Type="http://schemas.openxmlformats.org/officeDocument/2006/relationships/oleObject" Target="../embeddings/oleObject67.bin"/><Relationship Id="rId93" Type="http://schemas.openxmlformats.org/officeDocument/2006/relationships/oleObject" Target="../embeddings/oleObject87.bin"/><Relationship Id="rId98" Type="http://schemas.openxmlformats.org/officeDocument/2006/relationships/oleObject" Target="../embeddings/oleObject92.bin"/><Relationship Id="rId121" Type="http://schemas.openxmlformats.org/officeDocument/2006/relationships/oleObject" Target="../embeddings/oleObject115.bin"/><Relationship Id="rId142" Type="http://schemas.openxmlformats.org/officeDocument/2006/relationships/oleObject" Target="../embeddings/oleObject136.bin"/><Relationship Id="rId3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3" x14ac:dyDescent="0.4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3"/>
    <pageSetUpPr fitToPage="1"/>
  </sheetPr>
  <dimension ref="A1:L33"/>
  <sheetViews>
    <sheetView showGridLines="0" showRowColHeaders="0" showOutlineSymbols="0" zoomScale="80" zoomScaleNormal="80" workbookViewId="0">
      <selection sqref="A1:L2"/>
    </sheetView>
  </sheetViews>
  <sheetFormatPr defaultColWidth="18.71875" defaultRowHeight="13" customHeight="1" x14ac:dyDescent="0.4"/>
  <cols>
    <col min="1" max="1" width="22.71875" customWidth="1"/>
    <col min="2" max="2" width="30.71875" customWidth="1"/>
    <col min="3" max="3" width="5.83203125" customWidth="1"/>
    <col min="4" max="4" width="22.71875" customWidth="1"/>
    <col min="5" max="5" width="15.71875" customWidth="1"/>
    <col min="6" max="6" width="0.83203125" customWidth="1"/>
    <col min="7" max="7" width="15.83203125" customWidth="1"/>
    <col min="8" max="8" width="19.83203125" customWidth="1"/>
    <col min="9" max="9" width="22.71875" customWidth="1"/>
    <col min="10" max="10" width="21.71875" customWidth="1"/>
    <col min="11" max="11" width="14.5546875" customWidth="1"/>
    <col min="12" max="12" width="22.71875" customWidth="1"/>
  </cols>
  <sheetData>
    <row r="1" spans="1:12" ht="12.75" customHeight="1" x14ac:dyDescent="0.4">
      <c r="A1" s="1017" t="s">
        <v>294</v>
      </c>
      <c r="B1" s="1017"/>
      <c r="C1" s="1017"/>
      <c r="D1" s="1017"/>
      <c r="E1" s="1017"/>
      <c r="F1" s="1017"/>
      <c r="G1" s="1017"/>
      <c r="H1" s="1017"/>
      <c r="I1" s="1017"/>
      <c r="J1" s="1017"/>
      <c r="K1" s="1017"/>
      <c r="L1" s="1017"/>
    </row>
    <row r="2" spans="1:12" ht="13.5" customHeight="1" x14ac:dyDescent="0.4">
      <c r="A2" s="1017"/>
      <c r="B2" s="1017"/>
      <c r="C2" s="1017"/>
      <c r="D2" s="1017"/>
      <c r="E2" s="1017"/>
      <c r="F2" s="1017"/>
      <c r="G2" s="1017"/>
      <c r="H2" s="1017"/>
      <c r="I2" s="1017"/>
      <c r="J2" s="1017"/>
      <c r="K2" s="1017"/>
      <c r="L2" s="1017"/>
    </row>
    <row r="3" spans="1:12" s="128" customFormat="1" ht="6" customHeight="1" thickBot="1" x14ac:dyDescent="0.45">
      <c r="A3" s="1018"/>
      <c r="B3" s="1019"/>
      <c r="C3" s="159"/>
      <c r="D3" s="1020"/>
      <c r="E3" s="1019"/>
      <c r="F3" s="159"/>
      <c r="G3" s="127"/>
      <c r="H3" s="159"/>
      <c r="I3" s="159"/>
    </row>
    <row r="4" spans="1:12" ht="16" customHeight="1" thickBot="1" x14ac:dyDescent="0.45">
      <c r="A4" s="1021">
        <f>IF(AND(B!B11&gt;3,OR(B!B4&lt;&gt;0,B!A8&lt;&gt;"&amp;")),CONCATENATE(B!$A$4," / ",B!$B$4),IF(OR(B!$A$4="",B!$A$4="Sourcecode"),0,B!$A$4))</f>
        <v>0</v>
      </c>
      <c r="B4" s="1022"/>
      <c r="C4" s="47"/>
      <c r="D4" s="559" t="s">
        <v>293</v>
      </c>
      <c r="E4" s="518">
        <f>B!$A$1</f>
        <v>0</v>
      </c>
      <c r="G4" s="4">
        <f>IF(B9&gt;=42278,'VERIFY TASK'!G2,IF(AND(B9&lt;42278,B!A10="PR"),3,2))</f>
        <v>2</v>
      </c>
      <c r="H4" s="566" t="s">
        <v>292</v>
      </c>
      <c r="I4" s="377">
        <f>B!D4</f>
        <v>0</v>
      </c>
      <c r="J4" s="567" t="s">
        <v>291</v>
      </c>
      <c r="K4" s="519">
        <f>IF($G$4=3,TPOrder!$G$11,B!$D$5)</f>
        <v>0</v>
      </c>
      <c r="L4" s="568" t="s">
        <v>549</v>
      </c>
    </row>
    <row r="5" spans="1:12" s="128" customFormat="1" ht="16" customHeight="1" x14ac:dyDescent="0.4">
      <c r="A5" s="1023">
        <f>B!$A$8</f>
        <v>0</v>
      </c>
      <c r="B5" s="1024"/>
      <c r="C5" s="159"/>
      <c r="D5" s="557" t="s">
        <v>289</v>
      </c>
      <c r="E5" s="520">
        <f>B!$B$1</f>
        <v>0</v>
      </c>
      <c r="G5" s="127"/>
      <c r="H5" s="169"/>
      <c r="I5" s="159"/>
      <c r="J5" s="159"/>
      <c r="K5" s="159"/>
      <c r="L5" s="167">
        <f>B!G14</f>
        <v>0</v>
      </c>
    </row>
    <row r="6" spans="1:12" ht="16" customHeight="1" x14ac:dyDescent="0.4">
      <c r="A6" s="557" t="s">
        <v>288</v>
      </c>
      <c r="B6" s="438">
        <f>IF(B!$A$5="Sourcecode",0,B!$A$5)</f>
        <v>0</v>
      </c>
      <c r="C6" s="195"/>
      <c r="D6" s="557" t="s">
        <v>287</v>
      </c>
      <c r="E6" s="521">
        <f>B!$B$12</f>
        <v>0</v>
      </c>
      <c r="G6" s="4"/>
      <c r="H6" s="194"/>
      <c r="I6" s="561" t="s">
        <v>286</v>
      </c>
      <c r="J6" s="561" t="s">
        <v>285</v>
      </c>
      <c r="K6" s="159"/>
      <c r="L6" s="522">
        <f>IF($G$4=3,B!G15,B!H14)</f>
        <v>0</v>
      </c>
    </row>
    <row r="7" spans="1:12" s="128" customFormat="1" ht="16" customHeight="1" thickBot="1" x14ac:dyDescent="0.45">
      <c r="A7" s="193" t="str">
        <f>IF(OR(B!D13=4,Worksheet!$N$5="Written",Worksheet!$N$5="Free-W"),B!$A$9,"")</f>
        <v/>
      </c>
      <c r="B7" s="192" t="str">
        <f>IF(OR(B!D13=4,Worksheet!$N$5="Written",Worksheet!$N$5="Free-W"),B!$B$9,"")</f>
        <v/>
      </c>
      <c r="C7" s="159"/>
      <c r="D7" s="557" t="s">
        <v>284</v>
      </c>
      <c r="E7" s="562" t="s">
        <v>283</v>
      </c>
      <c r="G7" s="127"/>
      <c r="H7" s="169"/>
      <c r="I7" s="189">
        <f>B!$F$4</f>
        <v>0</v>
      </c>
      <c r="J7" s="523">
        <f>B!$G$4</f>
        <v>0</v>
      </c>
      <c r="K7" s="159"/>
      <c r="L7" s="191"/>
    </row>
    <row r="8" spans="1:12" s="128" customFormat="1" ht="16" customHeight="1" thickBot="1" x14ac:dyDescent="0.45">
      <c r="A8" s="557" t="s">
        <v>282</v>
      </c>
      <c r="B8" s="520">
        <f>IF(B!$B$5="Sourcecode",0,B!$B$5)</f>
        <v>0</v>
      </c>
      <c r="C8" s="159"/>
      <c r="D8" s="524">
        <f>B!$I$8</f>
        <v>0</v>
      </c>
      <c r="E8" s="520">
        <f>IF($G$4=3,B!J8,B!$I$7)</f>
        <v>0</v>
      </c>
      <c r="G8" s="127"/>
      <c r="H8" s="169"/>
      <c r="I8" s="561" t="s">
        <v>281</v>
      </c>
      <c r="J8" s="561" t="s">
        <v>280</v>
      </c>
      <c r="K8" s="159"/>
      <c r="L8" s="569" t="s">
        <v>485</v>
      </c>
    </row>
    <row r="9" spans="1:12" ht="16" customHeight="1" thickBot="1" x14ac:dyDescent="0.45">
      <c r="A9" s="557" t="s">
        <v>279</v>
      </c>
      <c r="B9" s="521">
        <f>B!$A$2</f>
        <v>0</v>
      </c>
      <c r="C9" s="48"/>
      <c r="D9" s="557" t="s">
        <v>278</v>
      </c>
      <c r="E9" s="562" t="s">
        <v>277</v>
      </c>
      <c r="G9" s="4"/>
      <c r="H9" s="190"/>
      <c r="I9" s="525">
        <f>B!$F$5</f>
        <v>0</v>
      </c>
      <c r="J9" s="526">
        <f>B!$G$5</f>
        <v>0</v>
      </c>
      <c r="K9" s="187"/>
      <c r="L9" s="563" t="s">
        <v>486</v>
      </c>
    </row>
    <row r="10" spans="1:12" ht="16" customHeight="1" thickBot="1" x14ac:dyDescent="0.45">
      <c r="A10" s="557" t="s">
        <v>276</v>
      </c>
      <c r="B10" s="527">
        <f>B!$B$11</f>
        <v>0</v>
      </c>
      <c r="C10" s="48"/>
      <c r="D10" s="524">
        <f>B!$I$5</f>
        <v>0</v>
      </c>
      <c r="E10" s="520">
        <f>IF($G$4=3,B!J5,B!$I$4)</f>
        <v>0</v>
      </c>
      <c r="G10" s="4"/>
      <c r="H10" s="128"/>
      <c r="I10" s="128"/>
      <c r="J10" s="128"/>
      <c r="K10" s="128"/>
      <c r="L10" s="167">
        <f>B!$I$11</f>
        <v>0</v>
      </c>
    </row>
    <row r="11" spans="1:12" s="128" customFormat="1" ht="16" customHeight="1" thickBot="1" x14ac:dyDescent="0.45">
      <c r="A11" s="558" t="s">
        <v>275</v>
      </c>
      <c r="B11" s="528">
        <f>B!$B$2</f>
        <v>0</v>
      </c>
      <c r="C11" s="169"/>
      <c r="D11" s="1029" t="s">
        <v>274</v>
      </c>
      <c r="E11" s="1030"/>
      <c r="G11" s="127"/>
      <c r="H11" s="809" t="s">
        <v>491</v>
      </c>
      <c r="I11" s="377">
        <f>TPOrder!DT1</f>
        <v>0</v>
      </c>
      <c r="J11" s="807" t="s">
        <v>273</v>
      </c>
      <c r="K11" s="529">
        <f>TPOrder!DW1</f>
        <v>0</v>
      </c>
      <c r="L11" s="175">
        <f>B!$I$12</f>
        <v>0</v>
      </c>
    </row>
    <row r="12" spans="1:12" s="128" customFormat="1" ht="16" customHeight="1" thickBot="1" x14ac:dyDescent="0.45">
      <c r="C12" s="159"/>
      <c r="D12" s="441">
        <f>B!$I$2</f>
        <v>0</v>
      </c>
      <c r="E12" s="528">
        <f>IF($G$4=3,B!J2,B!$I$1)</f>
        <v>0</v>
      </c>
      <c r="G12" s="127"/>
      <c r="H12" s="810" t="s">
        <v>492</v>
      </c>
      <c r="I12" s="377">
        <f>TPOrder!DT2</f>
        <v>0</v>
      </c>
      <c r="J12" s="808" t="s">
        <v>272</v>
      </c>
      <c r="K12" s="519">
        <f>IF($G$4=3,TPOrder!DX2,TPOrder!DW2)</f>
        <v>0</v>
      </c>
      <c r="L12" s="175">
        <f>B!$I$13</f>
        <v>0</v>
      </c>
    </row>
    <row r="13" spans="1:12" s="128" customFormat="1" ht="16" customHeight="1" thickBot="1" x14ac:dyDescent="0.45">
      <c r="A13" s="1031" t="s">
        <v>271</v>
      </c>
      <c r="B13" s="1032"/>
      <c r="C13" s="188"/>
      <c r="D13" s="187"/>
      <c r="G13" s="186"/>
      <c r="H13" s="185"/>
      <c r="I13" s="184"/>
      <c r="J13" s="184"/>
      <c r="K13" s="183"/>
      <c r="L13" s="522">
        <f>IF($G$4=3,B!I15,B!$I$14)</f>
        <v>0</v>
      </c>
    </row>
    <row r="14" spans="1:12" s="128" customFormat="1" ht="16" customHeight="1" thickBot="1" x14ac:dyDescent="0.45">
      <c r="A14" s="1033">
        <f>IF(OR(B!D13=5,Worksheet!N5="Free-E",Worksheet!N5="Free-W"),"Free",IF(AND(B!$A$14=0,A4=0=FALSE,B6=0=FALSE,B8=0=FALSE,Worksheet!N5="electronic"),"Electronic, no task",B!$A$14))</f>
        <v>0</v>
      </c>
      <c r="B14" s="1034"/>
      <c r="C14" s="182"/>
      <c r="D14" s="563" t="s">
        <v>270</v>
      </c>
      <c r="E14" s="180">
        <f>IF(AND(B!B14&lt;&gt;"None",B!B14&gt;1),B!$D$12,9999)</f>
        <v>9999</v>
      </c>
      <c r="G14" s="179" t="s">
        <v>269</v>
      </c>
      <c r="H14" s="439" t="str">
        <f>IF(AND(B!$G$6&gt;0,B!$G$6&lt;B!$G$10),"MGFini","Landing")</f>
        <v>Landing</v>
      </c>
      <c r="I14" s="377">
        <f>IF(H14="MGFini",SUMMARY!H$20,SUMMARY!$J$20)</f>
        <v>0</v>
      </c>
      <c r="J14" s="578" t="s">
        <v>268</v>
      </c>
      <c r="K14" s="378">
        <f>K20</f>
        <v>0</v>
      </c>
      <c r="L14" s="563" t="s">
        <v>487</v>
      </c>
    </row>
    <row r="15" spans="1:12" s="128" customFormat="1" ht="16" customHeight="1" thickBot="1" x14ac:dyDescent="0.45">
      <c r="A15" s="178"/>
      <c r="B15" s="159"/>
      <c r="C15" s="159"/>
      <c r="D15" s="1027" t="s">
        <v>267</v>
      </c>
      <c r="E15" s="1035"/>
      <c r="G15" s="137"/>
      <c r="H15" s="185"/>
      <c r="I15" s="561" t="s">
        <v>266</v>
      </c>
      <c r="J15" s="561" t="s">
        <v>265</v>
      </c>
      <c r="K15" s="183"/>
      <c r="L15" s="167">
        <f>B!$J$11</f>
        <v>0</v>
      </c>
    </row>
    <row r="16" spans="1:12" ht="16" customHeight="1" x14ac:dyDescent="0.4">
      <c r="A16" s="559" t="s">
        <v>264</v>
      </c>
      <c r="B16" s="560" t="s">
        <v>263</v>
      </c>
      <c r="C16" s="48"/>
      <c r="D16" s="564" t="s">
        <v>262</v>
      </c>
      <c r="E16" s="530">
        <f>IF(B!D13=5,"CU TP1",IF(B!$I$22=1,B!$G$22,IF(B!$I$22=2,B!$G$24,IF(B!$I$22=3,B!$G$26,B!$G$22))))</f>
        <v>0</v>
      </c>
      <c r="G16" s="25"/>
      <c r="H16" s="177"/>
      <c r="I16" s="139">
        <f>IF(H14="MGFini",H22,J22)</f>
        <v>0</v>
      </c>
      <c r="J16" s="523">
        <f>IF(H14="MGFini",I22,K22)</f>
        <v>0</v>
      </c>
      <c r="K16" s="176"/>
      <c r="L16" s="175">
        <f>B!$J$12</f>
        <v>0</v>
      </c>
    </row>
    <row r="17" spans="1:12" ht="16" customHeight="1" thickBot="1" x14ac:dyDescent="0.45">
      <c r="A17" s="441">
        <f>B!$G$1</f>
        <v>0</v>
      </c>
      <c r="B17" s="531">
        <f>B!$D$1</f>
        <v>0</v>
      </c>
      <c r="C17" s="48"/>
      <c r="D17" s="561" t="s">
        <v>261</v>
      </c>
      <c r="E17" s="565" t="s">
        <v>260</v>
      </c>
      <c r="G17" s="66"/>
      <c r="H17" s="532"/>
      <c r="I17" s="561" t="s">
        <v>259</v>
      </c>
      <c r="J17" s="561" t="s">
        <v>258</v>
      </c>
      <c r="K17" s="176"/>
      <c r="L17" s="175">
        <f>B!$J$13</f>
        <v>0</v>
      </c>
    </row>
    <row r="18" spans="1:12" s="128" customFormat="1" ht="16" customHeight="1" thickBot="1" x14ac:dyDescent="0.45">
      <c r="A18" s="174"/>
      <c r="B18" s="173"/>
      <c r="C18" s="159"/>
      <c r="D18" s="189">
        <f>IF(B!$I$22=1,B!$A$22,IF(B!$I$22=2,B!$A$24,IF(B!$I$22=3,B!$A$26,B!$A$22)))</f>
        <v>0</v>
      </c>
      <c r="E18" s="172">
        <f>IF(B!$I$22=1,B!$B$22,IF(B!$I$22=2,B!$B$24,IF(B!$I$22=3,B!$B$26,B!$B$22)))</f>
        <v>0</v>
      </c>
      <c r="F18" s="168"/>
      <c r="G18" s="134"/>
      <c r="H18" s="533"/>
      <c r="I18" s="534">
        <f>IF(H14="MGFini",H23,J23)</f>
        <v>0</v>
      </c>
      <c r="J18" s="534">
        <f>IF(H14="MGFini",I23,K23)</f>
        <v>0</v>
      </c>
      <c r="K18" s="535"/>
      <c r="L18" s="536">
        <f>IF($G$4=3,B!J15,B!$J$14)</f>
        <v>0</v>
      </c>
    </row>
    <row r="19" spans="1:12" s="128" customFormat="1" ht="16" customHeight="1" thickBot="1" x14ac:dyDescent="0.45">
      <c r="A19" s="557" t="s">
        <v>257</v>
      </c>
      <c r="B19" s="165" t="str">
        <f>IF(B!A14=0,"NO TASK",IF(OR(Worksheet!N5="Free-E",Worksheet!N5="Free-W",AND(A14&gt;0,SUMMARY!A14&lt;=$A$17),A14="Free"),"YES","NO"))</f>
        <v>NO TASK</v>
      </c>
      <c r="C19" s="159"/>
      <c r="D19" s="561" t="s">
        <v>256</v>
      </c>
      <c r="E19" s="565" t="s">
        <v>255</v>
      </c>
      <c r="F19" s="168"/>
      <c r="G19" s="171"/>
      <c r="H19" s="1025" t="s">
        <v>254</v>
      </c>
      <c r="I19" s="1036"/>
      <c r="J19" s="1025" t="s">
        <v>253</v>
      </c>
      <c r="K19" s="1026"/>
      <c r="L19" s="170" t="str">
        <f>IF(B!$G$10&gt;B!$G$13,"After Sunset",IF(B!G18&lt;B!G17,"Before Sunrise",""))</f>
        <v/>
      </c>
    </row>
    <row r="20" spans="1:12" s="128" customFormat="1" ht="16" customHeight="1" x14ac:dyDescent="0.4">
      <c r="A20" s="557" t="s">
        <v>252</v>
      </c>
      <c r="B20" s="165" t="str">
        <f>IF(OR(AND(H30&gt;1,OR(A14=0,B!$B$14&gt;3)),AND(B!$A$22=0=FALSE,B!$B$14=0),AND(B!$A$24=0=FALSE,B!$B$14&lt;2),AND(B!$B$26&gt;0,B!$B$14&lt;3)),"NO","YES")</f>
        <v>YES</v>
      </c>
      <c r="C20" s="159"/>
      <c r="D20" s="189">
        <f>IF(B!$I$22=1,B!$D$22,IF(B!$I$22=2,B!$D$24,IF(B!$I$22=3,B!$D$26,B!$D$22)))</f>
        <v>0</v>
      </c>
      <c r="E20" s="172">
        <f>IF(B!$I$22=1,B!$E$22,IF(B!$I$22=2,B!$E$24,IF(B!$I$22=3,B!$E$26,B!$E$22)))</f>
        <v>0</v>
      </c>
      <c r="F20" s="168"/>
      <c r="H20" s="377">
        <f>B!$G$6</f>
        <v>0</v>
      </c>
      <c r="I20" s="537">
        <f>B!$G$7</f>
        <v>0</v>
      </c>
      <c r="J20" s="377">
        <f>B!$G$10</f>
        <v>0</v>
      </c>
      <c r="K20" s="538">
        <f>IF($G$4=3,B!J30,B!$D$8)</f>
        <v>0</v>
      </c>
      <c r="L20" s="570" t="s">
        <v>550</v>
      </c>
    </row>
    <row r="21" spans="1:12" s="128" customFormat="1" ht="6" customHeight="1" thickBot="1" x14ac:dyDescent="0.45">
      <c r="A21" s="169"/>
      <c r="B21" s="133"/>
      <c r="C21" s="159"/>
      <c r="D21" s="159"/>
      <c r="E21" s="539"/>
      <c r="F21" s="168"/>
      <c r="G21"/>
      <c r="H21" s="169"/>
      <c r="I21" s="539"/>
      <c r="J21" s="178"/>
      <c r="K21" s="540"/>
      <c r="L21" s="197"/>
    </row>
    <row r="22" spans="1:12" s="128" customFormat="1" ht="16" customHeight="1" x14ac:dyDescent="0.4">
      <c r="A22" s="557" t="s">
        <v>251</v>
      </c>
      <c r="B22" s="189">
        <f>IF(B!D13=5,"CU Start",B!$G$20)</f>
        <v>0</v>
      </c>
      <c r="C22" s="159"/>
      <c r="D22" s="561" t="s">
        <v>250</v>
      </c>
      <c r="E22" s="520">
        <f>IF(B!D13=5,"CU TP2",IF(B!$I$24=1,B!$G$22,IF(B!$I$24=2,B!$G$24,IF(B!$I$24=3,B!$G$26,B!$G$24))))</f>
        <v>0</v>
      </c>
      <c r="G22"/>
      <c r="H22" s="437">
        <f>B!$F$8</f>
        <v>0</v>
      </c>
      <c r="I22" s="541">
        <f>B!$G$8</f>
        <v>0</v>
      </c>
      <c r="J22" s="437">
        <f>B!$F$11</f>
        <v>0</v>
      </c>
      <c r="K22" s="542">
        <f>B!$G$11</f>
        <v>0</v>
      </c>
      <c r="L22" s="167">
        <f>B!G16</f>
        <v>0</v>
      </c>
    </row>
    <row r="23" spans="1:12" ht="16" customHeight="1" thickBot="1" x14ac:dyDescent="0.45">
      <c r="A23" s="557" t="s">
        <v>249</v>
      </c>
      <c r="B23" s="561" t="s">
        <v>248</v>
      </c>
      <c r="C23" s="48"/>
      <c r="D23" s="561" t="s">
        <v>247</v>
      </c>
      <c r="E23" s="562" t="s">
        <v>246</v>
      </c>
      <c r="H23" s="442">
        <f>B!$F$9</f>
        <v>0</v>
      </c>
      <c r="I23" s="543">
        <f>B!$G$9</f>
        <v>0</v>
      </c>
      <c r="J23" s="442">
        <f>B!$F$12</f>
        <v>0</v>
      </c>
      <c r="K23" s="544">
        <f>B!$G$12</f>
        <v>0</v>
      </c>
      <c r="L23" s="836">
        <f>IF($G$4=3,B!H15,B!H16)</f>
        <v>0</v>
      </c>
    </row>
    <row r="24" spans="1:12" ht="16" customHeight="1" thickBot="1" x14ac:dyDescent="0.45">
      <c r="A24" s="437">
        <f>IF(B22="Release",I7,B!$A$20)</f>
        <v>0</v>
      </c>
      <c r="B24" s="523">
        <f>IF(B22="Release",J7,B!$B$20)</f>
        <v>0</v>
      </c>
      <c r="C24" s="48"/>
      <c r="D24" s="189">
        <f>IF(B!$I$24=1,B!$A$22,IF(B!$I$24=2,B!$A$24,IF(B!$I$24=3,B!$A$26,B!$A$24)))</f>
        <v>0</v>
      </c>
      <c r="E24" s="172">
        <f>IF(B!$I$24=1,B!$B$22,IF(B!$I$24=2,B!$B$24,IF(B!$I$24=3,B!$B$26,B!$B$24)))</f>
        <v>0</v>
      </c>
      <c r="G24" s="572" t="s">
        <v>245</v>
      </c>
      <c r="H24" s="443" t="str">
        <f>IF(D8-A17&lt;I14-D8,"Takeoff","Landing")</f>
        <v>Landing</v>
      </c>
      <c r="I24" s="572" t="s">
        <v>244</v>
      </c>
      <c r="J24" s="545" t="str">
        <f>IF(D10-A17&lt;I14-D10,"Takeoff","Landing")</f>
        <v>Landing</v>
      </c>
      <c r="K24" s="546" t="str">
        <f>IF(H24=J24,"B1 or B2", "B1/B2")</f>
        <v>B1 or B2</v>
      </c>
      <c r="L24" s="820"/>
    </row>
    <row r="25" spans="1:12" ht="16" customHeight="1" thickBot="1" x14ac:dyDescent="0.45">
      <c r="A25" s="557" t="s">
        <v>243</v>
      </c>
      <c r="B25" s="561" t="s">
        <v>242</v>
      </c>
      <c r="C25" s="48"/>
      <c r="D25" s="561" t="s">
        <v>241</v>
      </c>
      <c r="E25" s="562" t="s">
        <v>240</v>
      </c>
      <c r="G25" s="573" t="s">
        <v>239</v>
      </c>
      <c r="H25" s="547" t="str">
        <f>IF(OR(AND(YDWK2!F951&lt;=1,YDWK2!C956=0=FALSE),TPOrder!AX3="Start Line OK",AND(I11&gt;0,I7=A24,J7=B24,I9=A26,J9=B26)),"OK","NO")</f>
        <v>NO</v>
      </c>
      <c r="I25" s="1027" t="s">
        <v>238</v>
      </c>
      <c r="J25" s="1028"/>
      <c r="K25" s="1028"/>
      <c r="L25" s="798"/>
    </row>
    <row r="26" spans="1:12" ht="16" customHeight="1" thickBot="1" x14ac:dyDescent="0.45">
      <c r="A26" s="437">
        <f>IF(B22="Release",I9,B!$D$20)</f>
        <v>0</v>
      </c>
      <c r="B26" s="523">
        <f>IF(B22="Release",J9,B!$E$20)</f>
        <v>0</v>
      </c>
      <c r="C26" s="48"/>
      <c r="D26" s="189">
        <f>IF(B!$I$24=1,B!$D$22,IF(B!$I$24=2,B!$D$24,IF(B!$I$24=3,B!$D$26,B!$D$24)))</f>
        <v>0</v>
      </c>
      <c r="E26" s="172">
        <f>IF(B!$I$24=1,B!$E$22,IF(B!$I$24=2,B!$E$24,IF(B!$I$24=3,B!$E$26,B!$E$24)))</f>
        <v>0</v>
      </c>
      <c r="G26" s="574" t="s">
        <v>215</v>
      </c>
      <c r="H26" s="579" t="s">
        <v>237</v>
      </c>
      <c r="I26" s="580" t="s">
        <v>79</v>
      </c>
      <c r="J26" s="581" t="s">
        <v>236</v>
      </c>
      <c r="K26" s="573" t="s">
        <v>235</v>
      </c>
      <c r="L26" s="571" t="s">
        <v>131</v>
      </c>
    </row>
    <row r="27" spans="1:12" ht="16" customHeight="1" x14ac:dyDescent="0.4">
      <c r="A27" s="548"/>
      <c r="B27" s="549"/>
      <c r="C27" s="48"/>
      <c r="D27" s="159"/>
      <c r="E27" s="539"/>
      <c r="G27" s="575" t="s">
        <v>234</v>
      </c>
      <c r="H27" s="550">
        <f>TPOrder!CI2</f>
        <v>0</v>
      </c>
      <c r="I27" s="377">
        <f>IF(OR(H27=0,H27=""),0,IF(AND(H27=MAX(H27:H29),K32="X"),TPOrder!CH$6,IF(AND(H27=MAX(H27:H29),K31="X"),TPOrder!CI7,IF(AND(Worksheet!N5="Free-W",TPOrder!CH$4&gt;0,TPOrder!CH$4=TPOrder!CH$6),TPOrder!CH$4,IF(K31="X",TPOrder!CI$6,IF(AND(K32="X",B20="Free",TPOrder!CH$4=0),TPOrder!CI$6,IF(K32="X",MIN(TPOrder!CH$4,TPOrder!CH$6),0)))))))</f>
        <v>0</v>
      </c>
      <c r="J27" s="440">
        <f>IF(I27=0,0,IF(OR(AND(I29&gt;0,I27&gt;0,I28&gt;0,I27=MIN(I27:I29)),AND(OR(I28=0,I29=0),I27&lt;MAX(I27:I29)),AND(I28=0,I29=0,I27=MAX(I27:I29))),1,IF(AND(I28&gt;0,I29&gt;0,I27=MAX(I27:I29)),3,IF(I27&gt;MIN(I29,I28),2))))</f>
        <v>0</v>
      </c>
      <c r="K27" s="551">
        <f>'VERIFY TASK'!F12</f>
        <v>0</v>
      </c>
      <c r="L27" s="175">
        <f>B!I22</f>
        <v>0</v>
      </c>
    </row>
    <row r="28" spans="1:12" ht="16" customHeight="1" x14ac:dyDescent="0.4">
      <c r="A28" s="557" t="s">
        <v>233</v>
      </c>
      <c r="B28" s="189">
        <f>IF(B!D13=5,"CU Finish",B!$G$28)</f>
        <v>0</v>
      </c>
      <c r="C28" s="48"/>
      <c r="D28" s="561" t="s">
        <v>232</v>
      </c>
      <c r="E28" s="520">
        <f>IF(B!D13=5,"CU TP3",IF(B!$I$26=1,B!$G$22,IF(B!$I$26=2,B!$G$24,IF(B!$I$22=3,B!$G$26,B!$G$26))))</f>
        <v>0</v>
      </c>
      <c r="G28" s="575" t="s">
        <v>231</v>
      </c>
      <c r="H28" s="522">
        <f>TPOrder!CY2</f>
        <v>0</v>
      </c>
      <c r="I28" s="377">
        <f>IF(OR(H28=0,H28=""),0,IF(AND(H28=MAX(H27:H29),K32="X"),TPOrder!CX$6,IF(AND(H28=MAX(H27:H29),K31="X"),TPOrder!CY$7,IF(K31="X",TPOrder!CY$6,IF(AND(K32="X",MIN(TPOrder!CX$4,TPOrder!CX$6)&lt;I27),MAX(TPOrder!CX$4,TPOrder!CX$6),IF(K32="X",MIN(TPOrder!CX$4,TPOrder!CX$6),0))))))</f>
        <v>0</v>
      </c>
      <c r="J28" s="438">
        <f>IF(I28=0,0,IF(OR(AND(I27&gt;0,I28&gt;0,I29&gt;0,I28=MIN(I27:I29)),AND(OR(I27=0,I29=0),I28&lt;MAX(I27:I29)),AND(I27=0,I29=0,I28=MAX(I27:I29))),1,IF(AND(I27&gt;0,I29&gt;0,I28=MAX(I27:I29)),3,IF(I28&gt;MIN(I27,I29),2))))</f>
        <v>0</v>
      </c>
      <c r="K28" s="196">
        <f>'VERIFY TASK'!F14</f>
        <v>0</v>
      </c>
      <c r="L28" s="175">
        <f>B!I24</f>
        <v>0</v>
      </c>
    </row>
    <row r="29" spans="1:12" ht="16" customHeight="1" thickBot="1" x14ac:dyDescent="0.45">
      <c r="A29" s="557" t="s">
        <v>230</v>
      </c>
      <c r="B29" s="561" t="s">
        <v>229</v>
      </c>
      <c r="C29" s="48"/>
      <c r="D29" s="561" t="s">
        <v>228</v>
      </c>
      <c r="E29" s="562" t="s">
        <v>227</v>
      </c>
      <c r="G29" s="576" t="s">
        <v>226</v>
      </c>
      <c r="H29" s="552">
        <f>TPOrder!DO2</f>
        <v>0</v>
      </c>
      <c r="I29" s="377">
        <f>IF(OR(H29=0,H29=""),0,IF(K31="X",TPOrder!DO$6,IF(AND(K32="X",H29&gt;H28),MAX(TPOrder!DN$4,TPOrder!DN$6),IF(K32="X",MIN(TPOrder!DN$4,TPOrder!DN$6),0))))</f>
        <v>0</v>
      </c>
      <c r="J29" s="553">
        <f>IF(I29=0,0,IF(OR(AND(I27=0,I28=0,I29&gt;0),AND(I27&gt;0,I28&gt;0,I29&gt;0,I29=MIN(I27:I29)),AND(OR(I27=0,I28=0),I29&lt;MAX(I27:I29))),1,IF(AND(OR(I27=0,I28=0),I29&lt;MAX(I27:I29)),1,IF(AND(I27&gt;0,I28&gt;0,H30&gt;0,I29=MAX(I27:I29)),3,IF(I29&gt;MIN(I27,I28),2)))))</f>
        <v>0</v>
      </c>
      <c r="K29" s="554">
        <f>'VERIFY TASK'!F16</f>
        <v>0</v>
      </c>
      <c r="L29" s="555">
        <f>B!I26</f>
        <v>0</v>
      </c>
    </row>
    <row r="30" spans="1:12" ht="16" customHeight="1" thickBot="1" x14ac:dyDescent="0.45">
      <c r="A30" s="437">
        <f>IF(B28="Release",I7,IF(B28="Landing",I16,B!$A$28))</f>
        <v>0</v>
      </c>
      <c r="B30" s="523">
        <f>IF(B28="Release",J7,IF(B28="Landing",J16,B!$B$28))</f>
        <v>0</v>
      </c>
      <c r="C30" s="48"/>
      <c r="D30" s="189">
        <f>IF(B!$I$26=1,B!$A$22,IF(B!$I$26=2,B!$A$24,IF(B!$I$26=3,B!$A$26,B!$A$26)))</f>
        <v>0</v>
      </c>
      <c r="E30" s="172">
        <f>IF(B!$I$26=1,B!$B$22,IF(B!$I$26=2,B!$B$24,IF(B!$I$26=3,B!$B$26,B!$B$26)))</f>
        <v>0</v>
      </c>
      <c r="G30" s="575" t="s">
        <v>225</v>
      </c>
      <c r="H30" s="530">
        <f>IF(OR(B!$B$14="None",B!$B$14&gt;3),0,B!$B$14)</f>
        <v>0</v>
      </c>
      <c r="I30" s="128"/>
      <c r="J30" s="128"/>
      <c r="K30" s="128"/>
      <c r="L30" s="128"/>
    </row>
    <row r="31" spans="1:12" ht="16" customHeight="1" x14ac:dyDescent="0.4">
      <c r="A31" s="557" t="s">
        <v>224</v>
      </c>
      <c r="B31" s="561" t="s">
        <v>223</v>
      </c>
      <c r="C31" s="48"/>
      <c r="D31" s="561" t="s">
        <v>222</v>
      </c>
      <c r="E31" s="562" t="s">
        <v>221</v>
      </c>
      <c r="G31" s="575" t="s">
        <v>220</v>
      </c>
      <c r="H31" s="520">
        <f>SUM(TPOrder!O1:W1)</f>
        <v>0</v>
      </c>
      <c r="I31" s="128"/>
      <c r="J31" s="582" t="s">
        <v>219</v>
      </c>
      <c r="K31" s="440" t="str">
        <f>IF(AND(A24=0,A30=0,D18=0,D24=0,D30=0),"",IF(OR(TPOrder!CI3="Cylinder",TPOrder!CY3="Cylinder",TPOrder!DO3="Cylinder"),"X",""))</f>
        <v/>
      </c>
      <c r="L31" s="128"/>
    </row>
    <row r="32" spans="1:12" ht="16" customHeight="1" thickBot="1" x14ac:dyDescent="0.45">
      <c r="A32" s="437">
        <f>IF(B28="Release",I9,IF(B28="Landing",I18,B!$D$28))</f>
        <v>0</v>
      </c>
      <c r="B32" s="523">
        <f>IF(B28="Release",J9,IF(B28="Landing",J18,B!$E$28))</f>
        <v>0</v>
      </c>
      <c r="C32" s="48"/>
      <c r="D32" s="189">
        <f>IF(B!$I$26=1,B!$D$22,IF(B!$I$26=2,B!$D$24,IF(B!$I$26=3,B!$D$26,B!$D$26)))</f>
        <v>0</v>
      </c>
      <c r="E32" s="172">
        <f>IF(B!$I$26=1,B!$E$22,IF(B!$I$26=2,B!$E$24,IF(B!$I$26=3,B!$E$26,B!$E$26)))</f>
        <v>0</v>
      </c>
      <c r="G32" s="576" t="s">
        <v>218</v>
      </c>
      <c r="H32" s="553">
        <f>IF(H31=0,0,IF(AND(I27&gt;0,I28&gt;0,I29&gt;0),3, IF(AND(I27=0,I28=0,I29=0),0,IF(OR(AND(I27=0,I28=0,I29&gt;0),AND(I27=0,I29=0,I28&gt;0),AND(I28=0,I29=0,I27&gt;0)),1,2))))</f>
        <v>0</v>
      </c>
      <c r="I32" s="556"/>
      <c r="J32" s="583" t="s">
        <v>217</v>
      </c>
      <c r="K32" s="438" t="str">
        <f>IF(K31="","X","")</f>
        <v>X</v>
      </c>
      <c r="L32" s="128"/>
    </row>
    <row r="33" spans="1:12" ht="16" customHeight="1" thickBot="1" x14ac:dyDescent="0.45">
      <c r="A33" s="161"/>
      <c r="B33" s="163"/>
      <c r="C33" s="163"/>
      <c r="D33" s="163"/>
      <c r="E33" s="162"/>
      <c r="G33" s="577" t="s">
        <v>216</v>
      </c>
      <c r="H33" s="545"/>
      <c r="I33" s="181"/>
      <c r="J33" s="584" t="s">
        <v>215</v>
      </c>
      <c r="K33" s="553" t="str">
        <f>IF(OR(B20="NO",H30&lt;=1),"N/A",IF(OR(SUM(K27:K29)=0,AND(J27=K27,J28=K28,J29=K29)),"OK","USER"))</f>
        <v>N/A</v>
      </c>
      <c r="L33" s="128"/>
    </row>
  </sheetData>
  <sheetProtection password="C630" sheet="1" objects="1" scenarios="1" selectLockedCells="1" selectUnlockedCells="1"/>
  <mergeCells count="12">
    <mergeCell ref="J19:K19"/>
    <mergeCell ref="I25:K25"/>
    <mergeCell ref="D11:E11"/>
    <mergeCell ref="A13:B13"/>
    <mergeCell ref="A14:B14"/>
    <mergeCell ref="D15:E15"/>
    <mergeCell ref="H19:I19"/>
    <mergeCell ref="A1:L2"/>
    <mergeCell ref="A3:B3"/>
    <mergeCell ref="D3:E3"/>
    <mergeCell ref="A4:B4"/>
    <mergeCell ref="A5:B5"/>
  </mergeCells>
  <printOptions horizontalCentered="1" verticalCentered="1"/>
  <pageMargins left="0.75" right="0.75" top="1" bottom="1" header="0.5" footer="0.5"/>
  <pageSetup scale="5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Q11"/>
  <sheetViews>
    <sheetView workbookViewId="0">
      <selection activeCell="DO1" sqref="DO1"/>
    </sheetView>
  </sheetViews>
  <sheetFormatPr defaultColWidth="18.71875" defaultRowHeight="13" customHeight="1" x14ac:dyDescent="0.4"/>
  <cols>
    <col min="1" max="22" width="15.71875" customWidth="1"/>
    <col min="23" max="23" width="18.71875" customWidth="1"/>
    <col min="24" max="30" width="15.71875" customWidth="1"/>
    <col min="31" max="32" width="18.71875" customWidth="1"/>
    <col min="33" max="84" width="15.71875" customWidth="1"/>
    <col min="85" max="85" width="16.71875" bestFit="1" customWidth="1"/>
    <col min="86" max="131" width="15.71875" customWidth="1"/>
    <col min="132" max="132" width="15.71875" bestFit="1" customWidth="1"/>
    <col min="133" max="133" width="16.71875" bestFit="1" customWidth="1"/>
    <col min="134" max="134" width="14.27734375" bestFit="1" customWidth="1"/>
    <col min="135" max="146" width="15.71875" customWidth="1"/>
    <col min="147" max="147" width="18.71875" customWidth="1"/>
    <col min="148" max="148" width="16.71875" bestFit="1" customWidth="1"/>
    <col min="149" max="151" width="15.71875" customWidth="1"/>
    <col min="152" max="152" width="16.71875" bestFit="1" customWidth="1"/>
    <col min="153" max="153" width="15.71875" customWidth="1"/>
    <col min="154" max="154" width="16.71875" bestFit="1" customWidth="1"/>
    <col min="155" max="164" width="15.71875" customWidth="1"/>
    <col min="165" max="165" width="16.71875" bestFit="1" customWidth="1"/>
    <col min="166" max="173" width="15.71875" customWidth="1"/>
  </cols>
  <sheetData>
    <row r="1" spans="1:173" ht="12.3" x14ac:dyDescent="0.4">
      <c r="A1" s="710"/>
      <c r="B1" s="648"/>
      <c r="C1" s="840"/>
      <c r="D1" s="840"/>
      <c r="E1" s="840"/>
      <c r="F1" s="841"/>
      <c r="G1" s="590"/>
      <c r="H1" s="1052" t="s">
        <v>0</v>
      </c>
      <c r="I1" s="1053"/>
      <c r="J1" s="1053"/>
      <c r="K1" s="1054"/>
      <c r="L1" s="41"/>
      <c r="M1" s="41"/>
      <c r="N1" s="41"/>
      <c r="O1" s="304">
        <f>IF(AND(O$4&gt;0,O$10&gt;0),1,0)</f>
        <v>0</v>
      </c>
      <c r="P1" s="304"/>
      <c r="Q1" s="304"/>
      <c r="R1" s="304"/>
      <c r="S1" s="304">
        <f>IF(AND(S$4&gt;0,S$10&gt;0),1,0)</f>
        <v>0</v>
      </c>
      <c r="T1" s="304"/>
      <c r="U1" s="304"/>
      <c r="V1" s="304"/>
      <c r="W1" s="304">
        <f>IF(AND(W$4&gt;0,W$10&gt;0),1,0)</f>
        <v>0</v>
      </c>
      <c r="X1" s="1058" t="s">
        <v>128</v>
      </c>
      <c r="Y1" s="1058"/>
      <c r="Z1" s="1058"/>
      <c r="AA1" s="1059" t="s">
        <v>129</v>
      </c>
      <c r="AB1" s="139" t="s">
        <v>2</v>
      </c>
      <c r="AC1" s="139" t="s">
        <v>3</v>
      </c>
      <c r="AD1" s="615" t="s">
        <v>15</v>
      </c>
      <c r="AE1" s="26"/>
      <c r="AF1" s="26"/>
      <c r="AG1" s="26"/>
      <c r="AH1" s="1060" t="s">
        <v>376</v>
      </c>
      <c r="AI1" s="26"/>
      <c r="AJ1" s="26"/>
      <c r="AK1" s="26"/>
      <c r="AL1" s="26"/>
      <c r="AM1" s="26"/>
      <c r="AN1" s="26"/>
      <c r="AO1" s="1063" t="s">
        <v>380</v>
      </c>
      <c r="AP1" s="626"/>
      <c r="AQ1" s="1064" t="s">
        <v>381</v>
      </c>
      <c r="AR1" s="615"/>
      <c r="AS1" s="1"/>
      <c r="AT1" s="627"/>
      <c r="AU1" s="627"/>
      <c r="AV1" s="617"/>
      <c r="AW1" s="617"/>
      <c r="AX1" s="615"/>
      <c r="AY1" s="615"/>
      <c r="AZ1" s="615"/>
      <c r="BA1" s="615"/>
      <c r="BB1" s="615"/>
      <c r="BC1" s="615"/>
      <c r="BD1" s="628"/>
      <c r="BE1" s="628"/>
      <c r="BF1" s="615"/>
      <c r="BG1" s="628"/>
      <c r="BH1" s="615"/>
      <c r="BI1" s="615"/>
      <c r="BJ1" s="615"/>
      <c r="BK1" s="615"/>
      <c r="BL1" s="615"/>
      <c r="BM1" s="615"/>
      <c r="BN1" s="628"/>
      <c r="BO1" s="628"/>
      <c r="BP1" s="628"/>
      <c r="BQ1" s="628"/>
      <c r="BR1" s="615"/>
      <c r="BS1" s="615"/>
      <c r="BT1" s="629"/>
      <c r="BU1" s="590"/>
      <c r="BV1" s="1061" t="s">
        <v>376</v>
      </c>
      <c r="BW1" s="590"/>
      <c r="BX1" s="590"/>
      <c r="BY1" s="590"/>
      <c r="BZ1" s="590"/>
      <c r="CA1" s="590"/>
      <c r="CB1" s="590"/>
      <c r="CC1" s="1067" t="s">
        <v>380</v>
      </c>
      <c r="CD1" s="619"/>
      <c r="CE1" s="1067" t="s">
        <v>381</v>
      </c>
      <c r="CF1" s="623"/>
      <c r="CG1" s="623"/>
      <c r="CH1" s="630" t="s">
        <v>1</v>
      </c>
      <c r="CI1" s="622"/>
      <c r="CJ1" s="631"/>
      <c r="CK1" s="590"/>
      <c r="CL1" s="1061" t="s">
        <v>376</v>
      </c>
      <c r="CM1" s="590"/>
      <c r="CN1" s="590"/>
      <c r="CO1" s="590"/>
      <c r="CP1" s="590"/>
      <c r="CQ1" s="590"/>
      <c r="CR1" s="590"/>
      <c r="CS1" s="1063" t="s">
        <v>380</v>
      </c>
      <c r="CT1" s="618"/>
      <c r="CU1" s="1063" t="s">
        <v>381</v>
      </c>
      <c r="CV1" s="615"/>
      <c r="CW1" s="615"/>
      <c r="CX1" s="632" t="s">
        <v>1</v>
      </c>
      <c r="CY1" s="633"/>
      <c r="CZ1" s="2"/>
      <c r="DA1" s="590"/>
      <c r="DB1" s="1061" t="s">
        <v>376</v>
      </c>
      <c r="DC1" s="590"/>
      <c r="DD1" s="590"/>
      <c r="DE1" s="590"/>
      <c r="DF1" s="590"/>
      <c r="DG1" s="590"/>
      <c r="DH1" s="590"/>
      <c r="DI1" s="1066" t="s">
        <v>380</v>
      </c>
      <c r="DJ1" s="619"/>
      <c r="DK1" s="1066" t="s">
        <v>381</v>
      </c>
      <c r="DL1" s="620"/>
      <c r="DM1" s="620"/>
      <c r="DN1" s="621" t="s">
        <v>1</v>
      </c>
      <c r="DO1" s="622"/>
      <c r="DP1" s="2"/>
      <c r="DQ1" s="799" t="s">
        <v>489</v>
      </c>
      <c r="DR1" s="800"/>
      <c r="DS1" s="800"/>
      <c r="DT1" s="806"/>
      <c r="DU1" s="803"/>
      <c r="DV1" s="804"/>
      <c r="DW1" s="801"/>
      <c r="DX1" s="801"/>
      <c r="DY1" s="805"/>
      <c r="DZ1" s="802"/>
      <c r="EA1" s="2"/>
      <c r="EB1" s="615" t="s">
        <v>32</v>
      </c>
      <c r="EC1" s="590"/>
      <c r="ED1" s="26"/>
      <c r="EE1" s="1060" t="s">
        <v>376</v>
      </c>
      <c r="EF1" s="26"/>
      <c r="EG1" s="26"/>
      <c r="EH1" s="26"/>
      <c r="EI1" s="26"/>
      <c r="EJ1" s="26"/>
      <c r="EK1" s="26"/>
      <c r="EL1" s="26"/>
      <c r="EM1" s="615"/>
      <c r="EN1" s="615"/>
      <c r="EO1" s="615"/>
      <c r="EP1" s="615"/>
      <c r="EQ1" s="615"/>
      <c r="ER1" s="615"/>
      <c r="ES1" s="615"/>
      <c r="ET1" s="615"/>
      <c r="EU1" s="615"/>
      <c r="EV1" s="615"/>
      <c r="EW1" s="615"/>
      <c r="EX1" s="615"/>
      <c r="EY1" s="26"/>
      <c r="EZ1" s="26"/>
      <c r="FA1" s="26"/>
      <c r="FB1" s="26"/>
      <c r="FC1" s="26"/>
      <c r="FD1" s="608"/>
      <c r="FE1" s="608"/>
      <c r="FF1" s="608"/>
      <c r="FG1" s="608"/>
      <c r="FH1" s="66"/>
      <c r="FI1" s="66"/>
      <c r="FJ1" s="26"/>
      <c r="FK1" s="26"/>
      <c r="FL1" s="26"/>
      <c r="FM1" s="26"/>
      <c r="FN1" s="608"/>
      <c r="FO1" s="608"/>
      <c r="FP1" s="608"/>
      <c r="FQ1" s="608"/>
    </row>
    <row r="2" spans="1:173" ht="12.6" thickBot="1" x14ac:dyDescent="0.45">
      <c r="A2" s="711"/>
      <c r="B2" s="138"/>
      <c r="C2" s="840"/>
      <c r="D2" s="840"/>
      <c r="E2" s="840"/>
      <c r="F2" s="840"/>
      <c r="G2" s="138"/>
      <c r="H2" s="1055"/>
      <c r="I2" s="1056"/>
      <c r="J2" s="1056"/>
      <c r="K2" s="1057"/>
      <c r="L2" s="26"/>
      <c r="M2" s="26"/>
      <c r="N2" s="26"/>
      <c r="O2" s="305" t="s">
        <v>119</v>
      </c>
      <c r="P2" s="305"/>
      <c r="Q2" s="305"/>
      <c r="R2" s="305"/>
      <c r="S2" s="305" t="s">
        <v>120</v>
      </c>
      <c r="T2" s="305"/>
      <c r="U2" s="305"/>
      <c r="V2" s="305"/>
      <c r="W2" s="305" t="s">
        <v>121</v>
      </c>
      <c r="X2" s="590" t="s">
        <v>9</v>
      </c>
      <c r="Y2" s="590" t="s">
        <v>10</v>
      </c>
      <c r="Z2" s="590" t="s">
        <v>11</v>
      </c>
      <c r="AA2" s="1059"/>
      <c r="AB2" s="139" t="s">
        <v>12</v>
      </c>
      <c r="AC2" s="139" t="s">
        <v>13</v>
      </c>
      <c r="AD2" s="617"/>
      <c r="AE2" s="131"/>
      <c r="AF2" s="131"/>
      <c r="AG2" s="131"/>
      <c r="AH2" s="1060"/>
      <c r="AI2" s="131"/>
      <c r="AJ2" s="131"/>
      <c r="AK2" s="131"/>
      <c r="AL2" s="131"/>
      <c r="AM2" s="131"/>
      <c r="AN2" s="131"/>
      <c r="AO2" s="1063"/>
      <c r="AP2" s="626"/>
      <c r="AQ2" s="1064"/>
      <c r="AR2" s="617"/>
      <c r="AS2" s="1"/>
      <c r="AT2" s="634" t="s">
        <v>4</v>
      </c>
      <c r="AU2" s="634"/>
      <c r="AV2" s="617"/>
      <c r="AW2" s="617"/>
      <c r="AX2" s="5"/>
      <c r="AY2" s="5"/>
      <c r="AZ2" s="5"/>
      <c r="BA2" s="5"/>
      <c r="BB2" s="5"/>
      <c r="BC2" s="5"/>
      <c r="BD2" s="635"/>
      <c r="BE2" s="635"/>
      <c r="BF2" s="5"/>
      <c r="BG2" s="635"/>
      <c r="BH2" s="5"/>
      <c r="BI2" s="5"/>
      <c r="BJ2" s="5"/>
      <c r="BK2" s="5"/>
      <c r="BL2" s="5"/>
      <c r="BM2" s="5"/>
      <c r="BN2" s="635"/>
      <c r="BO2" s="635"/>
      <c r="BP2" s="635"/>
      <c r="BQ2" s="635"/>
      <c r="BR2" s="5"/>
      <c r="BS2" s="5"/>
      <c r="BT2" s="636"/>
      <c r="BU2" s="138"/>
      <c r="BV2" s="1061"/>
      <c r="BW2" s="138"/>
      <c r="BX2" s="138"/>
      <c r="BY2" s="138"/>
      <c r="BZ2" s="138"/>
      <c r="CA2" s="138"/>
      <c r="CB2" s="138"/>
      <c r="CC2" s="1067"/>
      <c r="CD2" s="637"/>
      <c r="CE2" s="1067"/>
      <c r="CF2" s="1065" t="s">
        <v>5</v>
      </c>
      <c r="CG2" s="1065"/>
      <c r="CH2" s="638" t="s">
        <v>130</v>
      </c>
      <c r="CI2" s="625"/>
      <c r="CJ2" s="631"/>
      <c r="CK2" s="26"/>
      <c r="CL2" s="1061"/>
      <c r="CM2" s="131"/>
      <c r="CN2" s="131"/>
      <c r="CO2" s="131"/>
      <c r="CP2" s="131"/>
      <c r="CQ2" s="131"/>
      <c r="CR2" s="131"/>
      <c r="CS2" s="1063"/>
      <c r="CT2" s="617"/>
      <c r="CU2" s="1063"/>
      <c r="CV2" s="1062" t="s">
        <v>6</v>
      </c>
      <c r="CW2" s="1062"/>
      <c r="CX2" s="639" t="s">
        <v>131</v>
      </c>
      <c r="CY2" s="640"/>
      <c r="CZ2" s="2"/>
      <c r="DA2" s="131"/>
      <c r="DB2" s="1061"/>
      <c r="DC2" s="131"/>
      <c r="DD2" s="131"/>
      <c r="DE2" s="131"/>
      <c r="DF2" s="131"/>
      <c r="DG2" s="131"/>
      <c r="DH2" s="131"/>
      <c r="DI2" s="1066"/>
      <c r="DJ2" s="623"/>
      <c r="DK2" s="1066"/>
      <c r="DL2" s="1065" t="s">
        <v>7</v>
      </c>
      <c r="DM2" s="1065"/>
      <c r="DN2" s="624" t="s">
        <v>131</v>
      </c>
      <c r="DO2" s="625"/>
      <c r="DP2" s="2"/>
      <c r="DQ2" s="799"/>
      <c r="DR2" s="800"/>
      <c r="DS2" s="800"/>
      <c r="DT2" s="806"/>
      <c r="DU2" s="803"/>
      <c r="DV2" s="804"/>
      <c r="DW2" s="801"/>
      <c r="DX2" s="801"/>
      <c r="DY2" s="805"/>
      <c r="DZ2" s="802"/>
      <c r="EA2" s="2"/>
      <c r="EB2" s="615"/>
      <c r="EC2" s="131"/>
      <c r="ED2" s="131"/>
      <c r="EE2" s="1060"/>
      <c r="EF2" s="616"/>
      <c r="EG2" s="616"/>
      <c r="EH2" s="616"/>
      <c r="EI2" s="616"/>
      <c r="EJ2" s="616"/>
      <c r="EK2" s="616"/>
      <c r="EL2" s="616"/>
      <c r="EM2" s="617"/>
      <c r="EN2" s="5" t="s">
        <v>8</v>
      </c>
      <c r="EO2" s="5"/>
      <c r="EP2" s="5"/>
      <c r="EQ2" s="5"/>
      <c r="ER2" s="5"/>
      <c r="ES2" s="5"/>
      <c r="ET2" s="5"/>
      <c r="EU2" s="5"/>
      <c r="EV2" s="5"/>
      <c r="EW2" s="618"/>
      <c r="EX2" s="618"/>
      <c r="EY2" s="131"/>
      <c r="EZ2" s="131"/>
      <c r="FA2" s="131"/>
      <c r="FB2" s="131"/>
      <c r="FC2" s="131"/>
      <c r="FD2" s="609"/>
      <c r="FE2" s="609"/>
      <c r="FF2" s="609"/>
      <c r="FG2" s="609"/>
      <c r="FH2" s="610"/>
      <c r="FI2" s="610"/>
      <c r="FJ2" s="131"/>
      <c r="FK2" s="131"/>
      <c r="FL2" s="131"/>
      <c r="FM2" s="131"/>
      <c r="FN2" s="609"/>
      <c r="FO2" s="609"/>
      <c r="FP2" s="609"/>
      <c r="FQ2" s="609"/>
    </row>
    <row r="3" spans="1:173" ht="14.4" thickBot="1" x14ac:dyDescent="0.65">
      <c r="A3" s="712"/>
      <c r="B3" s="649" t="s">
        <v>14</v>
      </c>
      <c r="C3" s="485"/>
      <c r="D3" s="841"/>
      <c r="E3" s="841"/>
      <c r="F3" s="841"/>
      <c r="G3" s="26"/>
      <c r="H3" s="9"/>
      <c r="I3" s="9"/>
      <c r="J3" s="9"/>
      <c r="K3" s="9"/>
      <c r="L3" s="9"/>
      <c r="M3" s="9"/>
      <c r="N3" s="9"/>
      <c r="O3" s="592" t="s">
        <v>122</v>
      </c>
      <c r="P3" s="9"/>
      <c r="Q3" s="9"/>
      <c r="R3" s="9"/>
      <c r="S3" s="80" t="s">
        <v>125</v>
      </c>
      <c r="T3" s="9"/>
      <c r="U3" s="9"/>
      <c r="V3" s="9"/>
      <c r="W3" s="642" t="s">
        <v>122</v>
      </c>
      <c r="X3" s="646"/>
      <c r="Y3" s="644"/>
      <c r="Z3" s="44"/>
      <c r="AA3" s="48"/>
      <c r="AB3" s="134"/>
      <c r="AC3" s="134"/>
      <c r="AD3" s="615" t="s">
        <v>16</v>
      </c>
      <c r="AE3" s="9"/>
      <c r="AF3" s="9"/>
      <c r="AH3" s="9"/>
      <c r="AI3" s="9"/>
      <c r="AJ3" s="9"/>
      <c r="AK3" s="9"/>
      <c r="AL3" s="9"/>
      <c r="AM3" s="9"/>
      <c r="AN3" s="9"/>
      <c r="AO3" s="9"/>
      <c r="AP3" s="26"/>
      <c r="AQ3" s="9"/>
      <c r="AR3" s="10" t="s">
        <v>17</v>
      </c>
      <c r="AT3" s="11" t="s">
        <v>18</v>
      </c>
      <c r="AU3" s="11"/>
      <c r="AV3" s="12"/>
      <c r="AW3" s="13"/>
      <c r="AX3" s="13"/>
      <c r="AY3" s="14"/>
      <c r="AZ3" s="15"/>
      <c r="BA3" s="15"/>
      <c r="BB3" s="14"/>
      <c r="BC3" s="14"/>
      <c r="BD3" s="16"/>
      <c r="BE3" s="16"/>
      <c r="BF3" s="17"/>
      <c r="BG3" s="18"/>
      <c r="BH3" s="14"/>
      <c r="BI3" s="14"/>
      <c r="BJ3" s="14"/>
      <c r="BK3" s="14"/>
      <c r="BL3" s="14"/>
      <c r="BM3" s="14"/>
      <c r="BN3" s="16"/>
      <c r="BO3" s="16"/>
      <c r="BP3" s="16"/>
      <c r="BQ3" s="16"/>
      <c r="BS3" s="13"/>
      <c r="BT3" s="2"/>
      <c r="BU3" s="9" t="s">
        <v>19</v>
      </c>
      <c r="BV3" s="9"/>
      <c r="BW3" s="9"/>
      <c r="BX3" s="19" t="s">
        <v>20</v>
      </c>
      <c r="BY3" s="14"/>
      <c r="BZ3" s="14"/>
      <c r="CA3" s="14"/>
      <c r="CB3" s="14"/>
      <c r="CC3" s="14"/>
      <c r="CD3" s="44"/>
      <c r="CE3" s="14"/>
      <c r="CF3" s="19" t="s">
        <v>21</v>
      </c>
      <c r="CG3" s="19" t="s">
        <v>22</v>
      </c>
      <c r="CH3" s="58" t="s">
        <v>373</v>
      </c>
      <c r="CI3" s="641"/>
      <c r="CJ3" s="2"/>
      <c r="CK3" s="9" t="s">
        <v>23</v>
      </c>
      <c r="CL3" s="9"/>
      <c r="CM3" s="9"/>
      <c r="CN3" s="19" t="s">
        <v>24</v>
      </c>
      <c r="CO3" s="14"/>
      <c r="CP3" s="14"/>
      <c r="CQ3" s="14"/>
      <c r="CR3" s="14"/>
      <c r="CS3" s="14"/>
      <c r="CT3" s="14"/>
      <c r="CU3" s="14"/>
      <c r="CV3" s="10" t="s">
        <v>25</v>
      </c>
      <c r="CW3" s="20" t="s">
        <v>26</v>
      </c>
      <c r="CX3" s="58" t="s">
        <v>373</v>
      </c>
      <c r="CY3" s="41"/>
      <c r="CZ3" s="2"/>
      <c r="DA3" s="19" t="s">
        <v>27</v>
      </c>
      <c r="DB3" s="19"/>
      <c r="DC3" s="19"/>
      <c r="DD3" s="19" t="s">
        <v>28</v>
      </c>
      <c r="DE3" s="14"/>
      <c r="DF3" s="14"/>
      <c r="DG3" s="14"/>
      <c r="DH3" s="14"/>
      <c r="DI3" s="14"/>
      <c r="DJ3" s="14"/>
      <c r="DK3" s="14"/>
      <c r="DL3" s="9" t="s">
        <v>29</v>
      </c>
      <c r="DM3" s="19" t="s">
        <v>30</v>
      </c>
      <c r="DN3" s="58" t="s">
        <v>373</v>
      </c>
      <c r="DO3" s="21"/>
      <c r="DP3" s="2"/>
      <c r="DQ3" s="22" t="s">
        <v>31</v>
      </c>
      <c r="DR3" s="9"/>
      <c r="DS3" s="9"/>
      <c r="DT3" s="23"/>
      <c r="DU3" s="24"/>
      <c r="DV3" s="24"/>
      <c r="DW3" s="9"/>
      <c r="DX3" s="24"/>
      <c r="DY3" s="24"/>
      <c r="DZ3" s="24"/>
      <c r="EA3" s="2"/>
      <c r="EB3" s="615" t="s">
        <v>33</v>
      </c>
      <c r="EC3" s="9"/>
      <c r="EE3" s="19"/>
      <c r="EF3" s="19"/>
      <c r="EG3" s="19"/>
      <c r="EH3" s="19"/>
      <c r="EI3" s="19"/>
      <c r="EJ3" s="19"/>
      <c r="EK3" s="19"/>
      <c r="EL3" s="19"/>
      <c r="EM3" s="17"/>
      <c r="EN3" s="14"/>
      <c r="EO3" s="19" t="s">
        <v>34</v>
      </c>
      <c r="EP3" s="14"/>
      <c r="EQ3" s="19" t="s">
        <v>35</v>
      </c>
      <c r="ER3" s="40"/>
      <c r="ES3" s="612" t="str">
        <f>IF(ES9&gt;0,"SECTOR","")</f>
        <v/>
      </c>
      <c r="ET3" s="613"/>
      <c r="EU3" s="614"/>
      <c r="EV3" s="25"/>
      <c r="EX3" s="26"/>
      <c r="EY3" s="611"/>
      <c r="EZ3" s="14"/>
      <c r="FA3" s="14"/>
      <c r="FB3" s="14"/>
      <c r="FC3" s="14"/>
      <c r="FD3" s="16"/>
      <c r="FE3" s="16"/>
      <c r="FF3" s="18"/>
      <c r="FG3" s="18"/>
      <c r="FH3" s="6"/>
      <c r="FI3" s="6"/>
      <c r="FJ3" s="14"/>
      <c r="FK3" s="14"/>
      <c r="FL3" s="14"/>
      <c r="FM3" s="14"/>
      <c r="FN3" s="16"/>
      <c r="FO3" s="16"/>
    </row>
    <row r="4" spans="1:173" ht="14.4" thickBot="1" x14ac:dyDescent="0.65">
      <c r="A4" s="709"/>
      <c r="B4" s="27"/>
      <c r="C4" s="23"/>
      <c r="D4" s="9"/>
      <c r="E4" s="135"/>
      <c r="F4" s="9"/>
      <c r="G4" s="9"/>
      <c r="H4" s="9"/>
      <c r="I4" s="9"/>
      <c r="J4" s="9"/>
      <c r="K4" s="9"/>
      <c r="L4" s="9"/>
      <c r="M4" s="9"/>
      <c r="N4" s="9"/>
      <c r="O4" s="593"/>
      <c r="Q4" s="9"/>
      <c r="R4" s="9"/>
      <c r="S4" s="593"/>
      <c r="U4" s="9"/>
      <c r="V4" s="26"/>
      <c r="W4" s="643"/>
      <c r="X4" s="647"/>
      <c r="Y4" s="645"/>
      <c r="Z4" s="44"/>
      <c r="AA4" s="48"/>
      <c r="AB4" s="134"/>
      <c r="AC4" s="134"/>
      <c r="AD4" s="615"/>
      <c r="AE4" s="17"/>
      <c r="AF4" s="17"/>
      <c r="AH4" s="28"/>
      <c r="AI4" s="28"/>
      <c r="AJ4" s="28"/>
      <c r="AK4" s="28"/>
      <c r="AL4" s="28"/>
      <c r="AM4" s="28"/>
      <c r="AN4" s="28"/>
      <c r="AO4" s="294"/>
      <c r="AP4" s="26"/>
      <c r="AQ4" s="297"/>
      <c r="AR4" s="29"/>
      <c r="AT4" s="29"/>
      <c r="AU4" s="26"/>
      <c r="AV4" s="13"/>
      <c r="AW4" s="13"/>
      <c r="AX4" s="30"/>
      <c r="AY4" s="31"/>
      <c r="AZ4" s="14"/>
      <c r="BA4" s="14"/>
      <c r="BB4" s="30"/>
      <c r="BC4" s="30"/>
      <c r="BD4" s="32"/>
      <c r="BE4" s="33"/>
      <c r="BF4" s="31"/>
      <c r="BG4" s="34"/>
      <c r="BP4" s="35"/>
      <c r="BQ4" s="35"/>
      <c r="BS4" s="19"/>
      <c r="BT4" s="3"/>
      <c r="BU4" s="216"/>
      <c r="BV4" s="9"/>
      <c r="BW4" s="9"/>
      <c r="BX4" s="216"/>
      <c r="BY4" s="19"/>
      <c r="BZ4" s="19"/>
      <c r="CA4" s="19"/>
      <c r="CB4" s="19"/>
      <c r="CC4" s="301"/>
      <c r="CD4" s="73"/>
      <c r="CE4" s="303"/>
      <c r="CF4" s="14"/>
      <c r="CG4" s="14"/>
      <c r="CH4" s="74"/>
      <c r="CI4" s="16"/>
      <c r="CJ4" s="2"/>
      <c r="CK4" s="129"/>
      <c r="CL4" s="9"/>
      <c r="CM4" s="9"/>
      <c r="CN4" s="129"/>
      <c r="CO4" s="14"/>
      <c r="CP4" s="14"/>
      <c r="CQ4" s="14"/>
      <c r="CR4" s="14"/>
      <c r="CS4" s="301"/>
      <c r="CT4" s="73"/>
      <c r="CU4" s="14"/>
      <c r="CV4" s="28"/>
      <c r="CW4" s="28"/>
      <c r="CX4" s="76"/>
      <c r="CY4" s="14"/>
      <c r="CZ4" s="2"/>
      <c r="DA4" s="217"/>
      <c r="DB4" s="9"/>
      <c r="DC4" s="9"/>
      <c r="DD4" s="217"/>
      <c r="DE4" s="14"/>
      <c r="DF4" s="14"/>
      <c r="DG4" s="14"/>
      <c r="DH4" s="14"/>
      <c r="DI4" s="301"/>
      <c r="DJ4" s="73"/>
      <c r="DK4" s="14"/>
      <c r="DL4" s="36"/>
      <c r="DM4" s="36"/>
      <c r="DN4" s="74"/>
      <c r="DO4" s="14"/>
      <c r="DP4" s="2"/>
      <c r="DQ4" s="9"/>
      <c r="DR4" s="38"/>
      <c r="DS4" s="9"/>
      <c r="DT4" s="24"/>
      <c r="DU4" s="24"/>
      <c r="DV4" s="23"/>
      <c r="DW4" s="9"/>
      <c r="DX4" s="24"/>
      <c r="DY4" s="24"/>
      <c r="DZ4" s="24"/>
      <c r="EA4" s="2"/>
      <c r="EB4" s="615"/>
      <c r="EC4" s="9"/>
      <c r="EE4" s="9"/>
      <c r="EF4" s="9"/>
      <c r="EG4" s="9"/>
      <c r="EH4" s="9"/>
      <c r="EI4" s="9"/>
      <c r="EJ4" s="9"/>
      <c r="EK4" s="17"/>
      <c r="EL4" s="17"/>
      <c r="EM4" s="39"/>
      <c r="EN4" s="39" t="s">
        <v>37</v>
      </c>
      <c r="EO4" s="28"/>
      <c r="EP4" s="14"/>
      <c r="EQ4" s="28"/>
      <c r="ER4" s="40"/>
      <c r="ES4" s="41"/>
      <c r="ET4" s="293"/>
      <c r="EU4" s="42"/>
      <c r="EV4" s="43"/>
      <c r="EW4" s="292"/>
      <c r="EX4" s="26"/>
      <c r="EY4" s="44"/>
      <c r="EZ4" s="14"/>
      <c r="FA4" s="14"/>
      <c r="FB4" s="14"/>
      <c r="FC4" s="14"/>
      <c r="FD4" s="45"/>
      <c r="FE4" s="16"/>
      <c r="FF4" s="18"/>
      <c r="FG4" s="18"/>
      <c r="FH4" s="6"/>
      <c r="FI4" s="6"/>
      <c r="FJ4" s="14"/>
      <c r="FK4" s="14"/>
      <c r="FL4" s="14"/>
      <c r="FM4" s="14"/>
      <c r="FN4" s="16"/>
      <c r="FO4" s="16"/>
    </row>
    <row r="5" spans="1:173" ht="12.6" thickBot="1" x14ac:dyDescent="0.45">
      <c r="A5" s="709"/>
      <c r="B5" s="27" t="s">
        <v>38</v>
      </c>
      <c r="C5" s="215"/>
      <c r="D5" s="9"/>
      <c r="E5" s="9"/>
      <c r="F5" s="9"/>
      <c r="G5" s="9"/>
      <c r="H5" s="17"/>
      <c r="I5" s="17"/>
      <c r="J5" s="17"/>
      <c r="K5" s="17"/>
      <c r="L5" s="17"/>
      <c r="M5" s="17"/>
      <c r="N5" s="17"/>
      <c r="O5" s="594" t="s">
        <v>375</v>
      </c>
      <c r="Q5" s="17"/>
      <c r="R5" s="17"/>
      <c r="S5" s="594" t="s">
        <v>375</v>
      </c>
      <c r="U5" s="17"/>
      <c r="V5" s="17"/>
      <c r="W5" s="597" t="s">
        <v>375</v>
      </c>
      <c r="X5" s="63"/>
      <c r="Y5" s="64"/>
      <c r="Z5" s="64"/>
      <c r="AA5" s="140"/>
      <c r="AB5" s="141"/>
      <c r="AC5" s="143"/>
      <c r="AD5" s="131"/>
      <c r="AE5" s="17"/>
      <c r="AF5" s="17"/>
      <c r="AG5" s="17"/>
      <c r="AH5" s="17"/>
      <c r="AI5" s="50"/>
      <c r="AJ5" s="17"/>
      <c r="AK5" s="17"/>
      <c r="AL5" s="17"/>
      <c r="AM5" s="17"/>
      <c r="AN5" s="17"/>
      <c r="AO5" s="295"/>
      <c r="AP5" s="26"/>
      <c r="AQ5" s="298"/>
      <c r="AR5" s="300" t="s">
        <v>383</v>
      </c>
      <c r="AT5" s="52" t="s">
        <v>382</v>
      </c>
      <c r="AU5" s="52"/>
      <c r="AV5" s="53"/>
      <c r="AW5" s="53"/>
      <c r="AX5" s="14"/>
      <c r="AY5" s="14"/>
      <c r="AZ5" s="54"/>
      <c r="BA5" s="17"/>
      <c r="BB5" s="55" t="s">
        <v>40</v>
      </c>
      <c r="BC5" s="55"/>
      <c r="BD5" s="14"/>
      <c r="BE5" s="14"/>
      <c r="BF5" s="17"/>
      <c r="BG5" s="17"/>
      <c r="BH5" s="49"/>
      <c r="BI5" s="49"/>
      <c r="BJ5" s="56"/>
      <c r="BK5" s="9"/>
      <c r="BL5" s="19"/>
      <c r="BM5" s="19"/>
      <c r="BN5" s="46"/>
      <c r="BO5" s="46"/>
      <c r="BP5" s="46"/>
      <c r="BQ5" s="46"/>
      <c r="BS5" s="57"/>
      <c r="BT5" s="3"/>
      <c r="BU5" s="19"/>
      <c r="BV5" s="17"/>
      <c r="BW5" s="50"/>
      <c r="BX5" s="9"/>
      <c r="BY5" s="9"/>
      <c r="BZ5" s="9"/>
      <c r="CA5" s="9"/>
      <c r="CB5" s="9"/>
      <c r="CC5" s="306"/>
      <c r="CD5" s="302"/>
      <c r="CE5" s="307"/>
      <c r="CF5" s="14"/>
      <c r="CG5" s="14"/>
      <c r="CH5" s="23" t="s">
        <v>374</v>
      </c>
      <c r="CI5" s="59" t="s">
        <v>41</v>
      </c>
      <c r="CJ5" s="2"/>
      <c r="CK5" s="14"/>
      <c r="CL5" s="17"/>
      <c r="CM5" s="50"/>
      <c r="CN5" s="9"/>
      <c r="CO5" s="9"/>
      <c r="CP5" s="9"/>
      <c r="CQ5" s="9"/>
      <c r="CR5" s="9"/>
      <c r="CS5" s="306"/>
      <c r="CT5" s="26"/>
      <c r="CU5" s="298"/>
      <c r="CV5" s="17"/>
      <c r="CW5" s="17"/>
      <c r="CX5" s="9" t="s">
        <v>374</v>
      </c>
      <c r="CY5" s="60" t="s">
        <v>41</v>
      </c>
      <c r="CZ5" s="2"/>
      <c r="DA5" s="14"/>
      <c r="DB5" s="17"/>
      <c r="DC5" s="50"/>
      <c r="DD5" s="9"/>
      <c r="DE5" s="9"/>
      <c r="DF5" s="9"/>
      <c r="DG5" s="9"/>
      <c r="DH5" s="9"/>
      <c r="DI5" s="306"/>
      <c r="DJ5" s="26"/>
      <c r="DK5" s="294"/>
      <c r="DL5" s="17"/>
      <c r="DM5" s="17"/>
      <c r="DN5" s="9" t="s">
        <v>374</v>
      </c>
      <c r="DO5" s="60" t="s">
        <v>41</v>
      </c>
      <c r="DP5" s="2"/>
      <c r="DQ5" s="9"/>
      <c r="DR5" s="9"/>
      <c r="DS5" s="9"/>
      <c r="DT5" s="23"/>
      <c r="DU5" s="24"/>
      <c r="DV5" s="24"/>
      <c r="DW5" s="9"/>
      <c r="DX5" s="24"/>
      <c r="DY5" s="24"/>
      <c r="DZ5" s="24"/>
      <c r="EA5" s="2"/>
      <c r="EB5" s="22"/>
      <c r="EC5" s="22"/>
      <c r="ED5" s="14"/>
      <c r="EE5" s="17"/>
      <c r="EF5" s="50"/>
      <c r="EG5" s="9"/>
      <c r="EH5" s="9"/>
      <c r="EI5" s="9"/>
      <c r="EJ5" s="9"/>
      <c r="EK5" s="17"/>
      <c r="EL5" s="17"/>
      <c r="EM5" s="39"/>
      <c r="EN5" s="39" t="s">
        <v>39</v>
      </c>
      <c r="EO5" s="39"/>
      <c r="EP5" s="9"/>
      <c r="EQ5" s="9"/>
      <c r="ER5" s="61" t="s">
        <v>42</v>
      </c>
      <c r="ES5" s="61" t="s">
        <v>43</v>
      </c>
      <c r="ET5" s="14"/>
      <c r="EU5" s="19"/>
      <c r="EV5" s="26"/>
      <c r="EX5" s="26"/>
      <c r="EY5" s="19"/>
      <c r="EZ5" s="62"/>
      <c r="FA5" s="19"/>
      <c r="FB5" s="55" t="s">
        <v>40</v>
      </c>
      <c r="FC5" s="55"/>
      <c r="FD5" s="19"/>
      <c r="FE5" s="19"/>
      <c r="FF5" s="24"/>
      <c r="FG5" s="24"/>
      <c r="FH5" s="25"/>
      <c r="FI5" s="25"/>
      <c r="FJ5" s="62"/>
      <c r="FK5" s="19"/>
      <c r="FL5" s="57"/>
      <c r="FM5" s="57"/>
      <c r="FN5" s="46"/>
      <c r="FO5" s="46"/>
    </row>
    <row r="6" spans="1:173" ht="14.4" thickBot="1" x14ac:dyDescent="0.65">
      <c r="A6" s="709"/>
      <c r="B6" s="15"/>
      <c r="C6" s="9"/>
      <c r="D6" s="9"/>
      <c r="E6" s="9"/>
      <c r="F6" s="9"/>
      <c r="G6" s="9"/>
      <c r="H6" s="17"/>
      <c r="I6" s="17"/>
      <c r="J6" s="17"/>
      <c r="K6" s="17"/>
      <c r="L6" s="17"/>
      <c r="M6" s="17"/>
      <c r="N6" s="17"/>
      <c r="O6" s="594"/>
      <c r="Q6" s="17"/>
      <c r="R6" s="17"/>
      <c r="S6" s="594"/>
      <c r="U6" s="17"/>
      <c r="V6" s="17"/>
      <c r="W6" s="598"/>
      <c r="X6" s="64"/>
      <c r="Y6" s="63"/>
      <c r="Z6" s="64"/>
      <c r="AA6" s="140"/>
      <c r="AB6" s="141"/>
      <c r="AC6" s="143"/>
      <c r="AD6" s="8"/>
      <c r="AE6" s="8"/>
      <c r="AF6" s="17"/>
      <c r="AG6" s="17"/>
      <c r="AH6" s="17"/>
      <c r="AI6" s="50"/>
      <c r="AJ6" s="17"/>
      <c r="AK6" s="17"/>
      <c r="AL6" s="17"/>
      <c r="AM6" s="17"/>
      <c r="AN6" s="17"/>
      <c r="AO6" s="296"/>
      <c r="AP6" s="26"/>
      <c r="AQ6" s="299"/>
      <c r="AR6" s="65"/>
      <c r="AT6" s="706"/>
      <c r="AU6" s="66"/>
      <c r="AV6" s="19" t="s">
        <v>45</v>
      </c>
      <c r="AW6" s="67" t="s">
        <v>46</v>
      </c>
      <c r="AX6" s="68" t="s">
        <v>47</v>
      </c>
      <c r="AY6" s="55" t="s">
        <v>48</v>
      </c>
      <c r="AZ6" s="14"/>
      <c r="BA6" s="14"/>
      <c r="BB6" s="14"/>
      <c r="BC6" s="14"/>
      <c r="BD6" s="69"/>
      <c r="BE6" s="69"/>
      <c r="BF6" s="70"/>
      <c r="BG6" s="71"/>
      <c r="BH6" s="72" t="s">
        <v>48</v>
      </c>
      <c r="BI6" s="72"/>
      <c r="BJ6" s="73"/>
      <c r="BK6" s="73"/>
      <c r="BL6" s="72"/>
      <c r="BM6" s="72"/>
      <c r="BN6" s="73"/>
      <c r="BO6" s="73"/>
      <c r="BP6" s="73"/>
      <c r="BQ6" s="73"/>
      <c r="BS6" s="49">
        <f>$C$4</f>
        <v>0</v>
      </c>
      <c r="BT6" s="2"/>
      <c r="BU6" s="14"/>
      <c r="BV6" s="17"/>
      <c r="BW6" s="50"/>
      <c r="BX6" s="9"/>
      <c r="BY6" s="9"/>
      <c r="BZ6" s="9"/>
      <c r="CA6" s="9"/>
      <c r="CB6" s="9"/>
      <c r="CC6" s="308"/>
      <c r="CD6" s="302"/>
      <c r="CE6" s="296"/>
      <c r="CF6" s="14"/>
      <c r="CG6" s="14"/>
      <c r="CH6" s="74"/>
      <c r="CI6" s="75"/>
      <c r="CJ6" s="2"/>
      <c r="CK6" s="14"/>
      <c r="CL6" s="17"/>
      <c r="CM6" s="50"/>
      <c r="CN6" s="9"/>
      <c r="CO6" s="9"/>
      <c r="CP6" s="9"/>
      <c r="CQ6" s="9"/>
      <c r="CR6" s="9"/>
      <c r="CS6" s="308"/>
      <c r="CT6" s="26"/>
      <c r="CU6" s="299"/>
      <c r="CV6" s="17"/>
      <c r="CW6" s="17"/>
      <c r="CX6" s="76"/>
      <c r="CY6" s="76"/>
      <c r="CZ6" s="2"/>
      <c r="DA6" s="14"/>
      <c r="DB6" s="17"/>
      <c r="DC6" s="50"/>
      <c r="DD6" s="9"/>
      <c r="DE6" s="9"/>
      <c r="DF6" s="9"/>
      <c r="DG6" s="9"/>
      <c r="DH6" s="9"/>
      <c r="DI6" s="308"/>
      <c r="DJ6" s="26"/>
      <c r="DK6" s="296"/>
      <c r="DL6" s="17"/>
      <c r="DM6" s="17"/>
      <c r="DN6" s="74"/>
      <c r="DO6" s="75"/>
      <c r="DP6" s="2"/>
      <c r="DQ6" s="22" t="s">
        <v>49</v>
      </c>
      <c r="DR6" s="22" t="s">
        <v>50</v>
      </c>
      <c r="DS6" s="22" t="s">
        <v>51</v>
      </c>
      <c r="DT6" s="77" t="s">
        <v>52</v>
      </c>
      <c r="DU6" s="78" t="s">
        <v>53</v>
      </c>
      <c r="DV6" s="78"/>
      <c r="DW6" s="22"/>
      <c r="DX6" s="78"/>
      <c r="DY6" s="78"/>
      <c r="DZ6" s="78"/>
      <c r="EA6" s="2"/>
      <c r="EB6" s="79"/>
      <c r="EC6" s="79"/>
      <c r="ED6" s="17"/>
      <c r="EE6" s="17"/>
      <c r="EF6" s="50"/>
      <c r="EG6" s="9"/>
      <c r="EH6" s="9"/>
      <c r="EI6" s="9"/>
      <c r="EJ6" s="9"/>
      <c r="EK6" s="17"/>
      <c r="EL6" s="17"/>
      <c r="EM6" s="80"/>
      <c r="EN6" s="80" t="s">
        <v>44</v>
      </c>
      <c r="EO6" s="51"/>
      <c r="EP6" s="9"/>
      <c r="EQ6" s="9"/>
      <c r="ER6" s="76"/>
      <c r="ES6" s="76"/>
      <c r="ET6" s="43"/>
      <c r="EU6" s="67"/>
      <c r="EV6" s="81"/>
      <c r="EX6" s="26"/>
      <c r="EY6" s="55" t="s">
        <v>54</v>
      </c>
      <c r="EZ6" s="14"/>
      <c r="FA6" s="14"/>
      <c r="FB6" s="14"/>
      <c r="FC6" s="14"/>
      <c r="FD6" s="16"/>
      <c r="FE6" s="16"/>
      <c r="FF6" s="18"/>
      <c r="FG6" s="18"/>
      <c r="FH6" s="82" t="s">
        <v>55</v>
      </c>
      <c r="FI6" s="82"/>
      <c r="FJ6" s="14"/>
      <c r="FK6" s="14"/>
      <c r="FL6" s="14"/>
      <c r="FM6" s="14"/>
      <c r="FN6" s="16"/>
      <c r="FO6" s="16"/>
      <c r="FP6" s="18"/>
      <c r="FQ6" s="18"/>
    </row>
    <row r="7" spans="1:173" ht="12.6" thickBot="1" x14ac:dyDescent="0.45">
      <c r="A7" s="709"/>
      <c r="B7" s="9"/>
      <c r="C7" s="9"/>
      <c r="D7" s="9"/>
      <c r="E7" s="9"/>
      <c r="F7" s="9"/>
      <c r="G7" s="9"/>
      <c r="H7" s="17"/>
      <c r="I7" s="17"/>
      <c r="J7" s="17"/>
      <c r="K7" s="17"/>
      <c r="L7" s="138"/>
      <c r="M7" s="138"/>
      <c r="N7" s="138"/>
      <c r="O7" s="595" t="s">
        <v>123</v>
      </c>
      <c r="Q7" s="138"/>
      <c r="R7" s="138"/>
      <c r="S7" s="594" t="s">
        <v>126</v>
      </c>
      <c r="U7" s="138"/>
      <c r="V7" s="138"/>
      <c r="W7" s="594" t="s">
        <v>126</v>
      </c>
      <c r="X7" s="64"/>
      <c r="Y7" s="64"/>
      <c r="Z7" s="63"/>
      <c r="AA7" s="140"/>
      <c r="AB7" s="141"/>
      <c r="AC7" s="143"/>
      <c r="AD7" s="131"/>
      <c r="AE7" s="17"/>
      <c r="AF7" s="17"/>
      <c r="AG7" s="17"/>
      <c r="AH7" s="17"/>
      <c r="AI7" s="50"/>
      <c r="AJ7" s="17"/>
      <c r="AK7" s="17"/>
      <c r="AL7" s="17"/>
      <c r="AM7" s="17"/>
      <c r="AN7" s="17"/>
      <c r="AO7" s="17"/>
      <c r="AP7" s="9"/>
      <c r="AQ7" s="17"/>
      <c r="AR7" s="17"/>
      <c r="AT7" s="37"/>
      <c r="AU7" s="37"/>
      <c r="AV7" s="83"/>
      <c r="AW7" s="83"/>
      <c r="AX7" s="84"/>
      <c r="AY7" s="1047" t="s">
        <v>56</v>
      </c>
      <c r="AZ7" s="1048"/>
      <c r="BA7" s="1048"/>
      <c r="BB7" s="1048"/>
      <c r="BC7" s="1048"/>
      <c r="BD7" s="1048"/>
      <c r="BE7" s="1048"/>
      <c r="BF7" s="1048"/>
      <c r="BG7" s="1048"/>
      <c r="BH7" s="1048"/>
      <c r="BI7" s="1048"/>
      <c r="BJ7" s="1048"/>
      <c r="BK7" s="1048"/>
      <c r="BL7" s="1048"/>
      <c r="BM7" s="1048"/>
      <c r="BN7" s="1048"/>
      <c r="BO7" s="1048"/>
      <c r="BP7" s="1048"/>
      <c r="BQ7" s="85"/>
      <c r="BR7" s="17"/>
      <c r="BS7" s="14"/>
      <c r="BT7" s="3"/>
      <c r="BU7" s="19"/>
      <c r="BV7" s="17"/>
      <c r="BW7" s="50"/>
      <c r="BX7" s="9"/>
      <c r="BY7" s="9"/>
      <c r="BZ7" s="9"/>
      <c r="CA7" s="9"/>
      <c r="CB7" s="9"/>
      <c r="CC7" s="142"/>
      <c r="CD7" s="26"/>
      <c r="CE7" s="9"/>
      <c r="CF7" s="14"/>
      <c r="CG7" s="14"/>
      <c r="CH7" s="87"/>
      <c r="CI7" s="49"/>
      <c r="CJ7" s="2"/>
      <c r="CK7" s="19"/>
      <c r="CL7" s="17"/>
      <c r="CM7" s="50"/>
      <c r="CN7" s="9"/>
      <c r="CO7" s="9"/>
      <c r="CP7" s="9"/>
      <c r="CQ7" s="9"/>
      <c r="CR7" s="9"/>
      <c r="CS7" s="142"/>
      <c r="CT7" s="26"/>
      <c r="CU7" s="9"/>
      <c r="CV7" s="17"/>
      <c r="CW7" s="17"/>
      <c r="CX7" s="87"/>
      <c r="CY7" s="49"/>
      <c r="CZ7" s="2"/>
      <c r="DA7" s="19"/>
      <c r="DB7" s="17"/>
      <c r="DC7" s="50"/>
      <c r="DD7" s="9"/>
      <c r="DE7" s="9"/>
      <c r="DF7" s="9"/>
      <c r="DG7" s="9"/>
      <c r="DH7" s="9"/>
      <c r="DI7" s="142"/>
      <c r="DJ7" s="26"/>
      <c r="DK7" s="9"/>
      <c r="DL7" s="17"/>
      <c r="DM7" s="17"/>
      <c r="DN7" s="87"/>
      <c r="DO7" s="49"/>
      <c r="DP7" s="2"/>
      <c r="DQ7" s="9"/>
      <c r="DR7" s="9"/>
      <c r="DS7" s="9"/>
      <c r="DT7" s="23"/>
      <c r="DU7" s="24"/>
      <c r="DV7" s="24"/>
      <c r="DW7" s="9"/>
      <c r="DX7" s="24"/>
      <c r="DY7" s="24"/>
      <c r="DZ7" s="24"/>
      <c r="EA7" s="2"/>
      <c r="EB7" s="22"/>
      <c r="EC7" s="88"/>
      <c r="ED7" s="19"/>
      <c r="EE7" s="17"/>
      <c r="EF7" s="50"/>
      <c r="EG7" s="9"/>
      <c r="EH7" s="9"/>
      <c r="EI7" s="9"/>
      <c r="EJ7" s="9"/>
      <c r="EK7" s="17"/>
      <c r="EL7" s="17"/>
      <c r="EM7" s="142"/>
      <c r="EN7" s="142"/>
      <c r="EO7" s="9"/>
      <c r="EP7" s="9"/>
      <c r="EQ7" s="89"/>
      <c r="ER7" s="49"/>
      <c r="ES7" s="19"/>
      <c r="ET7" s="19"/>
      <c r="EU7" s="19"/>
      <c r="EV7" s="79" t="s">
        <v>57</v>
      </c>
      <c r="EW7" s="1049" t="s">
        <v>58</v>
      </c>
      <c r="EX7" s="1049"/>
      <c r="EY7" s="1038" t="s">
        <v>59</v>
      </c>
      <c r="EZ7" s="1038"/>
      <c r="FA7" s="1038"/>
      <c r="FB7" s="1038"/>
      <c r="FC7" s="1038"/>
      <c r="FD7" s="1038"/>
      <c r="FE7" s="1038"/>
      <c r="FF7" s="1038"/>
      <c r="FG7" s="1038"/>
      <c r="FH7" s="1038"/>
      <c r="FI7" s="1038"/>
      <c r="FJ7" s="1038"/>
      <c r="FK7" s="1038"/>
      <c r="FL7" s="1038"/>
      <c r="FM7" s="1038"/>
      <c r="FN7" s="1038"/>
      <c r="FO7" s="1038"/>
      <c r="FP7" s="1038"/>
      <c r="FQ7" s="90"/>
    </row>
    <row r="8" spans="1:173" ht="12.6" thickBot="1" x14ac:dyDescent="0.45">
      <c r="A8" s="709"/>
      <c r="B8" s="1037" t="s">
        <v>60</v>
      </c>
      <c r="C8" s="1037"/>
      <c r="D8" s="1037" t="s">
        <v>61</v>
      </c>
      <c r="E8" s="1037"/>
      <c r="F8" s="591" t="s">
        <v>62</v>
      </c>
      <c r="G8" s="591" t="s">
        <v>63</v>
      </c>
      <c r="H8" s="9"/>
      <c r="I8" s="9"/>
      <c r="J8" s="9"/>
      <c r="K8" s="9"/>
      <c r="L8" s="9"/>
      <c r="M8" s="9"/>
      <c r="N8" s="9"/>
      <c r="O8" s="593"/>
      <c r="P8" s="9"/>
      <c r="Q8" s="9"/>
      <c r="R8" s="9"/>
      <c r="S8" s="593"/>
      <c r="T8" s="9"/>
      <c r="U8" s="9"/>
      <c r="V8" s="9"/>
      <c r="W8" s="593"/>
      <c r="X8">
        <f>'VERIFY TASK'!$D$12</f>
        <v>0</v>
      </c>
      <c r="Y8">
        <f>'VERIFY TASK'!$D$14</f>
        <v>0</v>
      </c>
      <c r="Z8" s="17">
        <f>'VERIFY TASK'!$D$16</f>
        <v>0</v>
      </c>
      <c r="AA8" s="48"/>
      <c r="AB8" s="134"/>
      <c r="AC8" s="134"/>
      <c r="AD8" s="130"/>
      <c r="AE8" s="86"/>
      <c r="AF8" s="86"/>
      <c r="AG8" s="50" t="s">
        <v>64</v>
      </c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705"/>
      <c r="AS8" s="91"/>
      <c r="AT8" s="92"/>
      <c r="AU8" s="93"/>
      <c r="AV8" s="19" t="s">
        <v>65</v>
      </c>
      <c r="AW8" s="19" t="s">
        <v>66</v>
      </c>
      <c r="AX8" s="94" t="s">
        <v>67</v>
      </c>
      <c r="AY8" s="95" t="s">
        <v>68</v>
      </c>
      <c r="AZ8" s="1043" t="s">
        <v>69</v>
      </c>
      <c r="BA8" s="1044"/>
      <c r="BB8" s="1043" t="s">
        <v>70</v>
      </c>
      <c r="BC8" s="1044"/>
      <c r="BD8" s="1045" t="s">
        <v>67</v>
      </c>
      <c r="BE8" s="1046"/>
      <c r="BF8" s="1039" t="s">
        <v>71</v>
      </c>
      <c r="BG8" s="1040"/>
      <c r="BH8" s="1041" t="s">
        <v>72</v>
      </c>
      <c r="BI8" s="1042"/>
      <c r="BJ8" s="1043" t="s">
        <v>69</v>
      </c>
      <c r="BK8" s="1044"/>
      <c r="BL8" s="1043" t="s">
        <v>70</v>
      </c>
      <c r="BM8" s="1044"/>
      <c r="BN8" s="1045" t="s">
        <v>67</v>
      </c>
      <c r="BO8" s="1046"/>
      <c r="BP8" s="1045" t="s">
        <v>71</v>
      </c>
      <c r="BQ8" s="1046"/>
      <c r="BS8" s="14"/>
      <c r="BT8" s="3"/>
      <c r="BU8" s="9"/>
      <c r="BV8" s="7"/>
      <c r="BW8" s="50"/>
      <c r="BX8" s="9"/>
      <c r="BY8" s="9"/>
      <c r="BZ8" s="9"/>
      <c r="CA8" s="9"/>
      <c r="CB8" s="9"/>
      <c r="CC8" s="9"/>
      <c r="CD8" s="9"/>
      <c r="CE8" s="9"/>
      <c r="CF8" s="14"/>
      <c r="CG8" s="14"/>
      <c r="CH8" s="49" t="s">
        <v>73</v>
      </c>
      <c r="CI8" s="96"/>
      <c r="CJ8" s="2"/>
      <c r="CK8" s="9"/>
      <c r="CL8" s="7"/>
      <c r="CM8" s="50"/>
      <c r="CN8" s="9"/>
      <c r="CO8" s="9"/>
      <c r="CP8" s="9"/>
      <c r="CQ8" s="9"/>
      <c r="CR8" s="9"/>
      <c r="CS8" s="9"/>
      <c r="CT8" s="9"/>
      <c r="CU8" s="50"/>
      <c r="CV8" s="22" t="s">
        <v>74</v>
      </c>
      <c r="CX8" s="49" t="s">
        <v>73</v>
      </c>
      <c r="CY8" s="96"/>
      <c r="CZ8" s="2"/>
      <c r="DA8" s="50" t="s">
        <v>64</v>
      </c>
      <c r="DB8" s="7"/>
      <c r="DC8" s="50"/>
      <c r="DD8" s="9"/>
      <c r="DE8" s="9"/>
      <c r="DF8" s="9"/>
      <c r="DG8" s="9"/>
      <c r="DH8" s="9"/>
      <c r="DI8" s="9"/>
      <c r="DJ8" s="9"/>
      <c r="DK8" s="9"/>
      <c r="DL8" s="22"/>
      <c r="DM8" s="22"/>
      <c r="DN8" s="19" t="s">
        <v>73</v>
      </c>
      <c r="DO8" s="96"/>
      <c r="DP8" s="2"/>
      <c r="DQ8" s="9"/>
      <c r="DR8" s="9"/>
      <c r="DS8" s="9"/>
      <c r="DT8" s="23"/>
      <c r="DU8" s="24"/>
      <c r="DV8" s="9"/>
      <c r="DW8" s="24"/>
      <c r="DX8" s="9"/>
      <c r="DY8" s="9"/>
      <c r="DZ8" s="23"/>
      <c r="EA8" s="2"/>
      <c r="EB8" s="97" t="s">
        <v>75</v>
      </c>
      <c r="EC8" s="97"/>
      <c r="ED8" s="50" t="s">
        <v>64</v>
      </c>
      <c r="EE8" s="7"/>
      <c r="EF8" s="50"/>
      <c r="EG8" s="9"/>
      <c r="EH8" s="9"/>
      <c r="EI8" s="9"/>
      <c r="EJ8" s="9"/>
      <c r="EK8" s="17"/>
      <c r="EL8" s="17"/>
      <c r="EM8" s="9"/>
      <c r="EN8" s="9"/>
      <c r="EO8" s="22" t="s">
        <v>74</v>
      </c>
      <c r="EP8" s="22"/>
      <c r="EQ8" s="88"/>
      <c r="ER8" s="19" t="s">
        <v>73</v>
      </c>
      <c r="ES8" s="19" t="s">
        <v>76</v>
      </c>
      <c r="ET8" s="19" t="s">
        <v>77</v>
      </c>
      <c r="EU8" s="19" t="s">
        <v>78</v>
      </c>
      <c r="EV8" s="26"/>
      <c r="EW8" s="79" t="s">
        <v>67</v>
      </c>
      <c r="EX8" s="79" t="s">
        <v>79</v>
      </c>
      <c r="EY8" s="98" t="s">
        <v>80</v>
      </c>
      <c r="EZ8" s="1043" t="s">
        <v>69</v>
      </c>
      <c r="FA8" s="1044"/>
      <c r="FB8" s="1043" t="s">
        <v>70</v>
      </c>
      <c r="FC8" s="1044"/>
      <c r="FD8" s="1045" t="s">
        <v>67</v>
      </c>
      <c r="FE8" s="1046"/>
      <c r="FF8" s="1039" t="s">
        <v>81</v>
      </c>
      <c r="FG8" s="1040"/>
      <c r="FH8" s="1050" t="s">
        <v>82</v>
      </c>
      <c r="FI8" s="1051"/>
      <c r="FJ8" s="1043" t="s">
        <v>69</v>
      </c>
      <c r="FK8" s="1044"/>
      <c r="FL8" s="1043" t="s">
        <v>70</v>
      </c>
      <c r="FM8" s="1044"/>
      <c r="FN8" s="1045" t="s">
        <v>67</v>
      </c>
      <c r="FO8" s="1046"/>
      <c r="FP8" s="1039" t="s">
        <v>81</v>
      </c>
      <c r="FQ8" s="1040"/>
    </row>
    <row r="9" spans="1:173" ht="12.6" thickBot="1" x14ac:dyDescent="0.45">
      <c r="A9" s="713" t="s">
        <v>83</v>
      </c>
      <c r="B9" s="585" t="s">
        <v>84</v>
      </c>
      <c r="C9" s="585" t="s">
        <v>85</v>
      </c>
      <c r="D9" s="585" t="s">
        <v>84</v>
      </c>
      <c r="E9" s="585" t="s">
        <v>85</v>
      </c>
      <c r="F9" s="585"/>
      <c r="G9" s="585"/>
      <c r="H9" s="586" t="s">
        <v>86</v>
      </c>
      <c r="I9" s="586" t="s">
        <v>87</v>
      </c>
      <c r="J9" s="586" t="s">
        <v>88</v>
      </c>
      <c r="K9" s="586" t="s">
        <v>89</v>
      </c>
      <c r="L9" s="586"/>
      <c r="M9" s="586"/>
      <c r="N9" s="586"/>
      <c r="O9" s="594" t="s">
        <v>124</v>
      </c>
      <c r="P9" s="586"/>
      <c r="Q9" s="586"/>
      <c r="R9" s="586"/>
      <c r="S9" s="594" t="s">
        <v>127</v>
      </c>
      <c r="T9" s="586"/>
      <c r="U9" s="586"/>
      <c r="V9" s="586"/>
      <c r="W9" s="594" t="s">
        <v>124</v>
      </c>
      <c r="X9" s="4"/>
      <c r="Y9" s="4"/>
      <c r="Z9" s="9"/>
      <c r="AA9" s="139"/>
      <c r="AB9" s="134"/>
      <c r="AC9" s="4"/>
      <c r="AD9" s="50"/>
      <c r="AE9" s="50" t="s">
        <v>91</v>
      </c>
      <c r="AF9" s="86" t="s">
        <v>92</v>
      </c>
      <c r="AG9" s="50" t="s">
        <v>93</v>
      </c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723" t="e">
        <f>IF(AND(MIN(#REF!)&gt;0,MIN(#REF!)&lt;$O$10),MIN(#REF!),"")</f>
        <v>#REF!</v>
      </c>
      <c r="AT9" s="92" t="s">
        <v>97</v>
      </c>
      <c r="AU9" s="99" t="s">
        <v>98</v>
      </c>
      <c r="AV9" s="100"/>
      <c r="AW9" s="101"/>
      <c r="AX9" s="102"/>
      <c r="AY9" s="103"/>
      <c r="AZ9" s="29"/>
      <c r="BA9" s="104"/>
      <c r="BB9" s="105"/>
      <c r="BC9" s="104"/>
      <c r="BD9" s="106"/>
      <c r="BE9" s="107"/>
      <c r="BF9" s="108"/>
      <c r="BG9" s="104"/>
      <c r="BH9" s="103"/>
      <c r="BI9" s="109"/>
      <c r="BJ9" s="110"/>
      <c r="BK9" s="104"/>
      <c r="BL9" s="110"/>
      <c r="BM9" s="104"/>
      <c r="BN9" s="111"/>
      <c r="BO9" s="107"/>
      <c r="BP9" s="112"/>
      <c r="BQ9" s="104"/>
      <c r="BR9" s="113"/>
      <c r="BS9" s="19"/>
      <c r="BT9" s="2"/>
      <c r="BU9" s="9"/>
      <c r="BV9" s="9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86"/>
      <c r="CH9" s="49"/>
      <c r="CI9" s="30"/>
      <c r="CJ9" s="2"/>
      <c r="CK9" s="50"/>
      <c r="CL9" s="50"/>
      <c r="CM9" s="50"/>
      <c r="CN9" s="9"/>
      <c r="CO9" s="9"/>
      <c r="CP9" s="9"/>
      <c r="CQ9" s="9"/>
      <c r="CR9" s="9"/>
      <c r="CS9" s="9"/>
      <c r="CT9" s="9"/>
      <c r="CU9" s="50"/>
      <c r="CV9" s="22" t="s">
        <v>100</v>
      </c>
      <c r="CW9" s="49"/>
      <c r="CX9" s="49" t="s">
        <v>99</v>
      </c>
      <c r="CY9" s="30" t="s">
        <v>101</v>
      </c>
      <c r="CZ9" s="2"/>
      <c r="DA9" s="50" t="s">
        <v>102</v>
      </c>
      <c r="DB9" s="9"/>
      <c r="DC9" s="50"/>
      <c r="DD9" s="9"/>
      <c r="DE9" s="9"/>
      <c r="DF9" s="9"/>
      <c r="DG9" s="9"/>
      <c r="DH9" s="9"/>
      <c r="DI9" s="9"/>
      <c r="DJ9" s="9"/>
      <c r="DK9" s="9"/>
      <c r="DL9" s="22"/>
      <c r="DM9" s="704" t="e">
        <f>MAX(#REF!)</f>
        <v>#REF!</v>
      </c>
      <c r="DN9" s="19" t="s">
        <v>99</v>
      </c>
      <c r="DO9" s="30"/>
      <c r="DP9" s="2"/>
      <c r="DQ9" s="9"/>
      <c r="DR9" s="9"/>
      <c r="DS9" s="9"/>
      <c r="DT9" s="23"/>
      <c r="DU9" s="24"/>
      <c r="DV9" s="24"/>
      <c r="DW9" s="9"/>
      <c r="DX9" s="24"/>
      <c r="DY9" s="24"/>
      <c r="DZ9" s="24"/>
      <c r="EA9" s="2"/>
      <c r="EB9" s="97" t="s">
        <v>103</v>
      </c>
      <c r="EC9" s="97" t="s">
        <v>91</v>
      </c>
      <c r="ED9" s="50" t="s">
        <v>104</v>
      </c>
      <c r="EE9" s="9"/>
      <c r="EF9" s="50"/>
      <c r="EG9" s="9"/>
      <c r="EH9" s="9"/>
      <c r="EI9" s="9"/>
      <c r="EJ9" s="9"/>
      <c r="EK9" s="9"/>
      <c r="EL9" s="9"/>
      <c r="EM9" s="9"/>
      <c r="EN9" s="9"/>
      <c r="EO9" s="22"/>
      <c r="EP9" s="22" t="e">
        <f>IF(MIN(#REF!)=0,"",MIN(#REF!))</f>
        <v>#REF!</v>
      </c>
      <c r="EQ9" s="22"/>
      <c r="ER9" s="19"/>
      <c r="ES9" s="114"/>
      <c r="ET9" s="76"/>
      <c r="EU9" s="115"/>
      <c r="EV9" s="116"/>
      <c r="EW9" s="117"/>
      <c r="EX9" s="118"/>
      <c r="EY9" s="119"/>
      <c r="EZ9" s="120"/>
      <c r="FA9" s="121"/>
      <c r="FB9" s="120"/>
      <c r="FC9" s="121"/>
      <c r="FD9" s="122"/>
      <c r="FE9" s="123"/>
      <c r="FF9" s="124"/>
      <c r="FG9" s="121"/>
      <c r="FH9" s="125"/>
      <c r="FI9" s="126"/>
      <c r="FJ9" s="120"/>
      <c r="FK9" s="121"/>
      <c r="FL9" s="120"/>
      <c r="FM9" s="121"/>
    </row>
    <row r="10" spans="1:173" ht="12.6" thickBot="1" x14ac:dyDescent="0.45">
      <c r="A10" s="714"/>
      <c r="B10" s="586"/>
      <c r="C10" s="586"/>
      <c r="D10" s="586"/>
      <c r="E10" s="586"/>
      <c r="F10" s="586"/>
      <c r="G10" s="586"/>
      <c r="H10" s="586" t="s">
        <v>105</v>
      </c>
      <c r="I10" s="588" t="s">
        <v>106</v>
      </c>
      <c r="J10" s="588" t="s">
        <v>107</v>
      </c>
      <c r="K10" s="588" t="s">
        <v>108</v>
      </c>
      <c r="L10" s="589"/>
      <c r="M10" s="589"/>
      <c r="N10" s="589"/>
      <c r="O10" s="596"/>
      <c r="P10" s="589"/>
      <c r="Q10" s="589"/>
      <c r="R10" s="589"/>
      <c r="S10" s="596"/>
      <c r="T10" s="589"/>
      <c r="U10" s="589"/>
      <c r="V10" s="589"/>
      <c r="W10" s="596"/>
      <c r="X10" s="599"/>
      <c r="Y10" s="599"/>
      <c r="Z10" s="599"/>
      <c r="AA10" s="599"/>
      <c r="AB10" s="599"/>
      <c r="AC10" s="600"/>
      <c r="AD10" s="586" t="s">
        <v>90</v>
      </c>
      <c r="AE10" s="601"/>
      <c r="AF10" s="601"/>
      <c r="AG10" s="599"/>
      <c r="AH10" s="588" t="s">
        <v>109</v>
      </c>
      <c r="AI10" s="588" t="s">
        <v>110</v>
      </c>
      <c r="AJ10" s="588" t="s">
        <v>111</v>
      </c>
      <c r="AK10" s="588" t="s">
        <v>112</v>
      </c>
      <c r="AL10" s="588" t="s">
        <v>113</v>
      </c>
      <c r="AM10" s="588" t="s">
        <v>114</v>
      </c>
      <c r="AN10" s="586" t="s">
        <v>94</v>
      </c>
      <c r="AO10" s="586" t="s">
        <v>95</v>
      </c>
      <c r="AP10" s="586" t="s">
        <v>96</v>
      </c>
      <c r="AQ10" s="588" t="s">
        <v>115</v>
      </c>
      <c r="AR10" s="586" t="s">
        <v>379</v>
      </c>
      <c r="AS10" s="600"/>
      <c r="AT10" s="587" t="s">
        <v>116</v>
      </c>
      <c r="AU10" s="602"/>
      <c r="AV10" s="599"/>
      <c r="AW10" s="599"/>
      <c r="AX10" s="599"/>
      <c r="AY10" s="587"/>
      <c r="AZ10" s="586"/>
      <c r="BA10" s="586"/>
      <c r="BB10" s="586"/>
      <c r="BC10" s="586"/>
      <c r="BD10" s="603"/>
      <c r="BE10" s="603"/>
      <c r="BF10" s="586"/>
      <c r="BG10" s="586"/>
      <c r="BH10" s="587"/>
      <c r="BI10" s="587"/>
      <c r="BJ10" s="586"/>
      <c r="BK10" s="586"/>
      <c r="BL10" s="586"/>
      <c r="BM10" s="586"/>
      <c r="BN10" s="603"/>
      <c r="BO10" s="603"/>
      <c r="BP10" s="586"/>
      <c r="BQ10" s="586"/>
      <c r="BR10" s="599"/>
      <c r="BS10" s="599"/>
      <c r="BT10" s="2"/>
      <c r="BU10" s="586" t="s">
        <v>64</v>
      </c>
      <c r="BV10" s="588" t="s">
        <v>109</v>
      </c>
      <c r="BW10" s="588" t="s">
        <v>110</v>
      </c>
      <c r="BX10" s="588" t="s">
        <v>111</v>
      </c>
      <c r="BY10" s="588" t="s">
        <v>112</v>
      </c>
      <c r="BZ10" s="588" t="s">
        <v>113</v>
      </c>
      <c r="CA10" s="588" t="s">
        <v>114</v>
      </c>
      <c r="CB10" s="589" t="s">
        <v>94</v>
      </c>
      <c r="CC10" s="589" t="s">
        <v>95</v>
      </c>
      <c r="CD10" s="589" t="s">
        <v>96</v>
      </c>
      <c r="CE10" s="588" t="s">
        <v>115</v>
      </c>
      <c r="CF10" s="586" t="s">
        <v>377</v>
      </c>
      <c r="CG10" s="604" t="s">
        <v>117</v>
      </c>
      <c r="CH10" s="599"/>
      <c r="CI10" s="599"/>
      <c r="CJ10" s="2"/>
      <c r="CK10" s="586" t="s">
        <v>64</v>
      </c>
      <c r="CL10" s="588" t="s">
        <v>109</v>
      </c>
      <c r="CM10" s="588" t="s">
        <v>110</v>
      </c>
      <c r="CN10" s="588" t="s">
        <v>111</v>
      </c>
      <c r="CO10" s="588" t="s">
        <v>112</v>
      </c>
      <c r="CP10" s="588" t="s">
        <v>113</v>
      </c>
      <c r="CQ10" s="588" t="s">
        <v>114</v>
      </c>
      <c r="CR10" s="589" t="s">
        <v>94</v>
      </c>
      <c r="CS10" s="589" t="s">
        <v>95</v>
      </c>
      <c r="CT10" s="589" t="s">
        <v>96</v>
      </c>
      <c r="CU10" s="588" t="s">
        <v>115</v>
      </c>
      <c r="CV10" s="599"/>
      <c r="CW10" s="604" t="s">
        <v>117</v>
      </c>
      <c r="CX10" s="599"/>
      <c r="CY10" s="599"/>
      <c r="CZ10" s="2"/>
      <c r="DA10" s="599"/>
      <c r="DB10" s="588" t="s">
        <v>109</v>
      </c>
      <c r="DC10" s="588" t="s">
        <v>110</v>
      </c>
      <c r="DD10" s="588" t="s">
        <v>111</v>
      </c>
      <c r="DE10" s="588" t="s">
        <v>112</v>
      </c>
      <c r="DF10" s="588" t="s">
        <v>113</v>
      </c>
      <c r="DG10" s="588" t="s">
        <v>114</v>
      </c>
      <c r="DH10" s="589" t="s">
        <v>94</v>
      </c>
      <c r="DI10" s="589" t="s">
        <v>95</v>
      </c>
      <c r="DJ10" s="589" t="s">
        <v>96</v>
      </c>
      <c r="DK10" s="588" t="s">
        <v>115</v>
      </c>
      <c r="DL10" s="586" t="s">
        <v>378</v>
      </c>
      <c r="DM10" s="604" t="s">
        <v>117</v>
      </c>
      <c r="DN10" s="599"/>
      <c r="DO10" s="599"/>
      <c r="DP10" s="2"/>
      <c r="DQ10" s="599"/>
      <c r="DR10" s="599"/>
      <c r="DS10" s="599"/>
      <c r="DT10" s="599"/>
      <c r="DU10" s="599"/>
      <c r="DV10" s="605"/>
      <c r="DW10" s="599"/>
      <c r="DX10" s="599"/>
      <c r="DY10" s="599"/>
      <c r="DZ10" s="599"/>
      <c r="EA10" s="2"/>
      <c r="EB10" s="599"/>
      <c r="EC10" s="601"/>
      <c r="ED10" s="599"/>
      <c r="EE10" s="588" t="s">
        <v>109</v>
      </c>
      <c r="EF10" s="588" t="s">
        <v>110</v>
      </c>
      <c r="EG10" s="588" t="s">
        <v>111</v>
      </c>
      <c r="EH10" s="588" t="s">
        <v>112</v>
      </c>
      <c r="EI10" s="588" t="s">
        <v>113</v>
      </c>
      <c r="EJ10" s="588" t="s">
        <v>114</v>
      </c>
      <c r="EK10" s="589" t="s">
        <v>94</v>
      </c>
      <c r="EL10" s="589" t="s">
        <v>95</v>
      </c>
      <c r="EM10" s="589" t="s">
        <v>96</v>
      </c>
      <c r="EN10" s="588" t="s">
        <v>115</v>
      </c>
      <c r="EO10" s="589"/>
      <c r="EP10" s="589"/>
      <c r="EQ10" s="589"/>
      <c r="ER10" s="599"/>
      <c r="ES10" s="599"/>
      <c r="ET10" s="599"/>
      <c r="EU10" s="586"/>
      <c r="EV10" s="589"/>
      <c r="EW10" s="606"/>
      <c r="EX10" s="606"/>
      <c r="EY10" s="587"/>
      <c r="EZ10" s="599"/>
      <c r="FA10" s="599"/>
      <c r="FB10" s="599"/>
      <c r="FC10" s="599"/>
      <c r="FD10" s="605"/>
      <c r="FE10" s="599"/>
      <c r="FF10" s="605"/>
      <c r="FG10" s="599"/>
      <c r="FH10" s="607"/>
      <c r="FI10" s="599"/>
      <c r="FJ10" s="599"/>
      <c r="FK10" s="599"/>
      <c r="FL10" s="599"/>
      <c r="FM10" s="599"/>
    </row>
    <row r="11" spans="1:173" ht="13" customHeight="1" x14ac:dyDescent="0.4">
      <c r="CX11" t="str">
        <f>IF(OR(A11&lt;CH$4,A11&gt;$C$5,AND($DY$2&lt;&gt;"",A11&gt;$DY$2),CV11=""),"",IF(OR(AND(B11=CK$4,D11=CN$4),AND(CU$5&gt;CU$6,CV11&gt;=CU$6,CV11&lt;=CU$5),AND(CU$5&lt;CU$6,OR(CV11&gt;=CU$6,CV11&lt;=CU$5))),A11,""))</f>
        <v/>
      </c>
    </row>
  </sheetData>
  <sheetProtection password="C630" sheet="1" objects="1" scenarios="1" selectLockedCells="1" selectUnlockedCells="1"/>
  <mergeCells count="43">
    <mergeCell ref="FF8:FG8"/>
    <mergeCell ref="BB8:BC8"/>
    <mergeCell ref="BD8:BE8"/>
    <mergeCell ref="AO1:AO2"/>
    <mergeCell ref="AQ1:AQ2"/>
    <mergeCell ref="DL2:DM2"/>
    <mergeCell ref="DI1:DI2"/>
    <mergeCell ref="DK1:DK2"/>
    <mergeCell ref="CC1:CC2"/>
    <mergeCell ref="CE1:CE2"/>
    <mergeCell ref="CF2:CG2"/>
    <mergeCell ref="BL8:BM8"/>
    <mergeCell ref="BN8:BO8"/>
    <mergeCell ref="BP8:BQ8"/>
    <mergeCell ref="EZ8:FA8"/>
    <mergeCell ref="H1:K1"/>
    <mergeCell ref="H2:K2"/>
    <mergeCell ref="X1:Z1"/>
    <mergeCell ref="AA1:AA2"/>
    <mergeCell ref="EE1:EE2"/>
    <mergeCell ref="BV1:BV2"/>
    <mergeCell ref="CL1:CL2"/>
    <mergeCell ref="DB1:DB2"/>
    <mergeCell ref="AH1:AH2"/>
    <mergeCell ref="CV2:CW2"/>
    <mergeCell ref="CS1:CS2"/>
    <mergeCell ref="CU1:CU2"/>
    <mergeCell ref="B8:C8"/>
    <mergeCell ref="D8:E8"/>
    <mergeCell ref="EY7:FP7"/>
    <mergeCell ref="BF8:BG8"/>
    <mergeCell ref="BH8:BI8"/>
    <mergeCell ref="FL8:FM8"/>
    <mergeCell ref="FN8:FO8"/>
    <mergeCell ref="FJ8:FK8"/>
    <mergeCell ref="FB8:FC8"/>
    <mergeCell ref="FD8:FE8"/>
    <mergeCell ref="AY7:BP7"/>
    <mergeCell ref="EW7:EX7"/>
    <mergeCell ref="AZ8:BA8"/>
    <mergeCell ref="FP8:FQ8"/>
    <mergeCell ref="FH8:FI8"/>
    <mergeCell ref="BJ8:BK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670"/>
  <sheetViews>
    <sheetView showOutlineSymbols="0" zoomScaleNormal="100" workbookViewId="0">
      <selection sqref="A1:J1"/>
    </sheetView>
  </sheetViews>
  <sheetFormatPr defaultColWidth="18.71875" defaultRowHeight="12.75" customHeight="1" outlineLevelRow="1" x14ac:dyDescent="0.4"/>
  <cols>
    <col min="1" max="1" width="2.1640625" customWidth="1"/>
    <col min="2" max="2" width="19" customWidth="1"/>
    <col min="3" max="3" width="19.71875" customWidth="1"/>
    <col min="4" max="4" width="16.5546875" customWidth="1"/>
    <col min="5" max="5" width="19.5546875" customWidth="1"/>
    <col min="6" max="6" width="17.5546875" customWidth="1"/>
    <col min="7" max="7" width="6.27734375" customWidth="1"/>
    <col min="8" max="8" width="16.27734375" customWidth="1"/>
    <col min="9" max="9" width="20.5546875" customWidth="1"/>
    <col min="10" max="10" width="19.44140625" customWidth="1"/>
    <col min="11" max="11" width="17.83203125" customWidth="1"/>
    <col min="12" max="16" width="20.71875" customWidth="1"/>
    <col min="17" max="17" width="6.83203125" customWidth="1"/>
    <col min="18" max="26" width="20.71875" customWidth="1"/>
    <col min="27" max="27" width="7.5546875" customWidth="1"/>
    <col min="28" max="30" width="20.71875" customWidth="1"/>
  </cols>
  <sheetData>
    <row r="1" spans="1:10" s="444" customFormat="1" ht="12.3" x14ac:dyDescent="0.4">
      <c r="A1" s="1077" t="s">
        <v>211</v>
      </c>
      <c r="B1" s="1077"/>
      <c r="C1" s="1077"/>
      <c r="D1" s="1077"/>
      <c r="E1" s="1077"/>
      <c r="F1" s="1077"/>
      <c r="G1" s="1077"/>
      <c r="H1" s="1077"/>
      <c r="I1" s="1077"/>
      <c r="J1" s="1077"/>
    </row>
    <row r="2" spans="1:10" s="444" customFormat="1" ht="12.3" x14ac:dyDescent="0.4">
      <c r="A2" s="1078" t="s">
        <v>210</v>
      </c>
      <c r="B2" s="1078"/>
      <c r="C2" s="1078"/>
      <c r="D2" s="445"/>
      <c r="E2" s="445"/>
      <c r="F2" s="445"/>
      <c r="G2" s="445"/>
      <c r="H2" s="445"/>
      <c r="I2" s="445"/>
      <c r="J2" s="446"/>
    </row>
    <row r="3" spans="1:10" s="444" customFormat="1" ht="12.3" x14ac:dyDescent="0.4">
      <c r="A3" s="445"/>
      <c r="B3" s="445"/>
      <c r="C3" s="445"/>
      <c r="D3" s="445"/>
      <c r="E3" s="445"/>
      <c r="F3" s="445"/>
      <c r="G3" s="445"/>
      <c r="H3" s="445"/>
      <c r="I3" s="445"/>
      <c r="J3" s="446"/>
    </row>
    <row r="4" spans="1:10" s="444" customFormat="1" ht="12.3" x14ac:dyDescent="0.4">
      <c r="A4" s="445"/>
      <c r="B4" s="445"/>
      <c r="C4" s="445"/>
      <c r="D4" s="445"/>
      <c r="E4" s="445"/>
      <c r="F4" s="445"/>
      <c r="G4" s="445"/>
      <c r="H4" s="445"/>
      <c r="I4" s="445"/>
      <c r="J4" s="446"/>
    </row>
    <row r="5" spans="1:10" s="444" customFormat="1" ht="18.75" customHeight="1" x14ac:dyDescent="0.5">
      <c r="A5" s="447"/>
      <c r="B5" s="448" t="s">
        <v>187</v>
      </c>
      <c r="C5" s="448" t="s">
        <v>186</v>
      </c>
      <c r="D5" s="447"/>
      <c r="E5" s="447"/>
      <c r="F5" s="447"/>
      <c r="G5" s="447"/>
      <c r="H5" s="447"/>
      <c r="I5" s="447"/>
    </row>
    <row r="6" spans="1:10" s="444" customFormat="1" ht="17.399999999999999" x14ac:dyDescent="0.55000000000000004">
      <c r="A6" s="447"/>
      <c r="B6" s="449" t="s">
        <v>185</v>
      </c>
      <c r="C6" s="450" t="s">
        <v>36</v>
      </c>
      <c r="D6" s="451"/>
      <c r="E6" s="452"/>
      <c r="F6" s="453" t="s">
        <v>183</v>
      </c>
      <c r="G6" s="1076" t="str">
        <f>SUMMARY!H14</f>
        <v>Landing</v>
      </c>
      <c r="H6" s="1076"/>
      <c r="I6" s="454"/>
      <c r="J6" s="455"/>
    </row>
    <row r="7" spans="1:10" s="444" customFormat="1" ht="14.7" x14ac:dyDescent="0.6">
      <c r="A7" s="447"/>
      <c r="B7" s="158" t="s">
        <v>405</v>
      </c>
      <c r="C7" s="456">
        <f>SUMMARY!I7</f>
        <v>0</v>
      </c>
      <c r="D7" s="457">
        <f>SUMMARY!J7</f>
        <v>0</v>
      </c>
      <c r="E7" s="458"/>
      <c r="F7" s="157" t="s">
        <v>406</v>
      </c>
      <c r="G7" s="459">
        <f>SUMMARY!$I$16</f>
        <v>0</v>
      </c>
      <c r="H7" s="457">
        <f>SUMMARY!$J$16</f>
        <v>0</v>
      </c>
      <c r="I7" s="458"/>
      <c r="J7" s="460"/>
    </row>
    <row r="8" spans="1:10" s="444" customFormat="1" ht="14.7" x14ac:dyDescent="0.6">
      <c r="A8" s="447"/>
      <c r="B8" s="158" t="s">
        <v>407</v>
      </c>
      <c r="C8" s="461">
        <f>SUMMARY!I9</f>
        <v>0</v>
      </c>
      <c r="D8" s="462">
        <f>SUMMARY!J9</f>
        <v>0</v>
      </c>
      <c r="E8" s="463">
        <f>1</f>
        <v>1</v>
      </c>
      <c r="F8" s="157" t="s">
        <v>408</v>
      </c>
      <c r="G8" s="459">
        <f>SUMMARY!$I$18</f>
        <v>0</v>
      </c>
      <c r="H8" s="457">
        <f>SUMMARY!$J$18</f>
        <v>0</v>
      </c>
      <c r="I8" s="458"/>
    </row>
    <row r="9" spans="1:10" s="444" customFormat="1" ht="12.3" x14ac:dyDescent="0.4">
      <c r="A9" s="447"/>
      <c r="B9" s="464" t="s">
        <v>180</v>
      </c>
      <c r="C9" s="465">
        <f>E57</f>
        <v>0</v>
      </c>
      <c r="D9" s="466"/>
      <c r="E9" s="467"/>
      <c r="F9" s="468"/>
      <c r="G9" s="468"/>
      <c r="H9" s="468"/>
      <c r="I9" s="156" t="s">
        <v>179</v>
      </c>
      <c r="J9" s="447"/>
    </row>
    <row r="10" spans="1:10" s="444" customFormat="1" ht="14.7" x14ac:dyDescent="0.6">
      <c r="A10" s="447"/>
      <c r="B10" s="464" t="s">
        <v>409</v>
      </c>
      <c r="C10" s="469">
        <f>I69</f>
        <v>0</v>
      </c>
      <c r="D10" s="470"/>
      <c r="E10" s="471"/>
      <c r="F10" s="447"/>
      <c r="G10" s="472"/>
      <c r="H10" s="473"/>
      <c r="J10" s="474"/>
    </row>
    <row r="11" spans="1:10" s="444" customFormat="1" ht="14.7" x14ac:dyDescent="0.6">
      <c r="A11" s="447"/>
      <c r="B11" s="475" t="s">
        <v>410</v>
      </c>
      <c r="C11" s="476">
        <f>J69</f>
        <v>0</v>
      </c>
      <c r="D11" s="477"/>
      <c r="E11" s="478"/>
      <c r="F11" s="479">
        <f>C9/1000</f>
        <v>0</v>
      </c>
      <c r="G11" s="447" t="s">
        <v>178</v>
      </c>
      <c r="H11" s="447"/>
    </row>
    <row r="12" spans="1:10" s="446" customFormat="1" ht="12.3" x14ac:dyDescent="0.4">
      <c r="A12" s="445"/>
      <c r="B12" s="480"/>
      <c r="C12" s="481"/>
      <c r="D12" s="482"/>
      <c r="E12" s="483"/>
      <c r="F12" s="484"/>
      <c r="G12" s="445"/>
      <c r="H12" s="444"/>
      <c r="I12" s="444"/>
    </row>
    <row r="13" spans="1:10" s="444" customFormat="1" ht="14.7" outlineLevel="1" x14ac:dyDescent="0.6">
      <c r="A13" s="447"/>
      <c r="B13" s="460" t="s">
        <v>411</v>
      </c>
      <c r="C13" s="485">
        <f>C7+D7/60</f>
        <v>0</v>
      </c>
      <c r="D13" s="447"/>
      <c r="E13" s="485">
        <f>C13*PI()/180</f>
        <v>0</v>
      </c>
      <c r="F13" s="447"/>
      <c r="G13" s="460"/>
      <c r="H13" s="460"/>
      <c r="I13" s="447"/>
    </row>
    <row r="14" spans="1:10" s="444" customFormat="1" ht="14.7" outlineLevel="1" x14ac:dyDescent="0.6">
      <c r="A14" s="447"/>
      <c r="B14" s="460" t="s">
        <v>412</v>
      </c>
      <c r="C14" s="485">
        <f>C8+D8/60</f>
        <v>0</v>
      </c>
      <c r="D14" s="447"/>
      <c r="E14" s="485">
        <f>C14*PI()/180</f>
        <v>0</v>
      </c>
      <c r="F14" s="486"/>
      <c r="G14" s="460"/>
      <c r="H14" s="485"/>
      <c r="I14" s="447"/>
    </row>
    <row r="15" spans="1:10" s="444" customFormat="1" ht="14.7" outlineLevel="1" x14ac:dyDescent="0.6">
      <c r="A15" s="447"/>
      <c r="B15" s="460" t="s">
        <v>413</v>
      </c>
      <c r="C15" s="485">
        <f>G7+H7/60</f>
        <v>0</v>
      </c>
      <c r="D15" s="447"/>
      <c r="E15" s="485">
        <f>C15*PI()/180</f>
        <v>0</v>
      </c>
      <c r="F15" s="447"/>
      <c r="G15" s="460"/>
      <c r="H15" s="460"/>
      <c r="I15" s="447"/>
    </row>
    <row r="16" spans="1:10" s="444" customFormat="1" ht="14.7" outlineLevel="1" x14ac:dyDescent="0.6">
      <c r="A16" s="447"/>
      <c r="B16" s="460" t="s">
        <v>414</v>
      </c>
      <c r="C16" s="485">
        <f>G8+H8/60</f>
        <v>0</v>
      </c>
      <c r="D16" s="447"/>
      <c r="E16" s="485">
        <f>C16*PI()/180</f>
        <v>0</v>
      </c>
      <c r="F16" s="486"/>
      <c r="G16" s="460"/>
      <c r="H16" s="485"/>
      <c r="I16" s="447"/>
    </row>
    <row r="17" spans="2:8" s="447" customFormat="1" ht="12.3" outlineLevel="1" x14ac:dyDescent="0.4">
      <c r="B17" s="485"/>
      <c r="C17" s="485"/>
      <c r="D17" s="485"/>
      <c r="E17" s="485"/>
      <c r="G17" s="460"/>
      <c r="H17" s="485"/>
    </row>
    <row r="18" spans="2:8" s="447" customFormat="1" ht="12.3" outlineLevel="1" x14ac:dyDescent="0.4">
      <c r="B18" s="460" t="s">
        <v>176</v>
      </c>
      <c r="C18" s="487">
        <v>6378137</v>
      </c>
      <c r="D18" s="488"/>
      <c r="E18" s="489" t="s">
        <v>175</v>
      </c>
      <c r="F18" s="485">
        <f>C20+C20*C20</f>
        <v>3.3640520041011246E-3</v>
      </c>
      <c r="G18" s="460"/>
      <c r="H18" s="460"/>
    </row>
    <row r="19" spans="2:8" s="447" customFormat="1" ht="12.3" outlineLevel="1" x14ac:dyDescent="0.4">
      <c r="B19" s="489" t="s">
        <v>174</v>
      </c>
      <c r="C19" s="487">
        <v>6356752.3142451793</v>
      </c>
      <c r="D19" s="488"/>
      <c r="E19" s="489" t="s">
        <v>173</v>
      </c>
      <c r="F19" s="485">
        <f>F18/2</f>
        <v>1.6820260020505623E-3</v>
      </c>
      <c r="G19" s="460"/>
      <c r="H19" s="460"/>
    </row>
    <row r="20" spans="2:8" s="447" customFormat="1" ht="12.3" outlineLevel="1" x14ac:dyDescent="0.4">
      <c r="B20" s="489" t="s">
        <v>172</v>
      </c>
      <c r="C20" s="485">
        <v>3.3528106647474801E-3</v>
      </c>
      <c r="D20" s="489"/>
      <c r="E20" s="489" t="s">
        <v>171</v>
      </c>
      <c r="F20" s="485">
        <f>C20*C20/2</f>
        <v>5.6206696768222199E-6</v>
      </c>
      <c r="G20" s="460"/>
      <c r="H20" s="460"/>
    </row>
    <row r="21" spans="2:8" s="447" customFormat="1" ht="12.3" outlineLevel="1" x14ac:dyDescent="0.4">
      <c r="B21" s="460" t="s">
        <v>415</v>
      </c>
      <c r="C21" s="485">
        <f>E16-E14</f>
        <v>0</v>
      </c>
      <c r="E21" s="447" t="s">
        <v>170</v>
      </c>
      <c r="F21" s="485">
        <f>C20*C20/8</f>
        <v>1.405167419205555E-6</v>
      </c>
      <c r="G21" s="460"/>
      <c r="H21" s="460"/>
    </row>
    <row r="22" spans="2:8" s="447" customFormat="1" ht="12.3" outlineLevel="1" x14ac:dyDescent="0.4">
      <c r="E22" s="489" t="s">
        <v>169</v>
      </c>
      <c r="F22" s="485">
        <f>C20*C20/16</f>
        <v>7.0258370960277749E-7</v>
      </c>
      <c r="G22" s="460"/>
      <c r="H22" s="460"/>
    </row>
    <row r="23" spans="2:8" s="447" customFormat="1" ht="12.3" outlineLevel="1" x14ac:dyDescent="0.4">
      <c r="B23" s="447" t="s">
        <v>168</v>
      </c>
      <c r="C23" s="490">
        <f>(1-C20)*TAN(E13)</f>
        <v>0</v>
      </c>
      <c r="E23" s="489"/>
      <c r="F23" s="460"/>
      <c r="G23" s="460"/>
      <c r="H23" s="460"/>
    </row>
    <row r="24" spans="2:8" s="447" customFormat="1" ht="12.3" outlineLevel="1" x14ac:dyDescent="0.4">
      <c r="B24" s="460" t="s">
        <v>106</v>
      </c>
      <c r="C24" s="485">
        <f>ATAN(C23)</f>
        <v>0</v>
      </c>
      <c r="D24" s="489"/>
      <c r="E24" s="148"/>
      <c r="F24" s="485"/>
      <c r="G24" s="460"/>
      <c r="H24" s="460"/>
    </row>
    <row r="25" spans="2:8" s="447" customFormat="1" ht="12.3" outlineLevel="1" x14ac:dyDescent="0.4">
      <c r="B25" s="460" t="s">
        <v>167</v>
      </c>
      <c r="C25" s="485">
        <f>SIN(C24)</f>
        <v>0</v>
      </c>
      <c r="D25" s="489"/>
      <c r="E25" s="148"/>
      <c r="F25" s="485"/>
      <c r="G25" s="460"/>
      <c r="H25" s="460"/>
    </row>
    <row r="26" spans="2:8" s="447" customFormat="1" ht="12.3" outlineLevel="1" x14ac:dyDescent="0.4">
      <c r="B26" s="460" t="s">
        <v>166</v>
      </c>
      <c r="C26" s="485">
        <f>COS(C24)</f>
        <v>1</v>
      </c>
      <c r="D26" s="489"/>
      <c r="E26" s="460"/>
      <c r="F26" s="485"/>
      <c r="G26" s="460"/>
      <c r="H26" s="460"/>
    </row>
    <row r="27" spans="2:8" s="447" customFormat="1" ht="12.3" outlineLevel="1" x14ac:dyDescent="0.4">
      <c r="B27" s="460" t="s">
        <v>165</v>
      </c>
      <c r="C27" s="491">
        <f>(1-C20)*TAN(E15)</f>
        <v>0</v>
      </c>
      <c r="D27" s="489"/>
      <c r="E27" s="460"/>
      <c r="F27" s="485"/>
      <c r="G27" s="460"/>
      <c r="H27" s="460"/>
    </row>
    <row r="28" spans="2:8" s="447" customFormat="1" ht="12.3" outlineLevel="1" x14ac:dyDescent="0.4">
      <c r="B28" s="460" t="s">
        <v>164</v>
      </c>
      <c r="C28" s="485">
        <f>ATAN(C27)</f>
        <v>0</v>
      </c>
      <c r="D28" s="489"/>
      <c r="E28" s="460"/>
      <c r="F28" s="485"/>
      <c r="G28" s="460"/>
      <c r="H28" s="460"/>
    </row>
    <row r="29" spans="2:8" s="447" customFormat="1" ht="12.3" outlineLevel="1" x14ac:dyDescent="0.4">
      <c r="B29" s="460" t="s">
        <v>163</v>
      </c>
      <c r="C29" s="485">
        <f>SIN(C28)</f>
        <v>0</v>
      </c>
      <c r="D29" s="489"/>
      <c r="E29" s="460"/>
      <c r="F29" s="485"/>
      <c r="G29" s="460"/>
      <c r="H29" s="460"/>
    </row>
    <row r="30" spans="2:8" s="447" customFormat="1" ht="12.3" outlineLevel="1" x14ac:dyDescent="0.4">
      <c r="B30" s="460" t="s">
        <v>162</v>
      </c>
      <c r="C30" s="485">
        <f>COS(C28)</f>
        <v>1</v>
      </c>
      <c r="D30" s="489"/>
      <c r="E30" s="460"/>
      <c r="F30" s="485"/>
      <c r="G30" s="460"/>
      <c r="H30" s="460"/>
    </row>
    <row r="31" spans="2:8" s="447" customFormat="1" ht="12.3" outlineLevel="1" x14ac:dyDescent="0.4">
      <c r="B31" s="147" t="s">
        <v>161</v>
      </c>
      <c r="C31" s="485"/>
      <c r="D31" s="489"/>
      <c r="E31" s="460"/>
      <c r="F31" s="485"/>
      <c r="G31" s="460"/>
      <c r="H31" s="460"/>
    </row>
    <row r="32" spans="2:8" s="447" customFormat="1" ht="12.3" outlineLevel="1" x14ac:dyDescent="0.4">
      <c r="B32" s="148" t="s">
        <v>144</v>
      </c>
      <c r="C32" s="485">
        <f>C21</f>
        <v>0</v>
      </c>
      <c r="D32" s="489"/>
      <c r="E32" s="485">
        <f ca="1">E55</f>
        <v>0</v>
      </c>
      <c r="F32" s="485"/>
      <c r="G32" s="460"/>
      <c r="H32" s="460"/>
    </row>
    <row r="33" spans="1:13" s="444" customFormat="1" ht="12.3" outlineLevel="1" x14ac:dyDescent="0.4">
      <c r="A33" s="447"/>
      <c r="B33" s="147" t="s">
        <v>160</v>
      </c>
      <c r="C33" s="485"/>
      <c r="D33" s="489"/>
      <c r="E33" s="460"/>
      <c r="F33" s="485"/>
      <c r="G33" s="460"/>
      <c r="H33" s="460"/>
      <c r="I33" s="447"/>
    </row>
    <row r="34" spans="1:13" s="444" customFormat="1" ht="13.8" outlineLevel="1" x14ac:dyDescent="0.4">
      <c r="A34" s="447"/>
      <c r="B34" s="460" t="s">
        <v>159</v>
      </c>
      <c r="C34" s="485">
        <f>(C30*SIN(C32)*C30*SIN(C32))+(C26*C29-C25*C30*COS(C32))*(C26*C29-C25*C30*COS(C32))</f>
        <v>0</v>
      </c>
      <c r="D34" s="489"/>
      <c r="E34" s="485">
        <f ca="1">(C30*SIN(E32)*C30*SIN(E32))+(C26*C29-C25*C30*COS(E32))*(C26*C29-C25*C30*COS(E32))</f>
        <v>0</v>
      </c>
      <c r="F34" s="485"/>
      <c r="G34" s="460"/>
      <c r="H34" s="460"/>
      <c r="I34" s="447"/>
    </row>
    <row r="35" spans="1:13" s="444" customFormat="1" ht="12.3" outlineLevel="1" x14ac:dyDescent="0.4">
      <c r="A35" s="447"/>
      <c r="B35" s="154" t="s">
        <v>158</v>
      </c>
      <c r="C35" s="485"/>
      <c r="D35" s="489"/>
      <c r="E35" s="489"/>
      <c r="F35" s="485"/>
      <c r="G35" s="460"/>
      <c r="H35" s="460"/>
      <c r="I35" s="447"/>
    </row>
    <row r="36" spans="1:13" s="444" customFormat="1" ht="12.3" outlineLevel="1" x14ac:dyDescent="0.4">
      <c r="A36" s="447"/>
      <c r="B36" s="447" t="s">
        <v>157</v>
      </c>
      <c r="C36" s="447">
        <f>(C25*C29)+(C26*C30*COS(C32))</f>
        <v>1</v>
      </c>
      <c r="D36" s="447"/>
      <c r="E36" s="447">
        <f ca="1">(C25*C29)+(C26*C30*COS(E32))</f>
        <v>1</v>
      </c>
      <c r="F36" s="447"/>
      <c r="G36" s="460"/>
      <c r="H36" s="460"/>
      <c r="I36" s="447"/>
    </row>
    <row r="37" spans="1:13" s="444" customFormat="1" ht="12.3" outlineLevel="1" x14ac:dyDescent="0.4">
      <c r="A37" s="447"/>
      <c r="B37" s="153" t="s">
        <v>156</v>
      </c>
      <c r="C37" s="489"/>
      <c r="D37" s="489"/>
      <c r="E37" s="489"/>
      <c r="F37" s="460"/>
      <c r="G37" s="460"/>
      <c r="H37" s="460"/>
      <c r="I37" s="447"/>
    </row>
    <row r="38" spans="1:13" s="444" customFormat="1" ht="12.3" outlineLevel="1" x14ac:dyDescent="0.4">
      <c r="A38" s="447"/>
      <c r="B38" s="460" t="s">
        <v>155</v>
      </c>
      <c r="C38" s="485">
        <f>SQRT(C34)/C36</f>
        <v>0</v>
      </c>
      <c r="D38" s="489"/>
      <c r="E38" s="485">
        <f ca="1">SQRT(E34)/E36</f>
        <v>0</v>
      </c>
      <c r="F38" s="485"/>
      <c r="G38" s="447"/>
      <c r="H38" s="447"/>
      <c r="I38" s="492"/>
      <c r="L38" s="455"/>
      <c r="M38" s="493"/>
    </row>
    <row r="39" spans="1:13" s="444" customFormat="1" ht="12.3" outlineLevel="1" x14ac:dyDescent="0.4">
      <c r="A39" s="447"/>
      <c r="B39" s="148" t="s">
        <v>142</v>
      </c>
      <c r="C39" s="485">
        <f>ATAN(C38)</f>
        <v>0</v>
      </c>
      <c r="D39" s="489"/>
      <c r="E39" s="485">
        <f ca="1">IF(ATAN(E38)&lt;0,ATAN(E38)+PI(),ATAN(E38))</f>
        <v>0</v>
      </c>
      <c r="F39" s="485"/>
      <c r="G39" s="447"/>
      <c r="H39" s="447"/>
      <c r="I39" s="492"/>
      <c r="L39" s="455"/>
      <c r="M39" s="493"/>
    </row>
    <row r="40" spans="1:13" s="444" customFormat="1" ht="12.3" outlineLevel="1" x14ac:dyDescent="0.4">
      <c r="A40" s="447"/>
      <c r="B40" s="147" t="s">
        <v>154</v>
      </c>
      <c r="C40" s="485"/>
      <c r="D40" s="489"/>
      <c r="E40" s="460"/>
      <c r="F40" s="485"/>
      <c r="G40" s="447"/>
      <c r="H40" s="447"/>
      <c r="I40" s="492"/>
      <c r="L40" s="455"/>
      <c r="M40" s="493"/>
    </row>
    <row r="41" spans="1:13" s="444" customFormat="1" ht="12.3" outlineLevel="1" x14ac:dyDescent="0.4">
      <c r="A41" s="447"/>
      <c r="B41" s="460" t="s">
        <v>153</v>
      </c>
      <c r="C41" s="485">
        <f>IF(C34=0,0,C26*C30*SIN(C32)/SQRT(C34))</f>
        <v>0</v>
      </c>
      <c r="D41" s="489"/>
      <c r="E41" s="485">
        <f ca="1">IF(E34=0,0,C26*C30*SIN(E32)/SQRT(E34))</f>
        <v>0</v>
      </c>
      <c r="F41" s="485"/>
      <c r="G41" s="460"/>
      <c r="H41" s="460"/>
      <c r="I41" s="492"/>
      <c r="L41" s="455"/>
      <c r="M41" s="493"/>
    </row>
    <row r="42" spans="1:13" s="444" customFormat="1" ht="12.3" outlineLevel="1" x14ac:dyDescent="0.4">
      <c r="A42" s="447"/>
      <c r="B42" s="147" t="s">
        <v>152</v>
      </c>
      <c r="C42" s="485"/>
      <c r="D42" s="489"/>
      <c r="E42" s="489"/>
      <c r="F42" s="485"/>
      <c r="G42" s="460"/>
      <c r="H42" s="460"/>
      <c r="I42" s="447"/>
      <c r="L42" s="455"/>
      <c r="M42" s="493"/>
    </row>
    <row r="43" spans="1:13" s="444" customFormat="1" ht="16.2" outlineLevel="1" x14ac:dyDescent="0.65">
      <c r="A43" s="447"/>
      <c r="B43" s="447" t="s">
        <v>416</v>
      </c>
      <c r="C43" s="447">
        <f>IF((COS(ASIN(C41))*COS(ASIN(C41)))=0,0,C36-2*C25*C29/(COS(ASIN(C41))*COS(ASIN(C41))))</f>
        <v>1</v>
      </c>
      <c r="D43" s="489"/>
      <c r="E43" s="447">
        <f ca="1">E36-2*C25*C29/(COS(ASIN(E41))*COS(ASIN(E41)))</f>
        <v>1</v>
      </c>
      <c r="F43" s="460"/>
      <c r="G43" s="460"/>
      <c r="H43" s="460"/>
      <c r="I43" s="447"/>
    </row>
    <row r="44" spans="1:13" s="444" customFormat="1" ht="15.9" outlineLevel="1" x14ac:dyDescent="0.45">
      <c r="A44" s="447"/>
      <c r="B44" s="447" t="s">
        <v>151</v>
      </c>
      <c r="C44" s="487">
        <f>COS(ASIN(C41))*COS(ASIN(C41))*(C18*C18-C19*C19)/(C19*C19)</f>
        <v>6.7394967422764341E-3</v>
      </c>
      <c r="D44" s="489"/>
      <c r="E44" s="487">
        <f ca="1">COS(ASIN(E41))*COS(ASIN(E41))*(C18*C18-C19*C19)/(C19*C19)</f>
        <v>6.7394967422764341E-3</v>
      </c>
      <c r="F44" s="447"/>
      <c r="G44" s="460"/>
      <c r="H44" s="460"/>
      <c r="I44" s="447"/>
    </row>
    <row r="45" spans="1:13" s="444" customFormat="1" ht="12.3" outlineLevel="1" x14ac:dyDescent="0.4">
      <c r="A45" s="447"/>
      <c r="B45" s="152" t="s">
        <v>150</v>
      </c>
      <c r="C45" s="485"/>
      <c r="D45" s="489"/>
      <c r="E45" s="460"/>
      <c r="F45" s="485"/>
      <c r="G45" s="460"/>
      <c r="H45" s="460"/>
      <c r="I45" s="447"/>
    </row>
    <row r="46" spans="1:13" s="444" customFormat="1" ht="12.3" outlineLevel="1" x14ac:dyDescent="0.4">
      <c r="A46" s="447"/>
      <c r="B46" s="460" t="s">
        <v>9</v>
      </c>
      <c r="C46" s="485">
        <f>1+C44/16384*(4096+C44*(-768+C44*(320-175*C44)))</f>
        <v>1.0016827510415456</v>
      </c>
      <c r="D46" s="489"/>
      <c r="E46" s="485">
        <f ca="1">1+E44/16384*(4096+E44*(-768+E44*(320-175*E44)))</f>
        <v>1.0016827510415456</v>
      </c>
      <c r="F46" s="485"/>
      <c r="G46" s="460"/>
      <c r="H46" s="460"/>
      <c r="I46" s="447"/>
    </row>
    <row r="47" spans="1:13" s="444" customFormat="1" ht="12.3" outlineLevel="1" x14ac:dyDescent="0.4">
      <c r="A47" s="447"/>
      <c r="B47" s="147" t="s">
        <v>149</v>
      </c>
      <c r="C47" s="485"/>
      <c r="D47" s="489"/>
      <c r="E47" s="460"/>
      <c r="F47" s="485"/>
      <c r="G47" s="460"/>
      <c r="H47" s="460"/>
      <c r="I47" s="490"/>
    </row>
    <row r="48" spans="1:13" s="444" customFormat="1" ht="12.3" outlineLevel="1" x14ac:dyDescent="0.4">
      <c r="A48" s="447"/>
      <c r="B48" s="460" t="s">
        <v>10</v>
      </c>
      <c r="C48" s="485">
        <f>C44/1024*(256+C44*(-128+C44*(74-47*C44)))</f>
        <v>1.6792186103152505E-3</v>
      </c>
      <c r="D48" s="489"/>
      <c r="E48" s="485">
        <f ca="1">E44/1024*(256+E44*(-128+E44*(74-47*E44)))</f>
        <v>1.6792186103152505E-3</v>
      </c>
      <c r="F48" s="485"/>
      <c r="G48" s="460"/>
      <c r="H48" s="460"/>
      <c r="I48" s="447"/>
    </row>
    <row r="49" spans="1:13" s="444" customFormat="1" ht="12.3" outlineLevel="1" x14ac:dyDescent="0.4">
      <c r="A49" s="447"/>
      <c r="B49" s="147" t="s">
        <v>148</v>
      </c>
      <c r="C49" s="485"/>
      <c r="D49" s="489"/>
      <c r="E49" s="460"/>
      <c r="F49" s="485"/>
      <c r="G49" s="460"/>
      <c r="H49" s="460"/>
      <c r="I49" s="447"/>
    </row>
    <row r="50" spans="1:13" s="444" customFormat="1" ht="12.3" outlineLevel="1" x14ac:dyDescent="0.4">
      <c r="A50" s="447"/>
      <c r="B50" s="148" t="s">
        <v>147</v>
      </c>
      <c r="C50" s="485">
        <f>C48*SQRT(C34)*(C43+C48/4*(C36*(-1+2*C43*C43)-C48/6*C43*(-3+4*C34)*(-3+4*C43*C43)))</f>
        <v>0</v>
      </c>
      <c r="D50" s="489"/>
      <c r="E50" s="485">
        <f ca="1">E48*SQRT(E34)*(E43+E48/4*(E36*(-1+2*E43*E43)-E48/6*E43*(-3+4*E34)*(-3+4*E43*E43)))</f>
        <v>0</v>
      </c>
      <c r="F50" s="485"/>
      <c r="G50" s="460"/>
      <c r="H50" s="460"/>
      <c r="I50" s="447"/>
    </row>
    <row r="51" spans="1:13" s="444" customFormat="1" ht="12.3" outlineLevel="1" x14ac:dyDescent="0.4">
      <c r="A51" s="447"/>
      <c r="B51" s="460"/>
      <c r="C51" s="485"/>
      <c r="D51" s="489"/>
      <c r="E51" s="460"/>
      <c r="F51" s="485"/>
      <c r="G51" s="460"/>
      <c r="H51" s="460"/>
      <c r="I51" s="447"/>
    </row>
    <row r="52" spans="1:13" s="444" customFormat="1" ht="12.3" outlineLevel="1" x14ac:dyDescent="0.4">
      <c r="A52" s="447"/>
      <c r="B52" s="147" t="s">
        <v>146</v>
      </c>
      <c r="C52" s="485"/>
      <c r="D52" s="494"/>
      <c r="E52" s="460"/>
      <c r="F52" s="485"/>
      <c r="G52" s="460"/>
      <c r="H52" s="460"/>
      <c r="I52" s="150"/>
    </row>
    <row r="53" spans="1:13" s="444" customFormat="1" ht="12.3" outlineLevel="1" x14ac:dyDescent="0.4">
      <c r="A53" s="447"/>
      <c r="B53" s="460" t="s">
        <v>11</v>
      </c>
      <c r="C53" s="485">
        <f>C20/16*COS(ASIN(C41))*COS(ASIN(C41))*(4+C20*(4-3*COS(ASIN(C41))*COS(ASIN(C41))))</f>
        <v>8.389052498964728E-4</v>
      </c>
      <c r="D53" s="494"/>
      <c r="E53" s="485">
        <f ca="1">C20/16*COS(ASIN(E41))*COS(ASIN(E41))*(4+C20*(4-3*COS(ASIN(E41))*COS(ASIN(E41))))</f>
        <v>8.389052498964728E-4</v>
      </c>
      <c r="F53" s="485"/>
      <c r="G53" s="460"/>
      <c r="H53" s="460"/>
      <c r="I53" s="150"/>
      <c r="M53" s="160"/>
    </row>
    <row r="54" spans="1:13" s="444" customFormat="1" ht="12.3" outlineLevel="1" x14ac:dyDescent="0.4">
      <c r="A54" s="447"/>
      <c r="B54" s="147" t="s">
        <v>145</v>
      </c>
      <c r="C54" s="485"/>
      <c r="D54" s="494"/>
      <c r="E54" s="460"/>
      <c r="F54" s="485"/>
      <c r="G54" s="460"/>
      <c r="H54" s="460"/>
      <c r="I54" s="150"/>
      <c r="M54" s="160"/>
    </row>
    <row r="55" spans="1:13" s="444" customFormat="1" ht="12.3" outlineLevel="1" x14ac:dyDescent="0.4">
      <c r="A55" s="447"/>
      <c r="B55" s="151" t="s">
        <v>144</v>
      </c>
      <c r="C55" s="485">
        <f>C21+(1-C53)*C20*C41*(ACOS(C36)+C53*SIN(ACOS(C36))*(C43+C53*C36*(-1+2*C43*C43)))</f>
        <v>0</v>
      </c>
      <c r="D55" s="494"/>
      <c r="E55" s="495">
        <f ca="1">C21+(1-E53)*C20*E41*(ACOS(E36)+E53*SIN(ACOS(E36))*(E43+E53*E36*(-1+2*E43*E43)))</f>
        <v>0</v>
      </c>
      <c r="F55" s="485"/>
      <c r="G55" s="460"/>
      <c r="H55" s="460"/>
      <c r="I55" s="150"/>
      <c r="M55" s="160"/>
    </row>
    <row r="56" spans="1:13" s="444" customFormat="1" ht="12.3" outlineLevel="1" x14ac:dyDescent="0.4">
      <c r="A56" s="447"/>
      <c r="B56" s="149" t="s">
        <v>143</v>
      </c>
      <c r="C56" s="485"/>
      <c r="D56" s="494"/>
      <c r="E56" s="148"/>
      <c r="F56" s="485"/>
      <c r="G56" s="460"/>
      <c r="H56" s="460"/>
      <c r="I56" s="496"/>
      <c r="M56" s="160"/>
    </row>
    <row r="57" spans="1:13" s="444" customFormat="1" ht="12.3" outlineLevel="1" x14ac:dyDescent="0.4">
      <c r="A57" s="447"/>
      <c r="B57" s="460" t="s">
        <v>142</v>
      </c>
      <c r="C57" s="485">
        <f>IF(B72="samepoint",0,C19*C46*(ATAN(C38)-C50))</f>
        <v>0</v>
      </c>
      <c r="D57" s="494"/>
      <c r="E57" s="485">
        <f>IF(B72="samepoint",0,C19*E46*(E39-E50))</f>
        <v>0</v>
      </c>
      <c r="F57" s="460"/>
      <c r="G57" s="460"/>
      <c r="H57" s="460"/>
      <c r="I57" s="496"/>
      <c r="M57" s="493"/>
    </row>
    <row r="58" spans="1:13" s="444" customFormat="1" ht="12.3" outlineLevel="1" x14ac:dyDescent="0.4">
      <c r="A58" s="447"/>
      <c r="B58" s="147" t="s">
        <v>141</v>
      </c>
      <c r="C58" s="485"/>
      <c r="D58" s="494"/>
      <c r="E58" s="485"/>
      <c r="F58" s="460"/>
      <c r="G58" s="460"/>
      <c r="H58" s="460"/>
      <c r="I58" s="496"/>
      <c r="M58" s="493"/>
    </row>
    <row r="59" spans="1:13" s="444" customFormat="1" ht="16.2" outlineLevel="1" x14ac:dyDescent="0.65">
      <c r="A59" s="447"/>
      <c r="B59" s="460" t="s">
        <v>140</v>
      </c>
      <c r="C59" s="485"/>
      <c r="D59" s="494"/>
      <c r="E59" s="485" t="e">
        <f ca="1">C30*SIN(E55)/(C26*C29-C25*C30*COS(E55))</f>
        <v>#DIV/0!</v>
      </c>
      <c r="F59" s="460"/>
      <c r="G59" s="460"/>
      <c r="H59" s="460"/>
      <c r="I59" s="496"/>
      <c r="M59" s="493"/>
    </row>
    <row r="60" spans="1:13" s="444" customFormat="1" ht="12.3" outlineLevel="1" x14ac:dyDescent="0.4">
      <c r="A60" s="447"/>
      <c r="B60" s="147" t="s">
        <v>139</v>
      </c>
      <c r="C60" s="485"/>
      <c r="D60" s="494"/>
      <c r="E60" s="485"/>
      <c r="F60" s="460"/>
      <c r="G60" s="460"/>
      <c r="H60" s="460"/>
      <c r="I60" s="496"/>
      <c r="M60" s="493"/>
    </row>
    <row r="61" spans="1:13" s="444" customFormat="1" ht="16.8" outlineLevel="1" x14ac:dyDescent="0.7">
      <c r="A61" s="447"/>
      <c r="B61" s="460" t="s">
        <v>138</v>
      </c>
      <c r="C61" s="485"/>
      <c r="D61" s="494"/>
      <c r="E61" s="485" t="e">
        <f>C26*SIN(C55)/(-C25*C30+C26*C29*COS(C55))</f>
        <v>#DIV/0!</v>
      </c>
      <c r="F61" s="460"/>
      <c r="G61" s="460"/>
      <c r="H61" s="460"/>
      <c r="I61" s="496"/>
      <c r="M61" s="493"/>
    </row>
    <row r="62" spans="1:13" s="444" customFormat="1" ht="12.3" outlineLevel="1" x14ac:dyDescent="0.4">
      <c r="A62" s="447"/>
      <c r="B62" s="460"/>
      <c r="C62" s="485"/>
      <c r="D62" s="494"/>
      <c r="E62" s="460"/>
      <c r="F62" s="485"/>
      <c r="G62" s="460"/>
      <c r="H62" s="460"/>
      <c r="I62" s="496"/>
      <c r="M62" s="493"/>
    </row>
    <row r="63" spans="1:13" s="444" customFormat="1" ht="12.3" outlineLevel="1" x14ac:dyDescent="0.4">
      <c r="A63" s="447"/>
      <c r="B63" s="460"/>
      <c r="C63" s="497"/>
      <c r="D63" s="447"/>
      <c r="E63" s="460"/>
      <c r="F63" s="485"/>
      <c r="G63" s="460"/>
      <c r="H63" s="460"/>
      <c r="I63" s="496"/>
      <c r="M63" s="493"/>
    </row>
    <row r="64" spans="1:13" s="444" customFormat="1" ht="12.3" outlineLevel="1" x14ac:dyDescent="0.4">
      <c r="A64" s="447"/>
      <c r="B64" s="460"/>
      <c r="C64" s="460"/>
      <c r="D64" s="447"/>
      <c r="E64" s="489"/>
      <c r="F64" s="494"/>
      <c r="G64" s="460"/>
      <c r="H64" s="460"/>
      <c r="I64" s="496"/>
      <c r="M64" s="493"/>
    </row>
    <row r="65" spans="1:13" s="444" customFormat="1" ht="12.3" outlineLevel="1" x14ac:dyDescent="0.4">
      <c r="A65" s="447"/>
      <c r="B65" s="146" t="s">
        <v>137</v>
      </c>
      <c r="C65" s="146"/>
      <c r="D65" s="489"/>
      <c r="E65" s="146" t="s">
        <v>136</v>
      </c>
      <c r="F65" s="146"/>
      <c r="G65" s="460"/>
      <c r="H65" s="460"/>
      <c r="I65" s="496"/>
      <c r="M65" s="493"/>
    </row>
    <row r="66" spans="1:13" s="444" customFormat="1" ht="14.7" outlineLevel="1" x14ac:dyDescent="0.6">
      <c r="A66" s="447"/>
      <c r="B66" s="145" t="s">
        <v>417</v>
      </c>
      <c r="C66" s="485" t="e">
        <f ca="1">ATAN(E59)</f>
        <v>#DIV/0!</v>
      </c>
      <c r="D66" s="447"/>
      <c r="E66" s="145" t="s">
        <v>493</v>
      </c>
      <c r="F66" s="485" t="e">
        <f>ATAN(E61)</f>
        <v>#DIV/0!</v>
      </c>
      <c r="G66" s="460"/>
      <c r="H66" s="460"/>
      <c r="I66" s="496" t="e">
        <f>ATAN2(E15-E13,E16-E14)*180/PI()</f>
        <v>#DIV/0!</v>
      </c>
      <c r="J66" s="496" t="e">
        <f>ATAN2(E13-E15,E14-E16)*180/PI()</f>
        <v>#DIV/0!</v>
      </c>
      <c r="M66" s="493"/>
    </row>
    <row r="67" spans="1:13" s="444" customFormat="1" ht="14.7" outlineLevel="1" x14ac:dyDescent="0.6">
      <c r="A67" s="447"/>
      <c r="B67" s="145" t="s">
        <v>419</v>
      </c>
      <c r="C67" s="485" t="e">
        <f ca="1">(C66/PI())*180+360</f>
        <v>#DIV/0!</v>
      </c>
      <c r="D67" s="447"/>
      <c r="E67" s="145" t="s">
        <v>494</v>
      </c>
      <c r="F67" s="485" t="e">
        <f>(F66/PI())*180+180</f>
        <v>#DIV/0!</v>
      </c>
      <c r="G67" s="460"/>
      <c r="H67" s="460"/>
      <c r="I67" s="496" t="e">
        <f>IF(I66&lt;0,C66*180/PI()+360,C66*180/PI())</f>
        <v>#DIV/0!</v>
      </c>
      <c r="J67" s="498" t="e">
        <f>IF(J66&gt;0,F66*180/PI()+180,F66*180/PI())</f>
        <v>#DIV/0!</v>
      </c>
    </row>
    <row r="68" spans="1:13" s="444" customFormat="1" ht="14.7" outlineLevel="1" x14ac:dyDescent="0.6">
      <c r="A68" s="447"/>
      <c r="B68" s="145" t="s">
        <v>419</v>
      </c>
      <c r="C68" s="485" t="e">
        <f ca="1">IF(C67&gt;=360,C67-360,C67)</f>
        <v>#DIV/0!</v>
      </c>
      <c r="D68" s="447"/>
      <c r="E68" s="145" t="s">
        <v>494</v>
      </c>
      <c r="F68" s="485" t="e">
        <f>IF(F67&gt;=360,F67-360,F67)</f>
        <v>#DIV/0!</v>
      </c>
      <c r="G68" s="460"/>
      <c r="H68" s="460"/>
      <c r="I68" s="496" t="e">
        <f ca="1">ATAN2((C26*C29-C25*C30*COS(E55)),C30*SIN(E55))</f>
        <v>#DIV/0!</v>
      </c>
      <c r="J68" s="485" t="e">
        <f ca="1">ATAN2((-C25*C30+C26*C29*COS(E55)),C26*SIN(E55))</f>
        <v>#DIV/0!</v>
      </c>
    </row>
    <row r="69" spans="1:13" s="444" customFormat="1" ht="14.7" outlineLevel="1" x14ac:dyDescent="0.6">
      <c r="A69" s="447"/>
      <c r="B69" s="145" t="s">
        <v>419</v>
      </c>
      <c r="C69" s="485">
        <f>IF(B72="samepoint",0,IF(B73="northsouth",0,IF(B74="southnorth",180,C68)))</f>
        <v>0</v>
      </c>
      <c r="D69" s="447"/>
      <c r="E69" s="145" t="s">
        <v>494</v>
      </c>
      <c r="F69" s="485">
        <f>IF(B72="samepoint",0,IF(B73="northsouth",180,IF(B74="southnorth",0,F68)))</f>
        <v>0</v>
      </c>
      <c r="G69" s="447"/>
      <c r="H69" s="447"/>
      <c r="I69" s="485">
        <f>IF(B72="samepoint",0,IF(B73="northsouth",0,IF(B74="southnorth",180,IF(I68&lt;0,I68*180/PI()+360,I68*180/PI()))))</f>
        <v>0</v>
      </c>
      <c r="J69" s="485">
        <f>IF(B72="samepoint",0,IF(B73="northsouth",180,IF(B74="southnorth",0,J68*180/PI()+180)))</f>
        <v>0</v>
      </c>
    </row>
    <row r="70" spans="1:13" s="444" customFormat="1" ht="12.3" outlineLevel="1" x14ac:dyDescent="0.4">
      <c r="A70" s="447"/>
      <c r="B70" s="145"/>
      <c r="C70" s="447"/>
      <c r="D70" s="447"/>
      <c r="E70" s="145"/>
      <c r="F70" s="447"/>
      <c r="G70" s="447"/>
      <c r="H70" s="447"/>
      <c r="I70" s="447"/>
    </row>
    <row r="71" spans="1:13" s="444" customFormat="1" ht="12.3" outlineLevel="1" x14ac:dyDescent="0.4">
      <c r="A71" s="447"/>
      <c r="B71" s="144" t="s">
        <v>135</v>
      </c>
      <c r="C71" s="144"/>
      <c r="D71" s="447"/>
      <c r="E71" s="447"/>
      <c r="F71" s="447"/>
      <c r="G71" s="447"/>
      <c r="H71" s="447"/>
      <c r="I71" s="447"/>
    </row>
    <row r="72" spans="1:13" s="444" customFormat="1" ht="12.3" outlineLevel="1" x14ac:dyDescent="0.4">
      <c r="A72" s="447"/>
      <c r="B72" s="447" t="str">
        <f>IF(AND(C13=C15,C14=C16),"samepoint","N.A. " )</f>
        <v>samepoint</v>
      </c>
      <c r="C72" s="447" t="s">
        <v>134</v>
      </c>
      <c r="D72" s="447"/>
      <c r="E72" s="447"/>
      <c r="F72" s="447"/>
      <c r="G72" s="447"/>
      <c r="H72" s="447"/>
      <c r="I72" s="447"/>
    </row>
    <row r="73" spans="1:13" s="444" customFormat="1" ht="12.3" outlineLevel="1" x14ac:dyDescent="0.4">
      <c r="A73" s="447"/>
      <c r="B73" s="447" t="str">
        <f>IF(AND(C14=C16,C15&gt;C13),"northsouth","N.A. ")</f>
        <v xml:space="preserve">N.A. </v>
      </c>
      <c r="C73" s="447" t="s">
        <v>133</v>
      </c>
      <c r="D73" s="447"/>
      <c r="E73" s="447"/>
      <c r="F73" s="447"/>
      <c r="G73" s="447"/>
      <c r="H73" s="447"/>
      <c r="I73" s="447"/>
    </row>
    <row r="74" spans="1:13" s="444" customFormat="1" ht="12.3" outlineLevel="1" x14ac:dyDescent="0.4">
      <c r="A74" s="447"/>
      <c r="B74" s="447" t="str">
        <f>IF(AND(C14=C16,C13&gt;C15),"southnorth","N.A. ")</f>
        <v xml:space="preserve">N.A. </v>
      </c>
      <c r="C74" s="447" t="s">
        <v>132</v>
      </c>
      <c r="D74" s="447"/>
      <c r="E74" s="447"/>
      <c r="F74" s="447"/>
      <c r="G74" s="447"/>
      <c r="H74" s="447"/>
      <c r="I74" s="447"/>
    </row>
    <row r="75" spans="1:13" s="444" customFormat="1" ht="12.3" outlineLevel="1" x14ac:dyDescent="0.4">
      <c r="A75" s="447"/>
      <c r="B75" s="447"/>
      <c r="C75" s="447"/>
      <c r="D75" s="447"/>
      <c r="E75" s="447"/>
      <c r="F75" s="447"/>
      <c r="G75" s="447"/>
      <c r="H75" s="447"/>
      <c r="I75" s="447"/>
    </row>
    <row r="76" spans="1:13" s="444" customFormat="1" ht="12.3" x14ac:dyDescent="0.4">
      <c r="A76" s="447"/>
      <c r="B76" s="447"/>
      <c r="C76" s="447"/>
      <c r="D76" s="447"/>
      <c r="E76" s="447"/>
      <c r="F76" s="447"/>
      <c r="G76" s="447"/>
      <c r="H76" s="447"/>
      <c r="I76" s="447"/>
    </row>
    <row r="77" spans="1:13" s="444" customFormat="1" ht="15" x14ac:dyDescent="0.5">
      <c r="A77" s="447"/>
      <c r="B77" s="448" t="s">
        <v>187</v>
      </c>
      <c r="C77" s="448" t="s">
        <v>186</v>
      </c>
      <c r="D77" s="447"/>
      <c r="E77" s="447"/>
      <c r="F77" s="447"/>
      <c r="G77" s="447"/>
      <c r="H77" s="447"/>
      <c r="I77" s="447"/>
    </row>
    <row r="78" spans="1:13" s="444" customFormat="1" ht="17.399999999999999" x14ac:dyDescent="0.55000000000000004">
      <c r="A78" s="447"/>
      <c r="B78" s="449" t="s">
        <v>185</v>
      </c>
      <c r="C78" s="450" t="s">
        <v>184</v>
      </c>
      <c r="D78" s="451"/>
      <c r="E78" s="452"/>
      <c r="F78" s="453" t="s">
        <v>183</v>
      </c>
      <c r="G78" s="1076" t="str">
        <f>SUMMARY!H14</f>
        <v>Landing</v>
      </c>
      <c r="H78" s="1076"/>
      <c r="I78" s="454"/>
      <c r="J78" s="455"/>
    </row>
    <row r="79" spans="1:13" s="444" customFormat="1" ht="14.7" x14ac:dyDescent="0.6">
      <c r="A79" s="447"/>
      <c r="B79" s="158" t="s">
        <v>405</v>
      </c>
      <c r="C79" s="456">
        <f>IF(SUMMARY!B20="NO",0,SUMMARY!$A$24)</f>
        <v>0</v>
      </c>
      <c r="D79" s="457">
        <f>IF(SUMMARY!B20="NO",0,SUMMARY!$B$24)</f>
        <v>0</v>
      </c>
      <c r="E79" s="458"/>
      <c r="F79" s="157" t="s">
        <v>406</v>
      </c>
      <c r="G79" s="459">
        <f>G7</f>
        <v>0</v>
      </c>
      <c r="H79" s="457">
        <f>H7</f>
        <v>0</v>
      </c>
      <c r="I79" s="458"/>
      <c r="J79" s="460"/>
    </row>
    <row r="80" spans="1:13" s="444" customFormat="1" ht="14.7" x14ac:dyDescent="0.6">
      <c r="A80" s="447"/>
      <c r="B80" s="158" t="s">
        <v>407</v>
      </c>
      <c r="C80" s="461">
        <f>IF(SUMMARY!B20="NO",0,SUMMARY!$A$26)</f>
        <v>0</v>
      </c>
      <c r="D80" s="462">
        <f>IF(SUMMARY!B20="NO",0,SUMMARY!$B$26)</f>
        <v>0</v>
      </c>
      <c r="E80" s="463"/>
      <c r="F80" s="157" t="s">
        <v>408</v>
      </c>
      <c r="G80" s="459">
        <f>G8</f>
        <v>0</v>
      </c>
      <c r="H80" s="457">
        <f>H8</f>
        <v>0</v>
      </c>
      <c r="I80" s="458"/>
    </row>
    <row r="81" spans="1:10" s="444" customFormat="1" ht="12.3" x14ac:dyDescent="0.4">
      <c r="A81" s="447"/>
      <c r="B81" s="464" t="s">
        <v>180</v>
      </c>
      <c r="C81" s="465">
        <f>E129</f>
        <v>0</v>
      </c>
      <c r="D81" s="466"/>
      <c r="E81" s="467"/>
      <c r="F81" s="468"/>
      <c r="G81" s="468"/>
      <c r="H81" s="468"/>
      <c r="I81" s="156" t="s">
        <v>179</v>
      </c>
      <c r="J81" s="447"/>
    </row>
    <row r="82" spans="1:10" s="444" customFormat="1" ht="14.7" x14ac:dyDescent="0.6">
      <c r="A82" s="447"/>
      <c r="B82" s="464" t="s">
        <v>409</v>
      </c>
      <c r="C82" s="469">
        <f>I141</f>
        <v>0</v>
      </c>
      <c r="D82" s="470"/>
      <c r="E82" s="471"/>
      <c r="F82" s="447"/>
      <c r="G82" s="472"/>
      <c r="H82" s="473"/>
      <c r="J82" s="474"/>
    </row>
    <row r="83" spans="1:10" s="444" customFormat="1" ht="14.7" x14ac:dyDescent="0.6">
      <c r="A83" s="447"/>
      <c r="B83" s="475" t="s">
        <v>410</v>
      </c>
      <c r="C83" s="476">
        <f>J141</f>
        <v>0</v>
      </c>
      <c r="D83" s="477"/>
      <c r="E83" s="478"/>
      <c r="F83" s="499">
        <f>IF(C79=0=FALSE,C81/1000,0)</f>
        <v>0</v>
      </c>
      <c r="G83" s="447" t="s">
        <v>178</v>
      </c>
      <c r="H83" s="447"/>
    </row>
    <row r="84" spans="1:10" s="446" customFormat="1" ht="12.3" x14ac:dyDescent="0.4">
      <c r="A84" s="445"/>
      <c r="B84" s="480"/>
      <c r="C84" s="481"/>
      <c r="D84" s="482"/>
      <c r="E84" s="483"/>
      <c r="F84" s="445"/>
      <c r="G84" s="445"/>
      <c r="H84" s="444"/>
      <c r="I84" s="444"/>
    </row>
    <row r="85" spans="1:10" s="444" customFormat="1" ht="14.7" outlineLevel="1" x14ac:dyDescent="0.6">
      <c r="A85" s="447"/>
      <c r="B85" s="460" t="s">
        <v>411</v>
      </c>
      <c r="C85" s="485">
        <f>C79+D79/60</f>
        <v>0</v>
      </c>
      <c r="D85" s="447"/>
      <c r="E85" s="485">
        <f>C85*PI()/180</f>
        <v>0</v>
      </c>
      <c r="F85" s="447"/>
      <c r="G85" s="460"/>
      <c r="H85" s="460"/>
      <c r="I85" s="447"/>
    </row>
    <row r="86" spans="1:10" s="444" customFormat="1" ht="14.7" outlineLevel="1" x14ac:dyDescent="0.6">
      <c r="A86" s="447"/>
      <c r="B86" s="460" t="s">
        <v>412</v>
      </c>
      <c r="C86" s="485">
        <f>C80+D80/60</f>
        <v>0</v>
      </c>
      <c r="D86" s="447"/>
      <c r="E86" s="485">
        <f>C86*PI()/180</f>
        <v>0</v>
      </c>
      <c r="F86" s="447"/>
      <c r="G86" s="460"/>
      <c r="H86" s="485"/>
      <c r="I86" s="447"/>
    </row>
    <row r="87" spans="1:10" s="444" customFormat="1" ht="14.7" outlineLevel="1" x14ac:dyDescent="0.6">
      <c r="A87" s="447"/>
      <c r="B87" s="460" t="s">
        <v>413</v>
      </c>
      <c r="C87" s="485">
        <f>G79+H79/60</f>
        <v>0</v>
      </c>
      <c r="D87" s="447"/>
      <c r="E87" s="485">
        <f>C87*PI()/180</f>
        <v>0</v>
      </c>
      <c r="F87" s="447"/>
      <c r="G87" s="460"/>
      <c r="H87" s="460"/>
      <c r="I87" s="447"/>
    </row>
    <row r="88" spans="1:10" s="444" customFormat="1" ht="14.7" outlineLevel="1" x14ac:dyDescent="0.6">
      <c r="A88" s="447"/>
      <c r="B88" s="460" t="s">
        <v>414</v>
      </c>
      <c r="C88" s="485">
        <f>G80+H80/60</f>
        <v>0</v>
      </c>
      <c r="D88" s="447"/>
      <c r="E88" s="485">
        <f>C88*PI()/180</f>
        <v>0</v>
      </c>
      <c r="F88" s="447"/>
      <c r="G88" s="460"/>
      <c r="H88" s="485"/>
      <c r="I88" s="447"/>
    </row>
    <row r="89" spans="1:10" s="444" customFormat="1" ht="12.3" outlineLevel="1" x14ac:dyDescent="0.4">
      <c r="A89" s="447"/>
      <c r="B89" s="485"/>
      <c r="C89" s="485"/>
      <c r="D89" s="485"/>
      <c r="E89" s="485"/>
      <c r="F89" s="447"/>
      <c r="G89" s="460"/>
      <c r="H89" s="485"/>
      <c r="I89" s="447"/>
    </row>
    <row r="90" spans="1:10" s="444" customFormat="1" ht="12.3" outlineLevel="1" x14ac:dyDescent="0.4">
      <c r="A90" s="447"/>
      <c r="B90" s="460" t="s">
        <v>176</v>
      </c>
      <c r="C90" s="487">
        <v>6378137</v>
      </c>
      <c r="D90" s="488"/>
      <c r="E90" s="489" t="s">
        <v>175</v>
      </c>
      <c r="F90" s="485">
        <f>C92+C92*C92</f>
        <v>3.3640520041011246E-3</v>
      </c>
      <c r="G90" s="460"/>
      <c r="H90" s="460"/>
      <c r="I90" s="447"/>
    </row>
    <row r="91" spans="1:10" s="444" customFormat="1" ht="12.3" outlineLevel="1" x14ac:dyDescent="0.4">
      <c r="A91" s="447"/>
      <c r="B91" s="489" t="s">
        <v>174</v>
      </c>
      <c r="C91" s="487">
        <v>6356752.3142451793</v>
      </c>
      <c r="D91" s="488"/>
      <c r="E91" s="489" t="s">
        <v>173</v>
      </c>
      <c r="F91" s="485">
        <f>F90/2</f>
        <v>1.6820260020505623E-3</v>
      </c>
      <c r="G91" s="460"/>
      <c r="H91" s="460"/>
      <c r="I91" s="447"/>
    </row>
    <row r="92" spans="1:10" s="444" customFormat="1" ht="12.3" outlineLevel="1" x14ac:dyDescent="0.4">
      <c r="A92" s="447"/>
      <c r="B92" s="489" t="s">
        <v>172</v>
      </c>
      <c r="C92" s="485">
        <v>3.3528106647474801E-3</v>
      </c>
      <c r="D92" s="489"/>
      <c r="E92" s="489" t="s">
        <v>171</v>
      </c>
      <c r="F92" s="485">
        <f>C92*C92/2</f>
        <v>5.6206696768222199E-6</v>
      </c>
      <c r="G92" s="460"/>
      <c r="H92" s="460"/>
      <c r="I92" s="447"/>
    </row>
    <row r="93" spans="1:10" s="444" customFormat="1" ht="12.3" outlineLevel="1" x14ac:dyDescent="0.4">
      <c r="A93" s="447"/>
      <c r="B93" s="460" t="s">
        <v>415</v>
      </c>
      <c r="C93" s="485">
        <f>E88-E86</f>
        <v>0</v>
      </c>
      <c r="D93" s="447"/>
      <c r="E93" s="447" t="s">
        <v>170</v>
      </c>
      <c r="F93" s="485">
        <f>C92*C92/8</f>
        <v>1.405167419205555E-6</v>
      </c>
      <c r="G93" s="460"/>
      <c r="H93" s="460"/>
      <c r="I93" s="447"/>
    </row>
    <row r="94" spans="1:10" s="444" customFormat="1" ht="12.3" outlineLevel="1" x14ac:dyDescent="0.4">
      <c r="A94" s="447"/>
      <c r="B94" s="447"/>
      <c r="C94" s="447"/>
      <c r="D94" s="447"/>
      <c r="E94" s="489" t="s">
        <v>169</v>
      </c>
      <c r="F94" s="485">
        <f>C92*C92/16</f>
        <v>7.0258370960277749E-7</v>
      </c>
      <c r="G94" s="460"/>
      <c r="H94" s="460"/>
      <c r="I94" s="447"/>
    </row>
    <row r="95" spans="1:10" s="444" customFormat="1" ht="12.3" outlineLevel="1" x14ac:dyDescent="0.4">
      <c r="A95" s="447"/>
      <c r="B95" s="447" t="s">
        <v>168</v>
      </c>
      <c r="C95" s="490">
        <f>(1-C92)*TAN(E85)</f>
        <v>0</v>
      </c>
      <c r="D95" s="447"/>
      <c r="E95" s="489"/>
      <c r="F95" s="460"/>
      <c r="G95" s="460"/>
      <c r="H95" s="460"/>
      <c r="I95" s="447"/>
    </row>
    <row r="96" spans="1:10" s="444" customFormat="1" ht="12.3" outlineLevel="1" x14ac:dyDescent="0.4">
      <c r="A96" s="447"/>
      <c r="B96" s="460" t="s">
        <v>106</v>
      </c>
      <c r="C96" s="485">
        <f>ATAN(C95)</f>
        <v>0</v>
      </c>
      <c r="D96" s="489"/>
      <c r="E96" s="148"/>
      <c r="F96" s="485"/>
      <c r="G96" s="460"/>
      <c r="H96" s="460"/>
      <c r="I96" s="447"/>
    </row>
    <row r="97" spans="1:9" s="444" customFormat="1" ht="12.3" outlineLevel="1" x14ac:dyDescent="0.4">
      <c r="A97" s="447"/>
      <c r="B97" s="460" t="s">
        <v>167</v>
      </c>
      <c r="C97" s="485">
        <f>SIN(C96)</f>
        <v>0</v>
      </c>
      <c r="D97" s="489"/>
      <c r="E97" s="148"/>
      <c r="F97" s="485"/>
      <c r="G97" s="460"/>
      <c r="H97" s="460"/>
      <c r="I97" s="447"/>
    </row>
    <row r="98" spans="1:9" s="444" customFormat="1" ht="12.3" outlineLevel="1" x14ac:dyDescent="0.4">
      <c r="A98" s="447"/>
      <c r="B98" s="460" t="s">
        <v>166</v>
      </c>
      <c r="C98" s="485">
        <f>COS(C96)</f>
        <v>1</v>
      </c>
      <c r="D98" s="489"/>
      <c r="E98" s="460"/>
      <c r="F98" s="485"/>
      <c r="G98" s="460"/>
      <c r="H98" s="460"/>
      <c r="I98" s="447"/>
    </row>
    <row r="99" spans="1:9" s="444" customFormat="1" ht="12.3" outlineLevel="1" x14ac:dyDescent="0.4">
      <c r="A99" s="447"/>
      <c r="B99" s="460" t="s">
        <v>165</v>
      </c>
      <c r="C99" s="491">
        <f>(1-C92)*TAN(E87)</f>
        <v>0</v>
      </c>
      <c r="D99" s="489"/>
      <c r="E99" s="460"/>
      <c r="F99" s="485"/>
      <c r="G99" s="460"/>
      <c r="H99" s="460"/>
      <c r="I99" s="447"/>
    </row>
    <row r="100" spans="1:9" s="444" customFormat="1" ht="12.3" outlineLevel="1" x14ac:dyDescent="0.4">
      <c r="A100" s="447"/>
      <c r="B100" s="460" t="s">
        <v>164</v>
      </c>
      <c r="C100" s="485">
        <f>ATAN(C99)</f>
        <v>0</v>
      </c>
      <c r="D100" s="489"/>
      <c r="E100" s="460"/>
      <c r="F100" s="485"/>
      <c r="G100" s="460"/>
      <c r="H100" s="460"/>
      <c r="I100" s="447"/>
    </row>
    <row r="101" spans="1:9" s="444" customFormat="1" ht="12.3" outlineLevel="1" x14ac:dyDescent="0.4">
      <c r="A101" s="447"/>
      <c r="B101" s="460" t="s">
        <v>163</v>
      </c>
      <c r="C101" s="485">
        <f>SIN(C100)</f>
        <v>0</v>
      </c>
      <c r="D101" s="489"/>
      <c r="E101" s="460"/>
      <c r="F101" s="485"/>
      <c r="G101" s="460"/>
      <c r="H101" s="460"/>
      <c r="I101" s="447"/>
    </row>
    <row r="102" spans="1:9" s="444" customFormat="1" ht="12.3" outlineLevel="1" x14ac:dyDescent="0.4">
      <c r="A102" s="447"/>
      <c r="B102" s="460" t="s">
        <v>162</v>
      </c>
      <c r="C102" s="485">
        <f>COS(C100)</f>
        <v>1</v>
      </c>
      <c r="D102" s="489"/>
      <c r="E102" s="460"/>
      <c r="F102" s="485"/>
      <c r="G102" s="460"/>
      <c r="H102" s="460"/>
      <c r="I102" s="447"/>
    </row>
    <row r="103" spans="1:9" s="444" customFormat="1" ht="12.3" outlineLevel="1" x14ac:dyDescent="0.4">
      <c r="A103" s="447"/>
      <c r="B103" s="147" t="s">
        <v>161</v>
      </c>
      <c r="C103" s="485"/>
      <c r="D103" s="489"/>
      <c r="E103" s="460"/>
      <c r="F103" s="485"/>
      <c r="G103" s="460"/>
      <c r="H103" s="460"/>
      <c r="I103" s="447"/>
    </row>
    <row r="104" spans="1:9" s="444" customFormat="1" ht="12.3" outlineLevel="1" x14ac:dyDescent="0.4">
      <c r="A104" s="447"/>
      <c r="B104" s="148" t="s">
        <v>144</v>
      </c>
      <c r="C104" s="485">
        <f>C93</f>
        <v>0</v>
      </c>
      <c r="D104" s="489"/>
      <c r="E104" s="485">
        <f ca="1">E127</f>
        <v>0</v>
      </c>
      <c r="F104" s="485"/>
      <c r="G104" s="460"/>
      <c r="H104" s="460"/>
      <c r="I104" s="447"/>
    </row>
    <row r="105" spans="1:9" s="444" customFormat="1" ht="12.3" outlineLevel="1" x14ac:dyDescent="0.4">
      <c r="A105" s="447"/>
      <c r="B105" s="147" t="s">
        <v>160</v>
      </c>
      <c r="C105" s="485"/>
      <c r="D105" s="489"/>
      <c r="E105" s="460"/>
      <c r="F105" s="485"/>
      <c r="G105" s="460"/>
      <c r="H105" s="460"/>
      <c r="I105" s="447"/>
    </row>
    <row r="106" spans="1:9" s="444" customFormat="1" ht="13.8" outlineLevel="1" x14ac:dyDescent="0.4">
      <c r="A106" s="447"/>
      <c r="B106" s="460" t="s">
        <v>159</v>
      </c>
      <c r="C106" s="485">
        <f>(C102*SIN(C104)*C102*SIN(C104))+(C98*C101-C97*C102*COS(C104))*(C98*C101-C97*C102*COS(C104))</f>
        <v>0</v>
      </c>
      <c r="D106" s="489"/>
      <c r="E106" s="485">
        <f ca="1">(C102*SIN(E104)*C102*SIN(E104))+(C98*C101-C97*C102*COS(E104))*(C98*C101-C97*C102*COS(E104))</f>
        <v>0</v>
      </c>
      <c r="F106" s="485"/>
      <c r="G106" s="460"/>
      <c r="H106" s="460"/>
      <c r="I106" s="447"/>
    </row>
    <row r="107" spans="1:9" s="444" customFormat="1" ht="12.3" outlineLevel="1" x14ac:dyDescent="0.4">
      <c r="A107" s="447"/>
      <c r="B107" s="154" t="s">
        <v>158</v>
      </c>
      <c r="C107" s="485"/>
      <c r="D107" s="489"/>
      <c r="E107" s="489"/>
      <c r="F107" s="485"/>
      <c r="G107" s="460"/>
      <c r="H107" s="460"/>
      <c r="I107" s="447"/>
    </row>
    <row r="108" spans="1:9" s="444" customFormat="1" ht="12.3" outlineLevel="1" x14ac:dyDescent="0.4">
      <c r="A108" s="447"/>
      <c r="B108" s="447" t="s">
        <v>157</v>
      </c>
      <c r="C108" s="447">
        <f>(C97*C101)+(C98*C102*COS(C104))</f>
        <v>1</v>
      </c>
      <c r="D108" s="447"/>
      <c r="E108" s="447">
        <f ca="1">(C97*C101)+(C98*C102*COS(E104))</f>
        <v>1</v>
      </c>
      <c r="F108" s="447"/>
      <c r="G108" s="460"/>
      <c r="H108" s="460"/>
      <c r="I108" s="447"/>
    </row>
    <row r="109" spans="1:9" s="444" customFormat="1" ht="12.3" outlineLevel="1" x14ac:dyDescent="0.4">
      <c r="A109" s="447"/>
      <c r="B109" s="153" t="s">
        <v>156</v>
      </c>
      <c r="C109" s="489"/>
      <c r="D109" s="489"/>
      <c r="E109" s="489"/>
      <c r="F109" s="460"/>
      <c r="G109" s="460"/>
      <c r="H109" s="460"/>
      <c r="I109" s="447"/>
    </row>
    <row r="110" spans="1:9" s="444" customFormat="1" ht="12.3" outlineLevel="1" x14ac:dyDescent="0.4">
      <c r="A110" s="447"/>
      <c r="B110" s="460" t="s">
        <v>155</v>
      </c>
      <c r="C110" s="485">
        <f>SQRT(C106)/C108</f>
        <v>0</v>
      </c>
      <c r="D110" s="489"/>
      <c r="E110" s="485">
        <f ca="1">SQRT(E106)/E108</f>
        <v>0</v>
      </c>
      <c r="F110" s="485"/>
      <c r="G110" s="447"/>
      <c r="H110" s="447"/>
      <c r="I110" s="492"/>
    </row>
    <row r="111" spans="1:9" s="444" customFormat="1" ht="12.3" outlineLevel="1" x14ac:dyDescent="0.4">
      <c r="A111" s="447"/>
      <c r="B111" s="148" t="s">
        <v>142</v>
      </c>
      <c r="C111" s="485">
        <f>ATAN(C110)</f>
        <v>0</v>
      </c>
      <c r="D111" s="489"/>
      <c r="E111" s="485">
        <f ca="1">IF(ATAN(E110)&lt;0,ATAN(E110)+PI(),ATAN(E110))</f>
        <v>0</v>
      </c>
      <c r="F111" s="485"/>
      <c r="G111" s="447"/>
      <c r="H111" s="447"/>
      <c r="I111" s="492"/>
    </row>
    <row r="112" spans="1:9" s="444" customFormat="1" ht="12.3" outlineLevel="1" x14ac:dyDescent="0.4">
      <c r="A112" s="447"/>
      <c r="B112" s="147" t="s">
        <v>154</v>
      </c>
      <c r="C112" s="485"/>
      <c r="D112" s="489"/>
      <c r="E112" s="460"/>
      <c r="F112" s="485"/>
      <c r="G112" s="447"/>
      <c r="H112" s="447"/>
      <c r="I112" s="492"/>
    </row>
    <row r="113" spans="1:9" s="444" customFormat="1" ht="12.3" outlineLevel="1" x14ac:dyDescent="0.4">
      <c r="A113" s="447"/>
      <c r="B113" s="460" t="s">
        <v>153</v>
      </c>
      <c r="C113" s="485">
        <f>IF(C106=0,0,C98*C102*SIN(C104)/SQRT(C106))</f>
        <v>0</v>
      </c>
      <c r="D113" s="489"/>
      <c r="E113" s="485">
        <f ca="1">IF(E106=0,0,C98*C102*SIN(E104)/SQRT(E106))</f>
        <v>0</v>
      </c>
      <c r="F113" s="485"/>
      <c r="G113" s="460"/>
      <c r="H113" s="460"/>
      <c r="I113" s="492"/>
    </row>
    <row r="114" spans="1:9" s="444" customFormat="1" ht="12.3" outlineLevel="1" x14ac:dyDescent="0.4">
      <c r="A114" s="447"/>
      <c r="B114" s="147" t="s">
        <v>152</v>
      </c>
      <c r="C114" s="485"/>
      <c r="D114" s="489"/>
      <c r="E114" s="489"/>
      <c r="F114" s="485"/>
      <c r="G114" s="460"/>
      <c r="H114" s="460"/>
      <c r="I114" s="447"/>
    </row>
    <row r="115" spans="1:9" s="444" customFormat="1" ht="16.2" outlineLevel="1" x14ac:dyDescent="0.65">
      <c r="A115" s="447"/>
      <c r="B115" s="447" t="s">
        <v>416</v>
      </c>
      <c r="C115" s="447">
        <f>IF((COS(ASIN(C113))*COS(ASIN(C113)))=0,0,C108-2*C97*C101/(COS(ASIN(C113))*COS(ASIN(C113))))</f>
        <v>1</v>
      </c>
      <c r="D115" s="489"/>
      <c r="E115" s="447">
        <f ca="1">E108-2*C97*C101/(COS(ASIN(E113))*COS(ASIN(E113)))</f>
        <v>1</v>
      </c>
      <c r="F115" s="460"/>
      <c r="G115" s="460"/>
      <c r="H115" s="460"/>
      <c r="I115" s="447"/>
    </row>
    <row r="116" spans="1:9" s="444" customFormat="1" ht="15.9" outlineLevel="1" x14ac:dyDescent="0.45">
      <c r="A116" s="447"/>
      <c r="B116" s="447" t="s">
        <v>151</v>
      </c>
      <c r="C116" s="487">
        <f>COS(ASIN(C113))*COS(ASIN(C113))*(C90*C90-C91*C91)/(C91*C91)</f>
        <v>6.7394967422764341E-3</v>
      </c>
      <c r="D116" s="489"/>
      <c r="E116" s="487">
        <f ca="1">COS(ASIN(E113))*COS(ASIN(E113))*(C90*C90-C91*C91)/(C91*C91)</f>
        <v>6.7394967422764341E-3</v>
      </c>
      <c r="F116" s="447"/>
      <c r="G116" s="460"/>
      <c r="H116" s="460"/>
      <c r="I116" s="447"/>
    </row>
    <row r="117" spans="1:9" s="444" customFormat="1" ht="12.3" outlineLevel="1" x14ac:dyDescent="0.4">
      <c r="A117" s="447"/>
      <c r="B117" s="152" t="s">
        <v>150</v>
      </c>
      <c r="C117" s="485"/>
      <c r="D117" s="489"/>
      <c r="E117" s="460"/>
      <c r="F117" s="485"/>
      <c r="G117" s="460"/>
      <c r="H117" s="460"/>
      <c r="I117" s="447"/>
    </row>
    <row r="118" spans="1:9" s="444" customFormat="1" ht="12.3" outlineLevel="1" x14ac:dyDescent="0.4">
      <c r="A118" s="447"/>
      <c r="B118" s="460" t="s">
        <v>9</v>
      </c>
      <c r="C118" s="485">
        <f>1+C116/16384*(4096+C116*(-768+C116*(320-175*C116)))</f>
        <v>1.0016827510415456</v>
      </c>
      <c r="D118" s="489"/>
      <c r="E118" s="485">
        <f ca="1">1+E116/16384*(4096+E116*(-768+E116*(320-175*E116)))</f>
        <v>1.0016827510415456</v>
      </c>
      <c r="F118" s="485"/>
      <c r="G118" s="460"/>
      <c r="H118" s="460"/>
      <c r="I118" s="447"/>
    </row>
    <row r="119" spans="1:9" s="444" customFormat="1" ht="12.3" outlineLevel="1" x14ac:dyDescent="0.4">
      <c r="A119" s="447"/>
      <c r="B119" s="147" t="s">
        <v>149</v>
      </c>
      <c r="C119" s="485"/>
      <c r="D119" s="489"/>
      <c r="E119" s="460"/>
      <c r="F119" s="485"/>
      <c r="G119" s="460"/>
      <c r="H119" s="460"/>
      <c r="I119" s="490"/>
    </row>
    <row r="120" spans="1:9" s="444" customFormat="1" ht="12.3" outlineLevel="1" x14ac:dyDescent="0.4">
      <c r="A120" s="447"/>
      <c r="B120" s="460" t="s">
        <v>10</v>
      </c>
      <c r="C120" s="485">
        <f>C116/1024*(256+C116*(-128+C116*(74-47*C116)))</f>
        <v>1.6792186103152505E-3</v>
      </c>
      <c r="D120" s="489"/>
      <c r="E120" s="485">
        <f ca="1">E116/1024*(256+E116*(-128+E116*(74-47*E116)))</f>
        <v>1.6792186103152505E-3</v>
      </c>
      <c r="F120" s="485"/>
      <c r="G120" s="460"/>
      <c r="H120" s="460"/>
      <c r="I120" s="447"/>
    </row>
    <row r="121" spans="1:9" s="444" customFormat="1" ht="12.3" outlineLevel="1" x14ac:dyDescent="0.4">
      <c r="A121" s="447"/>
      <c r="B121" s="147" t="s">
        <v>148</v>
      </c>
      <c r="C121" s="485"/>
      <c r="D121" s="489"/>
      <c r="E121" s="460"/>
      <c r="F121" s="485"/>
      <c r="G121" s="460"/>
      <c r="H121" s="460"/>
      <c r="I121" s="447"/>
    </row>
    <row r="122" spans="1:9" s="444" customFormat="1" ht="12.3" outlineLevel="1" x14ac:dyDescent="0.4">
      <c r="A122" s="447"/>
      <c r="B122" s="148" t="s">
        <v>147</v>
      </c>
      <c r="C122" s="485">
        <f>C120*SQRT(C106)*(C115+C120/4*(C108*(-1+2*C115*C115)-C120/6*C115*(-3+4*C106)*(-3+4*C115*C115)))</f>
        <v>0</v>
      </c>
      <c r="D122" s="489"/>
      <c r="E122" s="485">
        <f ca="1">E120*SQRT(E106)*(E115+E120/4*(E108*(-1+2*E115*E115)-E120/6*E115*(-3+4*E106)*(-3+4*E115*E115)))</f>
        <v>0</v>
      </c>
      <c r="F122" s="485"/>
      <c r="G122" s="460"/>
      <c r="H122" s="460"/>
      <c r="I122" s="447"/>
    </row>
    <row r="123" spans="1:9" s="444" customFormat="1" ht="12.3" outlineLevel="1" x14ac:dyDescent="0.4">
      <c r="A123" s="447"/>
      <c r="B123" s="460"/>
      <c r="C123" s="485"/>
      <c r="D123" s="489"/>
      <c r="E123" s="460"/>
      <c r="F123" s="485"/>
      <c r="G123" s="460"/>
      <c r="H123" s="460"/>
      <c r="I123" s="447"/>
    </row>
    <row r="124" spans="1:9" s="444" customFormat="1" ht="12.3" outlineLevel="1" x14ac:dyDescent="0.4">
      <c r="A124" s="447"/>
      <c r="B124" s="147" t="s">
        <v>146</v>
      </c>
      <c r="C124" s="485"/>
      <c r="D124" s="494"/>
      <c r="E124" s="460"/>
      <c r="F124" s="485"/>
      <c r="G124" s="460"/>
      <c r="H124" s="460"/>
      <c r="I124" s="150"/>
    </row>
    <row r="125" spans="1:9" s="444" customFormat="1" ht="12.3" outlineLevel="1" x14ac:dyDescent="0.4">
      <c r="A125" s="447"/>
      <c r="B125" s="460" t="s">
        <v>11</v>
      </c>
      <c r="C125" s="485">
        <f>C92/16*COS(ASIN(C113))*COS(ASIN(C113))*(4+C92*(4-3*COS(ASIN(C113))*COS(ASIN(C113))))</f>
        <v>8.389052498964728E-4</v>
      </c>
      <c r="D125" s="494"/>
      <c r="E125" s="485">
        <f ca="1">C92/16*COS(ASIN(E113))*COS(ASIN(E113))*(4+C92*(4-3*COS(ASIN(E113))*COS(ASIN(E113))))</f>
        <v>8.389052498964728E-4</v>
      </c>
      <c r="F125" s="485"/>
      <c r="G125" s="460"/>
      <c r="H125" s="460"/>
      <c r="I125" s="150"/>
    </row>
    <row r="126" spans="1:9" s="444" customFormat="1" ht="12.3" outlineLevel="1" x14ac:dyDescent="0.4">
      <c r="A126" s="447"/>
      <c r="B126" s="147" t="s">
        <v>145</v>
      </c>
      <c r="C126" s="485"/>
      <c r="D126" s="494"/>
      <c r="E126" s="460"/>
      <c r="F126" s="485"/>
      <c r="G126" s="460"/>
      <c r="H126" s="460"/>
      <c r="I126" s="150"/>
    </row>
    <row r="127" spans="1:9" s="444" customFormat="1" ht="12.3" outlineLevel="1" x14ac:dyDescent="0.4">
      <c r="A127" s="447"/>
      <c r="B127" s="151" t="s">
        <v>144</v>
      </c>
      <c r="C127" s="485">
        <f>C93+(1-C125)*C92*C113*(ACOS(C108)+C125*SIN(ACOS(C108))*(C115+C125*C108*(-1+2*C115*C115)))</f>
        <v>0</v>
      </c>
      <c r="D127" s="494"/>
      <c r="E127" s="495">
        <f ca="1">C93+(1-E125)*C92*E113*(ACOS(E108)+E125*SIN(ACOS(E108))*(E115+E125*E108*(-1+2*E115*E115)))</f>
        <v>0</v>
      </c>
      <c r="F127" s="485"/>
      <c r="G127" s="460"/>
      <c r="H127" s="460"/>
      <c r="I127" s="150"/>
    </row>
    <row r="128" spans="1:9" s="444" customFormat="1" ht="12.3" outlineLevel="1" x14ac:dyDescent="0.4">
      <c r="A128" s="447"/>
      <c r="B128" s="149" t="s">
        <v>143</v>
      </c>
      <c r="C128" s="485"/>
      <c r="D128" s="494"/>
      <c r="E128" s="148"/>
      <c r="F128" s="485"/>
      <c r="G128" s="460"/>
      <c r="H128" s="460"/>
      <c r="I128" s="496"/>
    </row>
    <row r="129" spans="1:10" s="444" customFormat="1" ht="12.3" outlineLevel="1" x14ac:dyDescent="0.4">
      <c r="A129" s="447"/>
      <c r="B129" s="460" t="s">
        <v>142</v>
      </c>
      <c r="C129" s="485">
        <f>IF(B144="samepoint",0,C91*C118*(ATAN(C110)-C122))</f>
        <v>0</v>
      </c>
      <c r="D129" s="494"/>
      <c r="E129" s="485">
        <f>IF(B144="samepoint",0,C91*E118*(E111-E122))</f>
        <v>0</v>
      </c>
      <c r="F129" s="460"/>
      <c r="G129" s="460"/>
      <c r="H129" s="460"/>
      <c r="I129" s="496"/>
    </row>
    <row r="130" spans="1:10" s="444" customFormat="1" ht="12.3" outlineLevel="1" x14ac:dyDescent="0.4">
      <c r="A130" s="447"/>
      <c r="B130" s="147" t="s">
        <v>141</v>
      </c>
      <c r="C130" s="485"/>
      <c r="D130" s="494"/>
      <c r="E130" s="485"/>
      <c r="F130" s="460"/>
      <c r="G130" s="460"/>
      <c r="H130" s="460"/>
      <c r="I130" s="496"/>
    </row>
    <row r="131" spans="1:10" s="444" customFormat="1" ht="16.2" outlineLevel="1" x14ac:dyDescent="0.65">
      <c r="A131" s="447"/>
      <c r="B131" s="460" t="s">
        <v>140</v>
      </c>
      <c r="C131" s="485"/>
      <c r="D131" s="494"/>
      <c r="E131" s="485" t="e">
        <f ca="1">C102*SIN(E127)/(C98*C101-C97*C102*COS(E127))</f>
        <v>#DIV/0!</v>
      </c>
      <c r="F131" s="460"/>
      <c r="G131" s="460"/>
      <c r="H131" s="460"/>
      <c r="I131" s="496"/>
    </row>
    <row r="132" spans="1:10" s="444" customFormat="1" ht="12.3" outlineLevel="1" x14ac:dyDescent="0.4">
      <c r="A132" s="447"/>
      <c r="B132" s="147" t="s">
        <v>139</v>
      </c>
      <c r="C132" s="485"/>
      <c r="D132" s="494"/>
      <c r="E132" s="485"/>
      <c r="F132" s="460"/>
      <c r="G132" s="460"/>
      <c r="H132" s="460"/>
      <c r="I132" s="496"/>
    </row>
    <row r="133" spans="1:10" s="444" customFormat="1" ht="16.8" outlineLevel="1" x14ac:dyDescent="0.7">
      <c r="A133" s="447"/>
      <c r="B133" s="460" t="s">
        <v>138</v>
      </c>
      <c r="C133" s="485"/>
      <c r="D133" s="494"/>
      <c r="E133" s="485" t="e">
        <f>C98*SIN(C127)/(-C97*C102+C98*C101*COS(C127))</f>
        <v>#DIV/0!</v>
      </c>
      <c r="F133" s="460"/>
      <c r="G133" s="460"/>
      <c r="H133" s="460"/>
      <c r="I133" s="496"/>
    </row>
    <row r="134" spans="1:10" s="444" customFormat="1" ht="12.3" outlineLevel="1" x14ac:dyDescent="0.4">
      <c r="A134" s="447"/>
      <c r="B134" s="460"/>
      <c r="C134" s="485"/>
      <c r="D134" s="494"/>
      <c r="E134" s="460"/>
      <c r="F134" s="485"/>
      <c r="G134" s="460"/>
      <c r="H134" s="460"/>
      <c r="I134" s="496"/>
    </row>
    <row r="135" spans="1:10" s="444" customFormat="1" ht="12.3" outlineLevel="1" x14ac:dyDescent="0.4">
      <c r="A135" s="447"/>
      <c r="B135" s="460"/>
      <c r="C135" s="497"/>
      <c r="D135" s="447"/>
      <c r="E135" s="460"/>
      <c r="F135" s="485"/>
      <c r="G135" s="460"/>
      <c r="H135" s="460"/>
      <c r="I135" s="496"/>
    </row>
    <row r="136" spans="1:10" s="444" customFormat="1" ht="12.3" outlineLevel="1" x14ac:dyDescent="0.4">
      <c r="A136" s="447"/>
      <c r="B136" s="460"/>
      <c r="C136" s="460"/>
      <c r="D136" s="447"/>
      <c r="E136" s="489"/>
      <c r="F136" s="494"/>
      <c r="G136" s="460"/>
      <c r="H136" s="460"/>
      <c r="I136" s="496"/>
    </row>
    <row r="137" spans="1:10" s="444" customFormat="1" ht="12.3" outlineLevel="1" x14ac:dyDescent="0.4">
      <c r="A137" s="447"/>
      <c r="B137" s="146" t="s">
        <v>137</v>
      </c>
      <c r="C137" s="146"/>
      <c r="D137" s="489"/>
      <c r="E137" s="146" t="s">
        <v>136</v>
      </c>
      <c r="F137" s="146"/>
      <c r="G137" s="460"/>
      <c r="H137" s="460"/>
      <c r="I137" s="496"/>
    </row>
    <row r="138" spans="1:10" s="444" customFormat="1" ht="14.7" outlineLevel="1" x14ac:dyDescent="0.6">
      <c r="A138" s="447"/>
      <c r="B138" s="145" t="s">
        <v>417</v>
      </c>
      <c r="C138" s="485" t="e">
        <f ca="1">ATAN(E131)</f>
        <v>#DIV/0!</v>
      </c>
      <c r="D138" s="447"/>
      <c r="E138" s="145" t="s">
        <v>418</v>
      </c>
      <c r="F138" s="485" t="e">
        <f>ATAN(E133)</f>
        <v>#DIV/0!</v>
      </c>
      <c r="G138" s="460"/>
      <c r="H138" s="460"/>
      <c r="I138" s="496" t="e">
        <f>ATAN2(E87-E85,E88-E86)*180/PI()</f>
        <v>#DIV/0!</v>
      </c>
      <c r="J138" s="496" t="e">
        <f>ATAN2(E85-E87,E86-E88)*180/PI()</f>
        <v>#DIV/0!</v>
      </c>
    </row>
    <row r="139" spans="1:10" s="444" customFormat="1" ht="14.7" outlineLevel="1" x14ac:dyDescent="0.6">
      <c r="A139" s="447"/>
      <c r="B139" s="145" t="s">
        <v>419</v>
      </c>
      <c r="C139" s="485" t="e">
        <f ca="1">(C138/PI())*180+360</f>
        <v>#DIV/0!</v>
      </c>
      <c r="D139" s="447"/>
      <c r="E139" s="145" t="s">
        <v>420</v>
      </c>
      <c r="F139" s="485" t="e">
        <f>(F138/PI())*180+180</f>
        <v>#DIV/0!</v>
      </c>
      <c r="G139" s="460"/>
      <c r="H139" s="460"/>
      <c r="I139" s="496" t="e">
        <f>IF(I138&lt;0,C138*180/PI()+360,C138*180/PI())</f>
        <v>#DIV/0!</v>
      </c>
      <c r="J139" s="498" t="e">
        <f>IF(J138&gt;0,F138*180/PI()+180,F138*180/PI())</f>
        <v>#DIV/0!</v>
      </c>
    </row>
    <row r="140" spans="1:10" s="444" customFormat="1" ht="14.7" outlineLevel="1" x14ac:dyDescent="0.6">
      <c r="A140" s="447"/>
      <c r="B140" s="145" t="s">
        <v>419</v>
      </c>
      <c r="C140" s="485" t="e">
        <f ca="1">IF(C139&gt;=360,C139-360,C139)</f>
        <v>#DIV/0!</v>
      </c>
      <c r="D140" s="447"/>
      <c r="E140" s="145" t="s">
        <v>420</v>
      </c>
      <c r="F140" s="485" t="e">
        <f>IF(F139&gt;=360,F139-360,F139)</f>
        <v>#DIV/0!</v>
      </c>
      <c r="G140" s="460"/>
      <c r="H140" s="460"/>
      <c r="I140" s="496" t="e">
        <f ca="1">ATAN2((C98*C101-C97*C102*COS(E127)),C102*SIN(E127))</f>
        <v>#DIV/0!</v>
      </c>
      <c r="J140" s="485" t="e">
        <f ca="1">ATAN2((-C97*C102+C98*C101*COS(E127)),C98*SIN(E127))</f>
        <v>#DIV/0!</v>
      </c>
    </row>
    <row r="141" spans="1:10" s="444" customFormat="1" ht="14.7" outlineLevel="1" x14ac:dyDescent="0.6">
      <c r="A141" s="447"/>
      <c r="B141" s="145" t="s">
        <v>419</v>
      </c>
      <c r="C141" s="485">
        <f>IF(B144="samepoint",0,IF(B145="northsouth",0,IF(B146="southnorth",180,C140)))</f>
        <v>0</v>
      </c>
      <c r="D141" s="447"/>
      <c r="E141" s="145" t="s">
        <v>420</v>
      </c>
      <c r="F141" s="485">
        <f>IF(B144="samepoint",0,IF(B145="northsouth",180,IF(B146="southnorth",0,F140)))</f>
        <v>0</v>
      </c>
      <c r="G141" s="447"/>
      <c r="H141" s="447"/>
      <c r="I141" s="485">
        <f>IF(B144="samepoint",0,IF(B145="northsouth",0,IF(B146="southnorth",180,IF(I140&lt;0,I140*180/PI()+360,I140*180/PI()))))</f>
        <v>0</v>
      </c>
      <c r="J141" s="485">
        <f>IF(B144="samepoint",0,IF(B145="northsouth",180,IF(B146="southnorth",0,J140*180/PI()+180)))</f>
        <v>0</v>
      </c>
    </row>
    <row r="142" spans="1:10" s="444" customFormat="1" ht="12.3" outlineLevel="1" x14ac:dyDescent="0.4">
      <c r="A142" s="447"/>
      <c r="B142" s="145"/>
      <c r="C142" s="447"/>
      <c r="D142" s="447"/>
      <c r="E142" s="145"/>
      <c r="F142" s="447"/>
      <c r="G142" s="447"/>
      <c r="H142" s="447"/>
      <c r="I142" s="447"/>
    </row>
    <row r="143" spans="1:10" s="444" customFormat="1" ht="12.3" outlineLevel="1" x14ac:dyDescent="0.4">
      <c r="A143" s="447"/>
      <c r="B143" s="144" t="s">
        <v>135</v>
      </c>
      <c r="C143" s="144"/>
      <c r="D143" s="447"/>
      <c r="E143" s="447"/>
      <c r="F143" s="447"/>
      <c r="G143" s="447"/>
      <c r="H143" s="447"/>
      <c r="I143" s="447"/>
    </row>
    <row r="144" spans="1:10" s="444" customFormat="1" ht="12.3" outlineLevel="1" x14ac:dyDescent="0.4">
      <c r="A144" s="447"/>
      <c r="B144" s="447" t="str">
        <f>IF(AND(C85=C87,C86=C88),"samepoint","N.A. " )</f>
        <v>samepoint</v>
      </c>
      <c r="C144" s="447" t="s">
        <v>134</v>
      </c>
      <c r="D144" s="447"/>
      <c r="E144" s="447"/>
      <c r="F144" s="447"/>
      <c r="G144" s="447"/>
      <c r="H144" s="447"/>
      <c r="I144" s="447"/>
    </row>
    <row r="145" spans="1:10" s="444" customFormat="1" ht="12.3" outlineLevel="1" x14ac:dyDescent="0.4">
      <c r="A145" s="447"/>
      <c r="B145" s="447" t="str">
        <f>IF(AND(C86=C88,C87&gt;C85),"northsouth","N.A. ")</f>
        <v xml:space="preserve">N.A. </v>
      </c>
      <c r="C145" s="447" t="s">
        <v>133</v>
      </c>
      <c r="D145" s="447"/>
      <c r="E145" s="447"/>
      <c r="F145" s="447"/>
      <c r="G145" s="447"/>
      <c r="H145" s="447"/>
      <c r="I145" s="447"/>
    </row>
    <row r="146" spans="1:10" s="444" customFormat="1" ht="12.3" outlineLevel="1" x14ac:dyDescent="0.4">
      <c r="A146" s="447"/>
      <c r="B146" s="447" t="str">
        <f>IF(AND(C86=C88,C85&gt;C87),"southnorth","N.A. ")</f>
        <v xml:space="preserve">N.A. </v>
      </c>
      <c r="C146" s="447" t="s">
        <v>132</v>
      </c>
      <c r="D146" s="447"/>
      <c r="E146" s="447"/>
      <c r="F146" s="447"/>
      <c r="G146" s="447"/>
      <c r="H146" s="447"/>
      <c r="I146" s="447"/>
    </row>
    <row r="147" spans="1:10" s="444" customFormat="1" ht="12.3" x14ac:dyDescent="0.4">
      <c r="A147" s="447"/>
      <c r="B147" s="447"/>
      <c r="C147" s="447"/>
      <c r="D147" s="447"/>
      <c r="E147" s="447"/>
      <c r="F147" s="447"/>
      <c r="G147" s="447"/>
      <c r="H147" s="447"/>
      <c r="I147" s="447"/>
    </row>
    <row r="148" spans="1:10" s="444" customFormat="1" ht="15" x14ac:dyDescent="0.5">
      <c r="A148" s="447"/>
      <c r="B148" s="448" t="s">
        <v>187</v>
      </c>
      <c r="C148" s="448" t="s">
        <v>186</v>
      </c>
      <c r="D148" s="447"/>
      <c r="E148" s="447"/>
      <c r="F148" s="447"/>
      <c r="G148" s="447"/>
      <c r="H148" s="447"/>
      <c r="I148" s="447"/>
    </row>
    <row r="149" spans="1:10" s="444" customFormat="1" ht="17.399999999999999" x14ac:dyDescent="0.55000000000000004">
      <c r="A149" s="447"/>
      <c r="B149" s="449" t="s">
        <v>185</v>
      </c>
      <c r="C149" s="450" t="s">
        <v>36</v>
      </c>
      <c r="D149" s="451"/>
      <c r="E149" s="452"/>
      <c r="F149" s="453" t="s">
        <v>183</v>
      </c>
      <c r="G149" s="1076" t="s">
        <v>189</v>
      </c>
      <c r="H149" s="1076"/>
      <c r="I149" s="454"/>
      <c r="J149" s="455"/>
    </row>
    <row r="150" spans="1:10" s="444" customFormat="1" ht="14.7" x14ac:dyDescent="0.6">
      <c r="A150" s="447"/>
      <c r="B150" s="158" t="s">
        <v>405</v>
      </c>
      <c r="C150" s="456">
        <f>C7</f>
        <v>0</v>
      </c>
      <c r="D150" s="457">
        <f>D7</f>
        <v>0</v>
      </c>
      <c r="E150" s="458"/>
      <c r="F150" s="157" t="s">
        <v>406</v>
      </c>
      <c r="G150" s="459">
        <f>IF(SUMMARY!$B$20="NO",0,SUMMARY!$A$30)</f>
        <v>0</v>
      </c>
      <c r="H150" s="457">
        <f>IF(SUMMARY!$B$20="NO",0,SUMMARY!$B$30)</f>
        <v>0</v>
      </c>
      <c r="I150" s="458"/>
      <c r="J150" s="460"/>
    </row>
    <row r="151" spans="1:10" s="444" customFormat="1" ht="14.7" x14ac:dyDescent="0.6">
      <c r="A151" s="447"/>
      <c r="B151" s="158" t="s">
        <v>407</v>
      </c>
      <c r="C151" s="461">
        <f>C8</f>
        <v>0</v>
      </c>
      <c r="D151" s="462">
        <f>D8</f>
        <v>0</v>
      </c>
      <c r="E151" s="463"/>
      <c r="F151" s="157" t="s">
        <v>408</v>
      </c>
      <c r="G151" s="459">
        <f>IF(SUMMARY!$B$20="NO",0,SUMMARY!$A$32)</f>
        <v>0</v>
      </c>
      <c r="H151" s="457">
        <f>IF(SUMMARY!$B$20="NO",0,SUMMARY!$B$32)</f>
        <v>0</v>
      </c>
      <c r="I151" s="458"/>
    </row>
    <row r="152" spans="1:10" s="444" customFormat="1" ht="12.3" x14ac:dyDescent="0.4">
      <c r="A152" s="447"/>
      <c r="B152" s="464" t="s">
        <v>180</v>
      </c>
      <c r="C152" s="465">
        <f>E200</f>
        <v>0</v>
      </c>
      <c r="D152" s="466"/>
      <c r="E152" s="467"/>
      <c r="F152" s="500"/>
      <c r="G152" s="468"/>
      <c r="H152" s="468"/>
      <c r="I152" s="156" t="s">
        <v>179</v>
      </c>
      <c r="J152" s="447"/>
    </row>
    <row r="153" spans="1:10" s="444" customFormat="1" ht="14.7" x14ac:dyDescent="0.6">
      <c r="A153" s="447"/>
      <c r="B153" s="464" t="s">
        <v>409</v>
      </c>
      <c r="C153" s="469">
        <f>I212</f>
        <v>0</v>
      </c>
      <c r="D153" s="470"/>
      <c r="E153" s="471"/>
      <c r="F153" s="501"/>
      <c r="G153" s="472"/>
      <c r="H153" s="473"/>
      <c r="J153" s="474"/>
    </row>
    <row r="154" spans="1:10" s="444" customFormat="1" ht="14.7" x14ac:dyDescent="0.6">
      <c r="A154" s="447"/>
      <c r="B154" s="475" t="s">
        <v>410</v>
      </c>
      <c r="C154" s="476">
        <f>J212</f>
        <v>0</v>
      </c>
      <c r="D154" s="477"/>
      <c r="E154" s="478"/>
      <c r="F154" s="502">
        <f>IF(G150=0=FALSE,C152/1000,0)</f>
        <v>0</v>
      </c>
      <c r="G154" s="447" t="s">
        <v>178</v>
      </c>
      <c r="H154" s="447"/>
    </row>
    <row r="155" spans="1:10" s="446" customFormat="1" ht="12.3" x14ac:dyDescent="0.4">
      <c r="A155" s="445"/>
      <c r="B155" s="480"/>
      <c r="C155" s="481"/>
      <c r="D155" s="482"/>
      <c r="E155" s="483"/>
      <c r="F155" s="445"/>
      <c r="G155" s="445"/>
      <c r="H155" s="444"/>
      <c r="I155" s="444"/>
    </row>
    <row r="156" spans="1:10" s="444" customFormat="1" ht="14.7" outlineLevel="1" x14ac:dyDescent="0.6">
      <c r="A156" s="447"/>
      <c r="B156" s="460" t="s">
        <v>411</v>
      </c>
      <c r="C156" s="485">
        <f>C150+D150/60</f>
        <v>0</v>
      </c>
      <c r="D156" s="447"/>
      <c r="E156" s="485">
        <f>C156*PI()/180</f>
        <v>0</v>
      </c>
      <c r="F156" s="447"/>
      <c r="G156" s="460"/>
      <c r="H156" s="460"/>
      <c r="I156" s="447"/>
    </row>
    <row r="157" spans="1:10" s="444" customFormat="1" ht="14.7" outlineLevel="1" x14ac:dyDescent="0.6">
      <c r="A157" s="447"/>
      <c r="B157" s="460" t="s">
        <v>412</v>
      </c>
      <c r="C157" s="485">
        <f>C151+D151/60</f>
        <v>0</v>
      </c>
      <c r="D157" s="447"/>
      <c r="E157" s="485">
        <f>C157*PI()/180</f>
        <v>0</v>
      </c>
      <c r="F157" s="447"/>
      <c r="G157" s="460"/>
      <c r="H157" s="485"/>
      <c r="I157" s="447"/>
    </row>
    <row r="158" spans="1:10" s="444" customFormat="1" ht="14.7" outlineLevel="1" x14ac:dyDescent="0.6">
      <c r="A158" s="447"/>
      <c r="B158" s="460" t="s">
        <v>413</v>
      </c>
      <c r="C158" s="485">
        <f>G150+H150/60</f>
        <v>0</v>
      </c>
      <c r="D158" s="447"/>
      <c r="E158" s="485">
        <f>C158*PI()/180</f>
        <v>0</v>
      </c>
      <c r="F158" s="447"/>
      <c r="G158" s="460"/>
      <c r="H158" s="460"/>
      <c r="I158" s="447"/>
    </row>
    <row r="159" spans="1:10" s="444" customFormat="1" ht="14.7" outlineLevel="1" x14ac:dyDescent="0.6">
      <c r="A159" s="447"/>
      <c r="B159" s="460" t="s">
        <v>414</v>
      </c>
      <c r="C159" s="485">
        <f>G151+H151/60</f>
        <v>0</v>
      </c>
      <c r="D159" s="447"/>
      <c r="E159" s="485">
        <f>C159*PI()/180</f>
        <v>0</v>
      </c>
      <c r="F159" s="447"/>
      <c r="G159" s="460"/>
      <c r="H159" s="485"/>
      <c r="I159" s="447"/>
    </row>
    <row r="160" spans="1:10" s="444" customFormat="1" ht="12.3" outlineLevel="1" x14ac:dyDescent="0.4">
      <c r="A160" s="447"/>
      <c r="B160" s="485"/>
      <c r="C160" s="485"/>
      <c r="D160" s="485"/>
      <c r="E160" s="485"/>
      <c r="F160" s="447"/>
      <c r="G160" s="460"/>
      <c r="H160" s="485"/>
      <c r="I160" s="447"/>
    </row>
    <row r="161" spans="2:8" s="447" customFormat="1" ht="12.3" outlineLevel="1" x14ac:dyDescent="0.4">
      <c r="B161" s="460" t="s">
        <v>176</v>
      </c>
      <c r="C161" s="487">
        <v>6378137</v>
      </c>
      <c r="D161" s="488"/>
      <c r="E161" s="489" t="s">
        <v>175</v>
      </c>
      <c r="F161" s="485">
        <f>C163+C163*C163</f>
        <v>3.3640520041011246E-3</v>
      </c>
      <c r="G161" s="460"/>
      <c r="H161" s="460"/>
    </row>
    <row r="162" spans="2:8" s="447" customFormat="1" ht="12.3" outlineLevel="1" x14ac:dyDescent="0.4">
      <c r="B162" s="489" t="s">
        <v>174</v>
      </c>
      <c r="C162" s="487">
        <v>6356752.3142451793</v>
      </c>
      <c r="D162" s="488"/>
      <c r="E162" s="489" t="s">
        <v>173</v>
      </c>
      <c r="F162" s="485">
        <f>F161/2</f>
        <v>1.6820260020505623E-3</v>
      </c>
      <c r="G162" s="460"/>
      <c r="H162" s="460"/>
    </row>
    <row r="163" spans="2:8" s="447" customFormat="1" ht="12.3" outlineLevel="1" x14ac:dyDescent="0.4">
      <c r="B163" s="489" t="s">
        <v>172</v>
      </c>
      <c r="C163" s="485">
        <v>3.3528106647474801E-3</v>
      </c>
      <c r="D163" s="489"/>
      <c r="E163" s="489" t="s">
        <v>171</v>
      </c>
      <c r="F163" s="485">
        <f>C163*C163/2</f>
        <v>5.6206696768222199E-6</v>
      </c>
      <c r="G163" s="460"/>
      <c r="H163" s="460"/>
    </row>
    <row r="164" spans="2:8" s="447" customFormat="1" ht="12.3" outlineLevel="1" x14ac:dyDescent="0.4">
      <c r="B164" s="460" t="s">
        <v>415</v>
      </c>
      <c r="C164" s="485">
        <f>E159-E157</f>
        <v>0</v>
      </c>
      <c r="E164" s="447" t="s">
        <v>170</v>
      </c>
      <c r="F164" s="485">
        <f>C163*C163/8</f>
        <v>1.405167419205555E-6</v>
      </c>
      <c r="G164" s="460"/>
      <c r="H164" s="460"/>
    </row>
    <row r="165" spans="2:8" s="447" customFormat="1" ht="12.3" outlineLevel="1" x14ac:dyDescent="0.4">
      <c r="E165" s="489" t="s">
        <v>169</v>
      </c>
      <c r="F165" s="485">
        <f>C163*C163/16</f>
        <v>7.0258370960277749E-7</v>
      </c>
      <c r="G165" s="460"/>
      <c r="H165" s="460"/>
    </row>
    <row r="166" spans="2:8" s="447" customFormat="1" ht="12.3" outlineLevel="1" x14ac:dyDescent="0.4">
      <c r="B166" s="447" t="s">
        <v>168</v>
      </c>
      <c r="C166" s="490">
        <f>(1-C163)*TAN(E156)</f>
        <v>0</v>
      </c>
      <c r="E166" s="489"/>
      <c r="F166" s="460"/>
      <c r="G166" s="460"/>
      <c r="H166" s="460"/>
    </row>
    <row r="167" spans="2:8" s="447" customFormat="1" ht="12.3" outlineLevel="1" x14ac:dyDescent="0.4">
      <c r="B167" s="460" t="s">
        <v>106</v>
      </c>
      <c r="C167" s="485">
        <f>ATAN(C166)</f>
        <v>0</v>
      </c>
      <c r="D167" s="489"/>
      <c r="E167" s="148"/>
      <c r="F167" s="485"/>
      <c r="G167" s="460"/>
      <c r="H167" s="460"/>
    </row>
    <row r="168" spans="2:8" s="447" customFormat="1" ht="12.3" outlineLevel="1" x14ac:dyDescent="0.4">
      <c r="B168" s="460" t="s">
        <v>167</v>
      </c>
      <c r="C168" s="485">
        <f>SIN(C167)</f>
        <v>0</v>
      </c>
      <c r="D168" s="489"/>
      <c r="E168" s="148"/>
      <c r="F168" s="485"/>
      <c r="G168" s="460"/>
      <c r="H168" s="460"/>
    </row>
    <row r="169" spans="2:8" s="447" customFormat="1" ht="12.3" outlineLevel="1" x14ac:dyDescent="0.4">
      <c r="B169" s="460" t="s">
        <v>166</v>
      </c>
      <c r="C169" s="485">
        <f>COS(C167)</f>
        <v>1</v>
      </c>
      <c r="D169" s="489"/>
      <c r="E169" s="460"/>
      <c r="F169" s="485"/>
      <c r="G169" s="460"/>
      <c r="H169" s="460"/>
    </row>
    <row r="170" spans="2:8" s="447" customFormat="1" ht="12.3" outlineLevel="1" x14ac:dyDescent="0.4">
      <c r="B170" s="460" t="s">
        <v>165</v>
      </c>
      <c r="C170" s="491">
        <f>(1-C163)*TAN(E158)</f>
        <v>0</v>
      </c>
      <c r="D170" s="489"/>
      <c r="E170" s="460"/>
      <c r="F170" s="485"/>
      <c r="G170" s="460"/>
      <c r="H170" s="460"/>
    </row>
    <row r="171" spans="2:8" s="447" customFormat="1" ht="12.3" outlineLevel="1" x14ac:dyDescent="0.4">
      <c r="B171" s="460" t="s">
        <v>164</v>
      </c>
      <c r="C171" s="485">
        <f>ATAN(C170)</f>
        <v>0</v>
      </c>
      <c r="D171" s="489"/>
      <c r="E171" s="460"/>
      <c r="F171" s="485"/>
      <c r="G171" s="460"/>
      <c r="H171" s="460"/>
    </row>
    <row r="172" spans="2:8" s="447" customFormat="1" ht="12.3" outlineLevel="1" x14ac:dyDescent="0.4">
      <c r="B172" s="460" t="s">
        <v>163</v>
      </c>
      <c r="C172" s="485">
        <f>SIN(C171)</f>
        <v>0</v>
      </c>
      <c r="D172" s="489"/>
      <c r="E172" s="460"/>
      <c r="F172" s="485"/>
      <c r="G172" s="460"/>
      <c r="H172" s="460"/>
    </row>
    <row r="173" spans="2:8" s="447" customFormat="1" ht="12.3" outlineLevel="1" x14ac:dyDescent="0.4">
      <c r="B173" s="460" t="s">
        <v>162</v>
      </c>
      <c r="C173" s="485">
        <f>COS(C171)</f>
        <v>1</v>
      </c>
      <c r="D173" s="489"/>
      <c r="E173" s="460"/>
      <c r="F173" s="485"/>
      <c r="G173" s="460"/>
      <c r="H173" s="460"/>
    </row>
    <row r="174" spans="2:8" s="447" customFormat="1" ht="12.3" outlineLevel="1" x14ac:dyDescent="0.4">
      <c r="B174" s="147" t="s">
        <v>161</v>
      </c>
      <c r="C174" s="485"/>
      <c r="D174" s="489"/>
      <c r="E174" s="460"/>
      <c r="F174" s="485"/>
      <c r="G174" s="460"/>
      <c r="H174" s="460"/>
    </row>
    <row r="175" spans="2:8" s="447" customFormat="1" ht="12.3" outlineLevel="1" x14ac:dyDescent="0.4">
      <c r="B175" s="148" t="s">
        <v>144</v>
      </c>
      <c r="C175" s="485">
        <f>C164</f>
        <v>0</v>
      </c>
      <c r="D175" s="489"/>
      <c r="E175" s="485">
        <f ca="1">E198</f>
        <v>0</v>
      </c>
      <c r="F175" s="485"/>
      <c r="G175" s="460"/>
      <c r="H175" s="460"/>
    </row>
    <row r="176" spans="2:8" s="447" customFormat="1" ht="12.3" outlineLevel="1" x14ac:dyDescent="0.4">
      <c r="B176" s="147" t="s">
        <v>160</v>
      </c>
      <c r="C176" s="485"/>
      <c r="D176" s="489"/>
      <c r="E176" s="460"/>
      <c r="F176" s="485"/>
      <c r="G176" s="460"/>
      <c r="H176" s="460"/>
    </row>
    <row r="177" spans="1:9" s="444" customFormat="1" ht="13.8" outlineLevel="1" x14ac:dyDescent="0.4">
      <c r="A177" s="447"/>
      <c r="B177" s="460" t="s">
        <v>159</v>
      </c>
      <c r="C177" s="485">
        <f>(C173*SIN(C175)*C173*SIN(C175))+(C169*C172-C168*C173*COS(C175))*(C169*C172-C168*C173*COS(C175))</f>
        <v>0</v>
      </c>
      <c r="D177" s="489"/>
      <c r="E177" s="485">
        <f ca="1">(C173*SIN(E175)*C173*SIN(E175))+(C169*C172-C168*C173*COS(E175))*(C169*C172-C168*C173*COS(E175))</f>
        <v>0</v>
      </c>
      <c r="F177" s="485"/>
      <c r="G177" s="460"/>
      <c r="H177" s="460"/>
      <c r="I177" s="447"/>
    </row>
    <row r="178" spans="1:9" s="444" customFormat="1" ht="12.3" outlineLevel="1" x14ac:dyDescent="0.4">
      <c r="A178" s="447"/>
      <c r="B178" s="154" t="s">
        <v>158</v>
      </c>
      <c r="C178" s="485"/>
      <c r="D178" s="489"/>
      <c r="E178" s="489"/>
      <c r="F178" s="485"/>
      <c r="G178" s="460"/>
      <c r="H178" s="460"/>
      <c r="I178" s="447"/>
    </row>
    <row r="179" spans="1:9" s="444" customFormat="1" ht="12.3" outlineLevel="1" x14ac:dyDescent="0.4">
      <c r="A179" s="447"/>
      <c r="B179" s="447" t="s">
        <v>157</v>
      </c>
      <c r="C179" s="447">
        <f>(C168*C172)+(C169*C173*COS(C175))</f>
        <v>1</v>
      </c>
      <c r="D179" s="447"/>
      <c r="E179" s="447">
        <f ca="1">(C168*C172)+(C169*C173*COS(E175))</f>
        <v>1</v>
      </c>
      <c r="F179" s="447"/>
      <c r="G179" s="460"/>
      <c r="H179" s="460"/>
      <c r="I179" s="447"/>
    </row>
    <row r="180" spans="1:9" s="444" customFormat="1" ht="12.3" outlineLevel="1" x14ac:dyDescent="0.4">
      <c r="A180" s="447"/>
      <c r="B180" s="153" t="s">
        <v>156</v>
      </c>
      <c r="C180" s="489"/>
      <c r="D180" s="489"/>
      <c r="E180" s="489"/>
      <c r="F180" s="460"/>
      <c r="G180" s="460"/>
      <c r="H180" s="460"/>
      <c r="I180" s="447"/>
    </row>
    <row r="181" spans="1:9" s="444" customFormat="1" ht="12.3" outlineLevel="1" x14ac:dyDescent="0.4">
      <c r="A181" s="447"/>
      <c r="B181" s="460" t="s">
        <v>155</v>
      </c>
      <c r="C181" s="485">
        <f>SQRT(C177)/C179</f>
        <v>0</v>
      </c>
      <c r="D181" s="489"/>
      <c r="E181" s="485">
        <f ca="1">SQRT(E177)/E179</f>
        <v>0</v>
      </c>
      <c r="F181" s="485"/>
      <c r="G181" s="447"/>
      <c r="H181" s="447"/>
      <c r="I181" s="492"/>
    </row>
    <row r="182" spans="1:9" s="444" customFormat="1" ht="12.3" outlineLevel="1" x14ac:dyDescent="0.4">
      <c r="A182" s="447"/>
      <c r="B182" s="148" t="s">
        <v>142</v>
      </c>
      <c r="C182" s="485">
        <f>ATAN(C181)</f>
        <v>0</v>
      </c>
      <c r="D182" s="489"/>
      <c r="E182" s="485">
        <f ca="1">IF(ATAN(E181)&lt;0,ATAN(E181)+PI(),ATAN(E181))</f>
        <v>0</v>
      </c>
      <c r="F182" s="485"/>
      <c r="G182" s="447"/>
      <c r="H182" s="447"/>
      <c r="I182" s="492"/>
    </row>
    <row r="183" spans="1:9" s="444" customFormat="1" ht="12.3" outlineLevel="1" x14ac:dyDescent="0.4">
      <c r="A183" s="447"/>
      <c r="B183" s="147" t="s">
        <v>154</v>
      </c>
      <c r="C183" s="485"/>
      <c r="D183" s="489"/>
      <c r="E183" s="460"/>
      <c r="F183" s="485"/>
      <c r="G183" s="447"/>
      <c r="H183" s="447"/>
      <c r="I183" s="492"/>
    </row>
    <row r="184" spans="1:9" s="444" customFormat="1" ht="12.3" outlineLevel="1" x14ac:dyDescent="0.4">
      <c r="A184" s="447"/>
      <c r="B184" s="460" t="s">
        <v>153</v>
      </c>
      <c r="C184" s="485">
        <f>IF(C177=0,0,C169*C173*SIN(C175)/SQRT(C177))</f>
        <v>0</v>
      </c>
      <c r="D184" s="489"/>
      <c r="E184" s="485">
        <f ca="1">IF(E177=0,0,C169*C173*SIN(E175)/SQRT(E177))</f>
        <v>0</v>
      </c>
      <c r="F184" s="485"/>
      <c r="G184" s="460"/>
      <c r="H184" s="460"/>
      <c r="I184" s="492"/>
    </row>
    <row r="185" spans="1:9" s="444" customFormat="1" ht="12.3" outlineLevel="1" x14ac:dyDescent="0.4">
      <c r="A185" s="447"/>
      <c r="B185" s="147" t="s">
        <v>152</v>
      </c>
      <c r="C185" s="485"/>
      <c r="D185" s="489"/>
      <c r="E185" s="489"/>
      <c r="F185" s="485"/>
      <c r="G185" s="460"/>
      <c r="H185" s="460"/>
      <c r="I185" s="447"/>
    </row>
    <row r="186" spans="1:9" s="444" customFormat="1" ht="16.2" outlineLevel="1" x14ac:dyDescent="0.65">
      <c r="A186" s="447"/>
      <c r="B186" s="447" t="s">
        <v>416</v>
      </c>
      <c r="C186" s="447">
        <f>IF((COS(ASIN(C184))*COS(ASIN(C184)))=0,0,C179-2*C168*C172/(COS(ASIN(C184))*COS(ASIN(C184))))</f>
        <v>1</v>
      </c>
      <c r="D186" s="489"/>
      <c r="E186" s="447">
        <f ca="1">E179-2*C168*C172/(COS(ASIN(E184))*COS(ASIN(E184)))</f>
        <v>1</v>
      </c>
      <c r="F186" s="460"/>
      <c r="G186" s="460"/>
      <c r="H186" s="460"/>
      <c r="I186" s="447"/>
    </row>
    <row r="187" spans="1:9" s="444" customFormat="1" ht="15.9" outlineLevel="1" x14ac:dyDescent="0.45">
      <c r="A187" s="447"/>
      <c r="B187" s="447" t="s">
        <v>151</v>
      </c>
      <c r="C187" s="487">
        <f>COS(ASIN(C184))*COS(ASIN(C184))*(C161*C161-C162*C162)/(C162*C162)</f>
        <v>6.7394967422764341E-3</v>
      </c>
      <c r="D187" s="489"/>
      <c r="E187" s="487">
        <f ca="1">COS(ASIN(E184))*COS(ASIN(E184))*(C161*C161-C162*C162)/(C162*C162)</f>
        <v>6.7394967422764341E-3</v>
      </c>
      <c r="F187" s="447"/>
      <c r="G187" s="460"/>
      <c r="H187" s="460"/>
      <c r="I187" s="447"/>
    </row>
    <row r="188" spans="1:9" s="444" customFormat="1" ht="12.3" outlineLevel="1" x14ac:dyDescent="0.4">
      <c r="A188" s="447"/>
      <c r="B188" s="152" t="s">
        <v>150</v>
      </c>
      <c r="C188" s="485"/>
      <c r="D188" s="489"/>
      <c r="E188" s="460"/>
      <c r="F188" s="485"/>
      <c r="G188" s="460"/>
      <c r="H188" s="460"/>
      <c r="I188" s="447"/>
    </row>
    <row r="189" spans="1:9" s="444" customFormat="1" ht="12.3" outlineLevel="1" x14ac:dyDescent="0.4">
      <c r="A189" s="447"/>
      <c r="B189" s="460" t="s">
        <v>9</v>
      </c>
      <c r="C189" s="485">
        <f>1+C187/16384*(4096+C187*(-768+C187*(320-175*C187)))</f>
        <v>1.0016827510415456</v>
      </c>
      <c r="D189" s="489"/>
      <c r="E189" s="485">
        <f ca="1">1+E187/16384*(4096+E187*(-768+E187*(320-175*E187)))</f>
        <v>1.0016827510415456</v>
      </c>
      <c r="F189" s="485"/>
      <c r="G189" s="460"/>
      <c r="H189" s="460"/>
      <c r="I189" s="447"/>
    </row>
    <row r="190" spans="1:9" s="444" customFormat="1" ht="12.3" outlineLevel="1" x14ac:dyDescent="0.4">
      <c r="A190" s="447"/>
      <c r="B190" s="147" t="s">
        <v>149</v>
      </c>
      <c r="C190" s="485"/>
      <c r="D190" s="489"/>
      <c r="E190" s="460"/>
      <c r="F190" s="485"/>
      <c r="G190" s="460"/>
      <c r="H190" s="460"/>
      <c r="I190" s="490"/>
    </row>
    <row r="191" spans="1:9" s="444" customFormat="1" ht="12.3" outlineLevel="1" x14ac:dyDescent="0.4">
      <c r="A191" s="447"/>
      <c r="B191" s="460" t="s">
        <v>10</v>
      </c>
      <c r="C191" s="485">
        <f>C187/1024*(256+C187*(-128+C187*(74-47*C187)))</f>
        <v>1.6792186103152505E-3</v>
      </c>
      <c r="D191" s="489"/>
      <c r="E191" s="485">
        <f ca="1">E187/1024*(256+E187*(-128+E187*(74-47*E187)))</f>
        <v>1.6792186103152505E-3</v>
      </c>
      <c r="F191" s="485"/>
      <c r="G191" s="460"/>
      <c r="H191" s="460"/>
      <c r="I191" s="447"/>
    </row>
    <row r="192" spans="1:9" s="444" customFormat="1" ht="12.3" outlineLevel="1" x14ac:dyDescent="0.4">
      <c r="A192" s="447"/>
      <c r="B192" s="147" t="s">
        <v>148</v>
      </c>
      <c r="C192" s="485"/>
      <c r="D192" s="489"/>
      <c r="E192" s="460"/>
      <c r="F192" s="485"/>
      <c r="G192" s="460"/>
      <c r="H192" s="460"/>
      <c r="I192" s="447"/>
    </row>
    <row r="193" spans="1:9" s="444" customFormat="1" ht="12.3" outlineLevel="1" x14ac:dyDescent="0.4">
      <c r="A193" s="447"/>
      <c r="B193" s="148" t="s">
        <v>147</v>
      </c>
      <c r="C193" s="485">
        <f>C191*SQRT(C177)*(C186+C191/4*(C179*(-1+2*C186*C186)-C191/6*C186*(-3+4*C177)*(-3+4*C186*C186)))</f>
        <v>0</v>
      </c>
      <c r="D193" s="489"/>
      <c r="E193" s="485">
        <f ca="1">E191*SQRT(E177)*(E186+E191/4*(E179*(-1+2*E186*E186)-E191/6*E186*(-3+4*E177)*(-3+4*E186*E186)))</f>
        <v>0</v>
      </c>
      <c r="F193" s="485"/>
      <c r="G193" s="460"/>
      <c r="H193" s="460"/>
      <c r="I193" s="447"/>
    </row>
    <row r="194" spans="1:9" s="444" customFormat="1" ht="12.3" outlineLevel="1" x14ac:dyDescent="0.4">
      <c r="A194" s="447"/>
      <c r="B194" s="460"/>
      <c r="C194" s="485"/>
      <c r="D194" s="489"/>
      <c r="E194" s="460"/>
      <c r="F194" s="485"/>
      <c r="G194" s="460"/>
      <c r="H194" s="460"/>
      <c r="I194" s="447"/>
    </row>
    <row r="195" spans="1:9" s="444" customFormat="1" ht="12.3" outlineLevel="1" x14ac:dyDescent="0.4">
      <c r="A195" s="447"/>
      <c r="B195" s="147" t="s">
        <v>146</v>
      </c>
      <c r="C195" s="485"/>
      <c r="D195" s="494"/>
      <c r="E195" s="460"/>
      <c r="F195" s="485"/>
      <c r="G195" s="460"/>
      <c r="H195" s="460"/>
      <c r="I195" s="150"/>
    </row>
    <row r="196" spans="1:9" s="444" customFormat="1" ht="12.3" outlineLevel="1" x14ac:dyDescent="0.4">
      <c r="A196" s="447"/>
      <c r="B196" s="460" t="s">
        <v>11</v>
      </c>
      <c r="C196" s="485">
        <f>C163/16*COS(ASIN(C184))*COS(ASIN(C184))*(4+C163*(4-3*COS(ASIN(C184))*COS(ASIN(C184))))</f>
        <v>8.389052498964728E-4</v>
      </c>
      <c r="D196" s="494"/>
      <c r="E196" s="485">
        <f ca="1">C163/16*COS(ASIN(E184))*COS(ASIN(E184))*(4+C163*(4-3*COS(ASIN(E184))*COS(ASIN(E184))))</f>
        <v>8.389052498964728E-4</v>
      </c>
      <c r="F196" s="485"/>
      <c r="G196" s="460"/>
      <c r="H196" s="460"/>
      <c r="I196" s="150"/>
    </row>
    <row r="197" spans="1:9" s="444" customFormat="1" ht="12.3" outlineLevel="1" x14ac:dyDescent="0.4">
      <c r="A197" s="447"/>
      <c r="B197" s="147" t="s">
        <v>145</v>
      </c>
      <c r="C197" s="485"/>
      <c r="D197" s="494"/>
      <c r="E197" s="460"/>
      <c r="F197" s="485"/>
      <c r="G197" s="460"/>
      <c r="H197" s="460"/>
      <c r="I197" s="150"/>
    </row>
    <row r="198" spans="1:9" s="444" customFormat="1" ht="12.3" outlineLevel="1" x14ac:dyDescent="0.4">
      <c r="A198" s="447"/>
      <c r="B198" s="151" t="s">
        <v>144</v>
      </c>
      <c r="C198" s="485">
        <f>C164+(1-C196)*C163*C184*(ACOS(C179)+C196*SIN(ACOS(C179))*(C186+C196*C179*(-1+2*C186*C186)))</f>
        <v>0</v>
      </c>
      <c r="D198" s="494"/>
      <c r="E198" s="495">
        <f ca="1">C164+(1-E196)*C163*E184*(ACOS(E179)+E196*SIN(ACOS(E179))*(E186+E196*E179*(-1+2*E186*E186)))</f>
        <v>0</v>
      </c>
      <c r="F198" s="485"/>
      <c r="G198" s="460"/>
      <c r="H198" s="460"/>
      <c r="I198" s="150"/>
    </row>
    <row r="199" spans="1:9" s="444" customFormat="1" ht="12.3" outlineLevel="1" x14ac:dyDescent="0.4">
      <c r="A199" s="447"/>
      <c r="B199" s="149" t="s">
        <v>143</v>
      </c>
      <c r="C199" s="485"/>
      <c r="D199" s="494"/>
      <c r="E199" s="148"/>
      <c r="F199" s="485"/>
      <c r="G199" s="460"/>
      <c r="H199" s="460"/>
      <c r="I199" s="496"/>
    </row>
    <row r="200" spans="1:9" s="444" customFormat="1" ht="12.3" outlineLevel="1" x14ac:dyDescent="0.4">
      <c r="A200" s="447"/>
      <c r="B200" s="460" t="s">
        <v>142</v>
      </c>
      <c r="C200" s="485">
        <f>IF(B215="samepoint",0,C162*C189*(ATAN(C181)-C193))</f>
        <v>0</v>
      </c>
      <c r="D200" s="494"/>
      <c r="E200" s="485">
        <f>IF(B215="samepoint",0,C162*E189*(E182-E193))</f>
        <v>0</v>
      </c>
      <c r="F200" s="460"/>
      <c r="G200" s="460"/>
      <c r="H200" s="460"/>
      <c r="I200" s="496"/>
    </row>
    <row r="201" spans="1:9" s="444" customFormat="1" ht="12.3" outlineLevel="1" x14ac:dyDescent="0.4">
      <c r="A201" s="447"/>
      <c r="B201" s="147" t="s">
        <v>141</v>
      </c>
      <c r="C201" s="485"/>
      <c r="D201" s="494"/>
      <c r="E201" s="485"/>
      <c r="F201" s="460"/>
      <c r="G201" s="460"/>
      <c r="H201" s="460"/>
      <c r="I201" s="496"/>
    </row>
    <row r="202" spans="1:9" s="444" customFormat="1" ht="16.2" outlineLevel="1" x14ac:dyDescent="0.65">
      <c r="A202" s="447"/>
      <c r="B202" s="460" t="s">
        <v>140</v>
      </c>
      <c r="C202" s="485"/>
      <c r="D202" s="494"/>
      <c r="E202" s="485" t="e">
        <f ca="1">C173*SIN(E198)/(C169*C172-C168*C173*COS(E198))</f>
        <v>#DIV/0!</v>
      </c>
      <c r="F202" s="460"/>
      <c r="G202" s="460"/>
      <c r="H202" s="460"/>
      <c r="I202" s="496"/>
    </row>
    <row r="203" spans="1:9" s="444" customFormat="1" ht="12.3" outlineLevel="1" x14ac:dyDescent="0.4">
      <c r="A203" s="447"/>
      <c r="B203" s="147" t="s">
        <v>139</v>
      </c>
      <c r="C203" s="485"/>
      <c r="D203" s="494"/>
      <c r="E203" s="485"/>
      <c r="F203" s="460"/>
      <c r="G203" s="460"/>
      <c r="H203" s="460"/>
      <c r="I203" s="496"/>
    </row>
    <row r="204" spans="1:9" s="444" customFormat="1" ht="16.8" outlineLevel="1" x14ac:dyDescent="0.7">
      <c r="A204" s="447"/>
      <c r="B204" s="460" t="s">
        <v>138</v>
      </c>
      <c r="C204" s="485"/>
      <c r="D204" s="494"/>
      <c r="E204" s="485" t="e">
        <f>C169*SIN(C198)/(-C168*C173+C169*C172*COS(C198))</f>
        <v>#DIV/0!</v>
      </c>
      <c r="F204" s="460"/>
      <c r="G204" s="460"/>
      <c r="H204" s="460"/>
      <c r="I204" s="496"/>
    </row>
    <row r="205" spans="1:9" s="444" customFormat="1" ht="12.3" outlineLevel="1" x14ac:dyDescent="0.4">
      <c r="A205" s="447"/>
      <c r="B205" s="460"/>
      <c r="C205" s="485"/>
      <c r="D205" s="494"/>
      <c r="E205" s="460"/>
      <c r="F205" s="485"/>
      <c r="G205" s="460"/>
      <c r="H205" s="460"/>
      <c r="I205" s="496"/>
    </row>
    <row r="206" spans="1:9" s="444" customFormat="1" ht="12.3" outlineLevel="1" x14ac:dyDescent="0.4">
      <c r="A206" s="447"/>
      <c r="B206" s="460"/>
      <c r="C206" s="497"/>
      <c r="D206" s="447"/>
      <c r="E206" s="460"/>
      <c r="F206" s="485"/>
      <c r="G206" s="460"/>
      <c r="H206" s="460"/>
      <c r="I206" s="496"/>
    </row>
    <row r="207" spans="1:9" s="444" customFormat="1" ht="12.3" outlineLevel="1" x14ac:dyDescent="0.4">
      <c r="A207" s="447"/>
      <c r="B207" s="460"/>
      <c r="C207" s="460"/>
      <c r="D207" s="447"/>
      <c r="E207" s="489"/>
      <c r="F207" s="494"/>
      <c r="G207" s="460"/>
      <c r="H207" s="460"/>
      <c r="I207" s="496"/>
    </row>
    <row r="208" spans="1:9" s="444" customFormat="1" ht="12.3" outlineLevel="1" x14ac:dyDescent="0.4">
      <c r="A208" s="447"/>
      <c r="B208" s="146" t="s">
        <v>137</v>
      </c>
      <c r="C208" s="146"/>
      <c r="D208" s="489"/>
      <c r="E208" s="146" t="s">
        <v>136</v>
      </c>
      <c r="F208" s="146"/>
      <c r="G208" s="460"/>
      <c r="H208" s="460"/>
      <c r="I208" s="496"/>
    </row>
    <row r="209" spans="1:10" s="444" customFormat="1" ht="14.7" outlineLevel="1" x14ac:dyDescent="0.6">
      <c r="A209" s="447"/>
      <c r="B209" s="145" t="s">
        <v>417</v>
      </c>
      <c r="C209" s="485" t="e">
        <f ca="1">ATAN(E202)</f>
        <v>#DIV/0!</v>
      </c>
      <c r="D209" s="447"/>
      <c r="E209" s="145" t="s">
        <v>418</v>
      </c>
      <c r="F209" s="485" t="e">
        <f>ATAN(E204)</f>
        <v>#DIV/0!</v>
      </c>
      <c r="G209" s="460"/>
      <c r="H209" s="460"/>
      <c r="I209" s="496" t="e">
        <f>ATAN2(E158-E156,E159-E157)*180/PI()</f>
        <v>#DIV/0!</v>
      </c>
      <c r="J209" s="496" t="e">
        <f>ATAN2(E156-E158,E157-E159)*180/PI()</f>
        <v>#DIV/0!</v>
      </c>
    </row>
    <row r="210" spans="1:10" s="444" customFormat="1" ht="14.7" outlineLevel="1" x14ac:dyDescent="0.6">
      <c r="A210" s="447"/>
      <c r="B210" s="145" t="s">
        <v>419</v>
      </c>
      <c r="C210" s="485" t="e">
        <f ca="1">(C209/PI())*180+360</f>
        <v>#DIV/0!</v>
      </c>
      <c r="D210" s="447"/>
      <c r="E210" s="145" t="s">
        <v>420</v>
      </c>
      <c r="F210" s="485" t="e">
        <f>(F209/PI())*180+180</f>
        <v>#DIV/0!</v>
      </c>
      <c r="G210" s="460"/>
      <c r="H210" s="460"/>
      <c r="I210" s="496" t="e">
        <f>IF(I209&lt;0,C209*180/PI()+360,C209*180/PI())</f>
        <v>#DIV/0!</v>
      </c>
      <c r="J210" s="498" t="e">
        <f>IF(J209&gt;0,F209*180/PI()+180,F209*180/PI())</f>
        <v>#DIV/0!</v>
      </c>
    </row>
    <row r="211" spans="1:10" s="444" customFormat="1" ht="14.7" outlineLevel="1" x14ac:dyDescent="0.6">
      <c r="A211" s="447"/>
      <c r="B211" s="145" t="s">
        <v>419</v>
      </c>
      <c r="C211" s="485" t="e">
        <f ca="1">IF(C210&gt;=360,C210-360,C210)</f>
        <v>#DIV/0!</v>
      </c>
      <c r="D211" s="447"/>
      <c r="E211" s="145" t="s">
        <v>420</v>
      </c>
      <c r="F211" s="485" t="e">
        <f>IF(F210&gt;=360,F210-360,F210)</f>
        <v>#DIV/0!</v>
      </c>
      <c r="G211" s="460"/>
      <c r="H211" s="460"/>
      <c r="I211" s="496" t="e">
        <f ca="1">ATAN2((C169*C172-C168*C173*COS(E198)),C173*SIN(E198))</f>
        <v>#DIV/0!</v>
      </c>
      <c r="J211" s="485" t="e">
        <f ca="1">ATAN2((-C168*C173+C169*C172*COS(E198)),C169*SIN(E198))</f>
        <v>#DIV/0!</v>
      </c>
    </row>
    <row r="212" spans="1:10" s="444" customFormat="1" ht="14.7" outlineLevel="1" x14ac:dyDescent="0.6">
      <c r="A212" s="447"/>
      <c r="B212" s="145" t="s">
        <v>419</v>
      </c>
      <c r="C212" s="485">
        <f>IF(B215="samepoint",0,IF(B216="northsouth",0,IF(B217="southnorth",180,C211)))</f>
        <v>0</v>
      </c>
      <c r="D212" s="447"/>
      <c r="E212" s="145" t="s">
        <v>420</v>
      </c>
      <c r="F212" s="485">
        <f>IF(B215="samepoint",0,IF(B216="northsouth",180,IF(B217="southnorth",0,F211)))</f>
        <v>0</v>
      </c>
      <c r="G212" s="447"/>
      <c r="H212" s="447"/>
      <c r="I212" s="485">
        <f>IF(B215="samepoint",0,IF(B216="northsouth",0,IF(B217="southnorth",180,IF(I211&lt;0,I211*180/PI()+360,I211*180/PI()))))</f>
        <v>0</v>
      </c>
      <c r="J212" s="485">
        <f>IF(B215="samepoint",0,IF(B216="northsouth",180,IF(B217="southnorth",0,J211*180/PI()+180)))</f>
        <v>0</v>
      </c>
    </row>
    <row r="213" spans="1:10" s="444" customFormat="1" ht="12.3" outlineLevel="1" x14ac:dyDescent="0.4">
      <c r="A213" s="447"/>
      <c r="B213" s="145"/>
      <c r="C213" s="447"/>
      <c r="D213" s="447"/>
      <c r="E213" s="145"/>
      <c r="F213" s="447"/>
      <c r="G213" s="447"/>
      <c r="H213" s="447"/>
      <c r="I213" s="447"/>
    </row>
    <row r="214" spans="1:10" s="444" customFormat="1" ht="12.3" outlineLevel="1" x14ac:dyDescent="0.4">
      <c r="A214" s="447"/>
      <c r="B214" s="144" t="s">
        <v>135</v>
      </c>
      <c r="C214" s="144"/>
      <c r="D214" s="447"/>
      <c r="E214" s="447"/>
      <c r="F214" s="447"/>
      <c r="G214" s="447"/>
      <c r="H214" s="447"/>
      <c r="I214" s="447"/>
    </row>
    <row r="215" spans="1:10" s="444" customFormat="1" ht="12.3" outlineLevel="1" x14ac:dyDescent="0.4">
      <c r="A215" s="447"/>
      <c r="B215" s="447" t="str">
        <f>IF(AND(C156=C158,C157=C159),"samepoint","N.A. " )</f>
        <v>samepoint</v>
      </c>
      <c r="C215" s="447" t="s">
        <v>134</v>
      </c>
      <c r="D215" s="447"/>
      <c r="E215" s="447"/>
      <c r="F215" s="447"/>
      <c r="G215" s="447"/>
      <c r="H215" s="447"/>
      <c r="I215" s="447"/>
    </row>
    <row r="216" spans="1:10" s="444" customFormat="1" ht="12.3" outlineLevel="1" x14ac:dyDescent="0.4">
      <c r="A216" s="447"/>
      <c r="B216" s="447" t="str">
        <f>IF(AND(C157=C159,C158&gt;C156),"northsouth","N.A. ")</f>
        <v xml:space="preserve">N.A. </v>
      </c>
      <c r="C216" s="447" t="s">
        <v>133</v>
      </c>
      <c r="D216" s="447"/>
      <c r="E216" s="447"/>
      <c r="F216" s="447"/>
      <c r="G216" s="447"/>
      <c r="H216" s="447"/>
      <c r="I216" s="447"/>
    </row>
    <row r="217" spans="1:10" s="444" customFormat="1" ht="12.3" outlineLevel="1" x14ac:dyDescent="0.4">
      <c r="A217" s="447"/>
      <c r="B217" s="447" t="str">
        <f>IF(AND(C157=C159,C156&gt;C158),"southnorth","N.A. ")</f>
        <v xml:space="preserve">N.A. </v>
      </c>
      <c r="C217" s="447" t="s">
        <v>132</v>
      </c>
      <c r="D217" s="447"/>
      <c r="E217" s="447"/>
      <c r="F217" s="447"/>
      <c r="G217" s="447"/>
      <c r="H217" s="447"/>
      <c r="I217" s="447"/>
    </row>
    <row r="218" spans="1:10" s="444" customFormat="1" ht="12.3" x14ac:dyDescent="0.4">
      <c r="A218" s="447"/>
      <c r="B218" s="447"/>
      <c r="C218" s="447"/>
      <c r="D218" s="447"/>
      <c r="E218" s="447"/>
      <c r="F218" s="447"/>
      <c r="G218" s="447"/>
      <c r="H218" s="447"/>
      <c r="I218" s="447"/>
    </row>
    <row r="219" spans="1:10" s="444" customFormat="1" ht="15" x14ac:dyDescent="0.5">
      <c r="A219" s="447"/>
      <c r="B219" s="448" t="s">
        <v>187</v>
      </c>
      <c r="C219" s="448" t="s">
        <v>186</v>
      </c>
      <c r="D219" s="447"/>
      <c r="E219" s="447"/>
      <c r="F219" s="447"/>
      <c r="G219" s="447"/>
      <c r="H219" s="447"/>
      <c r="I219" s="447"/>
    </row>
    <row r="220" spans="1:10" s="444" customFormat="1" ht="17.399999999999999" x14ac:dyDescent="0.55000000000000004">
      <c r="A220" s="447"/>
      <c r="B220" s="449" t="s">
        <v>185</v>
      </c>
      <c r="C220" s="450" t="s">
        <v>184</v>
      </c>
      <c r="D220" s="451"/>
      <c r="E220" s="452"/>
      <c r="F220" s="453" t="s">
        <v>183</v>
      </c>
      <c r="G220" s="1076" t="s">
        <v>189</v>
      </c>
      <c r="H220" s="1076"/>
      <c r="I220" s="454"/>
      <c r="J220" s="455"/>
    </row>
    <row r="221" spans="1:10" s="444" customFormat="1" ht="14.7" x14ac:dyDescent="0.6">
      <c r="A221" s="447"/>
      <c r="B221" s="158" t="s">
        <v>405</v>
      </c>
      <c r="C221" s="456">
        <f>C79</f>
        <v>0</v>
      </c>
      <c r="D221" s="457">
        <f>D79</f>
        <v>0</v>
      </c>
      <c r="E221" s="458"/>
      <c r="F221" s="157" t="s">
        <v>406</v>
      </c>
      <c r="G221" s="459">
        <f>G150</f>
        <v>0</v>
      </c>
      <c r="H221" s="457">
        <f>H150</f>
        <v>0</v>
      </c>
      <c r="I221" s="458"/>
      <c r="J221" s="460"/>
    </row>
    <row r="222" spans="1:10" s="444" customFormat="1" ht="14.7" x14ac:dyDescent="0.6">
      <c r="A222" s="447"/>
      <c r="B222" s="158" t="s">
        <v>407</v>
      </c>
      <c r="C222" s="461">
        <f>C80</f>
        <v>0</v>
      </c>
      <c r="D222" s="462">
        <f>D80</f>
        <v>0</v>
      </c>
      <c r="E222" s="463"/>
      <c r="F222" s="157" t="s">
        <v>408</v>
      </c>
      <c r="G222" s="459">
        <f>G151</f>
        <v>0</v>
      </c>
      <c r="H222" s="457">
        <f>H151</f>
        <v>0</v>
      </c>
      <c r="I222" s="458"/>
    </row>
    <row r="223" spans="1:10" s="444" customFormat="1" ht="12.3" x14ac:dyDescent="0.4">
      <c r="A223" s="447"/>
      <c r="B223" s="464" t="s">
        <v>180</v>
      </c>
      <c r="C223" s="465">
        <f>E272</f>
        <v>0</v>
      </c>
      <c r="D223" s="466"/>
      <c r="E223" s="467"/>
      <c r="F223" s="500"/>
      <c r="G223" s="468"/>
      <c r="H223" s="468"/>
      <c r="I223" s="156" t="s">
        <v>179</v>
      </c>
      <c r="J223" s="447"/>
    </row>
    <row r="224" spans="1:10" s="444" customFormat="1" ht="14.7" x14ac:dyDescent="0.6">
      <c r="A224" s="447"/>
      <c r="B224" s="464" t="s">
        <v>409</v>
      </c>
      <c r="C224" s="469">
        <f>I284</f>
        <v>0</v>
      </c>
      <c r="D224" s="470"/>
      <c r="E224" s="471"/>
      <c r="F224" s="501"/>
      <c r="G224" s="472"/>
      <c r="H224" s="473"/>
      <c r="J224" s="474"/>
    </row>
    <row r="225" spans="1:9" s="444" customFormat="1" ht="14.7" x14ac:dyDescent="0.6">
      <c r="A225" s="447"/>
      <c r="B225" s="475" t="s">
        <v>410</v>
      </c>
      <c r="C225" s="476">
        <f>J284</f>
        <v>0</v>
      </c>
      <c r="D225" s="477"/>
      <c r="E225" s="478"/>
      <c r="F225" s="502">
        <f>IF(AND(C221=0=FALSE,G221=0=FALSE),C223/1000,0)</f>
        <v>0</v>
      </c>
      <c r="G225" s="447" t="s">
        <v>178</v>
      </c>
      <c r="H225" s="447"/>
    </row>
    <row r="226" spans="1:9" s="444" customFormat="1" ht="12.3" x14ac:dyDescent="0.4">
      <c r="A226" s="447"/>
      <c r="B226" s="460"/>
      <c r="C226" s="487"/>
      <c r="D226" s="489"/>
      <c r="E226" s="489"/>
      <c r="F226" s="447"/>
      <c r="G226" s="460"/>
    </row>
    <row r="227" spans="1:9" s="444" customFormat="1" ht="12.3" outlineLevel="1" x14ac:dyDescent="0.4">
      <c r="A227" s="447"/>
      <c r="B227" s="447"/>
      <c r="C227" s="503" t="s">
        <v>177</v>
      </c>
      <c r="D227" s="504"/>
      <c r="E227" s="503" t="s">
        <v>85</v>
      </c>
      <c r="F227" s="447"/>
      <c r="G227" s="460"/>
      <c r="H227" s="503"/>
      <c r="I227" s="504"/>
    </row>
    <row r="228" spans="1:9" s="444" customFormat="1" ht="14.7" outlineLevel="1" x14ac:dyDescent="0.6">
      <c r="A228" s="447"/>
      <c r="B228" s="460" t="s">
        <v>411</v>
      </c>
      <c r="C228" s="485">
        <f>C221+D221/60</f>
        <v>0</v>
      </c>
      <c r="D228" s="447"/>
      <c r="E228" s="485">
        <f>C228*PI()/180</f>
        <v>0</v>
      </c>
      <c r="F228" s="447"/>
      <c r="G228" s="460"/>
      <c r="H228" s="460"/>
      <c r="I228" s="447"/>
    </row>
    <row r="229" spans="1:9" s="444" customFormat="1" ht="14.7" outlineLevel="1" x14ac:dyDescent="0.6">
      <c r="A229" s="447"/>
      <c r="B229" s="460" t="s">
        <v>412</v>
      </c>
      <c r="C229" s="485">
        <f>C222+D222/60</f>
        <v>0</v>
      </c>
      <c r="D229" s="447"/>
      <c r="E229" s="485">
        <f>C229*PI()/180</f>
        <v>0</v>
      </c>
      <c r="F229" s="447"/>
      <c r="G229" s="460"/>
      <c r="H229" s="485"/>
      <c r="I229" s="447"/>
    </row>
    <row r="230" spans="1:9" s="444" customFormat="1" ht="14.7" outlineLevel="1" x14ac:dyDescent="0.6">
      <c r="A230" s="447"/>
      <c r="B230" s="460" t="s">
        <v>413</v>
      </c>
      <c r="C230" s="485">
        <f>G221+H221/60</f>
        <v>0</v>
      </c>
      <c r="D230" s="447"/>
      <c r="E230" s="485">
        <f>C230*PI()/180</f>
        <v>0</v>
      </c>
      <c r="F230" s="447"/>
      <c r="G230" s="460"/>
      <c r="H230" s="460"/>
      <c r="I230" s="447"/>
    </row>
    <row r="231" spans="1:9" s="444" customFormat="1" ht="14.7" outlineLevel="1" x14ac:dyDescent="0.6">
      <c r="A231" s="447"/>
      <c r="B231" s="460" t="s">
        <v>414</v>
      </c>
      <c r="C231" s="485">
        <f>G222+H222/60</f>
        <v>0</v>
      </c>
      <c r="D231" s="447"/>
      <c r="E231" s="485">
        <f>C231*PI()/180</f>
        <v>0</v>
      </c>
      <c r="F231" s="447"/>
      <c r="G231" s="460"/>
      <c r="H231" s="485"/>
      <c r="I231" s="447"/>
    </row>
    <row r="232" spans="1:9" s="444" customFormat="1" ht="12.3" outlineLevel="1" x14ac:dyDescent="0.4">
      <c r="A232" s="447"/>
      <c r="B232" s="485"/>
      <c r="C232" s="485"/>
      <c r="D232" s="485"/>
      <c r="E232" s="485"/>
      <c r="F232" s="447"/>
      <c r="G232" s="460"/>
      <c r="H232" s="485"/>
      <c r="I232" s="447"/>
    </row>
    <row r="233" spans="1:9" s="444" customFormat="1" ht="12.3" outlineLevel="1" x14ac:dyDescent="0.4">
      <c r="A233" s="447"/>
      <c r="B233" s="460" t="s">
        <v>176</v>
      </c>
      <c r="C233" s="487">
        <v>6378137</v>
      </c>
      <c r="D233" s="488"/>
      <c r="E233" s="489" t="s">
        <v>175</v>
      </c>
      <c r="F233" s="485">
        <f>C235+C235*C235</f>
        <v>3.3640520041011246E-3</v>
      </c>
      <c r="G233" s="460"/>
      <c r="H233" s="460"/>
      <c r="I233" s="447"/>
    </row>
    <row r="234" spans="1:9" s="444" customFormat="1" ht="12.3" outlineLevel="1" x14ac:dyDescent="0.4">
      <c r="A234" s="447"/>
      <c r="B234" s="489" t="s">
        <v>174</v>
      </c>
      <c r="C234" s="487">
        <v>6356752.3142451793</v>
      </c>
      <c r="D234" s="488"/>
      <c r="E234" s="489" t="s">
        <v>173</v>
      </c>
      <c r="F234" s="485">
        <f>F233/2</f>
        <v>1.6820260020505623E-3</v>
      </c>
      <c r="G234" s="460"/>
      <c r="H234" s="460"/>
      <c r="I234" s="447"/>
    </row>
    <row r="235" spans="1:9" s="444" customFormat="1" ht="12.3" outlineLevel="1" x14ac:dyDescent="0.4">
      <c r="A235" s="447"/>
      <c r="B235" s="489" t="s">
        <v>172</v>
      </c>
      <c r="C235" s="485">
        <v>3.3528106647474801E-3</v>
      </c>
      <c r="D235" s="489"/>
      <c r="E235" s="489" t="s">
        <v>171</v>
      </c>
      <c r="F235" s="485">
        <f>C235*C235/2</f>
        <v>5.6206696768222199E-6</v>
      </c>
      <c r="G235" s="460"/>
      <c r="H235" s="460"/>
      <c r="I235" s="447"/>
    </row>
    <row r="236" spans="1:9" s="444" customFormat="1" ht="12.3" outlineLevel="1" x14ac:dyDescent="0.4">
      <c r="A236" s="447"/>
      <c r="B236" s="460" t="s">
        <v>415</v>
      </c>
      <c r="C236" s="485">
        <f>E231-E229</f>
        <v>0</v>
      </c>
      <c r="D236" s="447"/>
      <c r="E236" s="447" t="s">
        <v>170</v>
      </c>
      <c r="F236" s="485">
        <f>C235*C235/8</f>
        <v>1.405167419205555E-6</v>
      </c>
      <c r="G236" s="460"/>
      <c r="H236" s="460"/>
      <c r="I236" s="447"/>
    </row>
    <row r="237" spans="1:9" s="444" customFormat="1" ht="12.3" outlineLevel="1" x14ac:dyDescent="0.4">
      <c r="A237" s="447"/>
      <c r="B237" s="447"/>
      <c r="C237" s="447"/>
      <c r="D237" s="447"/>
      <c r="E237" s="489" t="s">
        <v>169</v>
      </c>
      <c r="F237" s="485">
        <f>C235*C235/16</f>
        <v>7.0258370960277749E-7</v>
      </c>
      <c r="G237" s="460"/>
      <c r="H237" s="460"/>
      <c r="I237" s="447"/>
    </row>
    <row r="238" spans="1:9" s="444" customFormat="1" ht="12.3" outlineLevel="1" x14ac:dyDescent="0.4">
      <c r="A238" s="447"/>
      <c r="B238" s="447" t="s">
        <v>168</v>
      </c>
      <c r="C238" s="490">
        <f>(1-C235)*TAN(E228)</f>
        <v>0</v>
      </c>
      <c r="D238" s="447"/>
      <c r="E238" s="489"/>
      <c r="F238" s="460"/>
      <c r="G238" s="460"/>
      <c r="H238" s="460"/>
      <c r="I238" s="447"/>
    </row>
    <row r="239" spans="1:9" s="444" customFormat="1" ht="12.3" outlineLevel="1" x14ac:dyDescent="0.4">
      <c r="A239" s="447"/>
      <c r="B239" s="460" t="s">
        <v>106</v>
      </c>
      <c r="C239" s="485">
        <f>ATAN(C238)</f>
        <v>0</v>
      </c>
      <c r="D239" s="489"/>
      <c r="E239" s="148"/>
      <c r="F239" s="485"/>
      <c r="G239" s="460"/>
      <c r="H239" s="460"/>
      <c r="I239" s="447"/>
    </row>
    <row r="240" spans="1:9" s="444" customFormat="1" ht="12.3" outlineLevel="1" x14ac:dyDescent="0.4">
      <c r="A240" s="447"/>
      <c r="B240" s="460" t="s">
        <v>167</v>
      </c>
      <c r="C240" s="485">
        <f>SIN(C239)</f>
        <v>0</v>
      </c>
      <c r="D240" s="489"/>
      <c r="E240" s="148"/>
      <c r="F240" s="485"/>
      <c r="G240" s="460"/>
      <c r="H240" s="460"/>
      <c r="I240" s="447"/>
    </row>
    <row r="241" spans="1:9" s="444" customFormat="1" ht="12.3" outlineLevel="1" x14ac:dyDescent="0.4">
      <c r="A241" s="447"/>
      <c r="B241" s="460" t="s">
        <v>166</v>
      </c>
      <c r="C241" s="485">
        <f>COS(C239)</f>
        <v>1</v>
      </c>
      <c r="D241" s="489"/>
      <c r="E241" s="460"/>
      <c r="F241" s="485"/>
      <c r="G241" s="460"/>
      <c r="H241" s="460"/>
      <c r="I241" s="447"/>
    </row>
    <row r="242" spans="1:9" s="444" customFormat="1" ht="12.3" outlineLevel="1" x14ac:dyDescent="0.4">
      <c r="A242" s="447"/>
      <c r="B242" s="460" t="s">
        <v>165</v>
      </c>
      <c r="C242" s="491">
        <f>(1-C235)*TAN(E230)</f>
        <v>0</v>
      </c>
      <c r="D242" s="489"/>
      <c r="E242" s="460"/>
      <c r="F242" s="485"/>
      <c r="G242" s="460"/>
      <c r="H242" s="460"/>
      <c r="I242" s="447"/>
    </row>
    <row r="243" spans="1:9" s="444" customFormat="1" ht="12.3" outlineLevel="1" x14ac:dyDescent="0.4">
      <c r="A243" s="447"/>
      <c r="B243" s="460" t="s">
        <v>164</v>
      </c>
      <c r="C243" s="485">
        <f>ATAN(C242)</f>
        <v>0</v>
      </c>
      <c r="D243" s="489"/>
      <c r="E243" s="460"/>
      <c r="F243" s="485"/>
      <c r="G243" s="460"/>
      <c r="H243" s="460"/>
      <c r="I243" s="447"/>
    </row>
    <row r="244" spans="1:9" s="444" customFormat="1" ht="12.3" outlineLevel="1" x14ac:dyDescent="0.4">
      <c r="A244" s="447"/>
      <c r="B244" s="460" t="s">
        <v>163</v>
      </c>
      <c r="C244" s="485">
        <f>SIN(C243)</f>
        <v>0</v>
      </c>
      <c r="D244" s="489"/>
      <c r="E244" s="460"/>
      <c r="F244" s="485"/>
      <c r="G244" s="460"/>
      <c r="H244" s="460"/>
      <c r="I244" s="447"/>
    </row>
    <row r="245" spans="1:9" s="444" customFormat="1" ht="12.3" outlineLevel="1" x14ac:dyDescent="0.4">
      <c r="A245" s="447"/>
      <c r="B245" s="460" t="s">
        <v>162</v>
      </c>
      <c r="C245" s="485">
        <f>COS(C243)</f>
        <v>1</v>
      </c>
      <c r="D245" s="489"/>
      <c r="E245" s="460"/>
      <c r="F245" s="485"/>
      <c r="G245" s="460"/>
      <c r="H245" s="460"/>
      <c r="I245" s="447"/>
    </row>
    <row r="246" spans="1:9" s="444" customFormat="1" ht="12.3" outlineLevel="1" x14ac:dyDescent="0.4">
      <c r="A246" s="447"/>
      <c r="B246" s="147" t="s">
        <v>161</v>
      </c>
      <c r="C246" s="485"/>
      <c r="D246" s="489"/>
      <c r="E246" s="460"/>
      <c r="F246" s="485"/>
      <c r="G246" s="460"/>
      <c r="H246" s="460"/>
      <c r="I246" s="447"/>
    </row>
    <row r="247" spans="1:9" s="444" customFormat="1" ht="12.3" outlineLevel="1" x14ac:dyDescent="0.4">
      <c r="A247" s="447"/>
      <c r="B247" s="148" t="s">
        <v>144</v>
      </c>
      <c r="C247" s="485">
        <f>C236</f>
        <v>0</v>
      </c>
      <c r="D247" s="489"/>
      <c r="E247" s="485">
        <f ca="1">E270</f>
        <v>0</v>
      </c>
      <c r="F247" s="485"/>
      <c r="G247" s="460"/>
      <c r="H247" s="460"/>
      <c r="I247" s="447"/>
    </row>
    <row r="248" spans="1:9" s="444" customFormat="1" ht="12.3" outlineLevel="1" x14ac:dyDescent="0.4">
      <c r="A248" s="447"/>
      <c r="B248" s="147" t="s">
        <v>160</v>
      </c>
      <c r="C248" s="485"/>
      <c r="D248" s="489"/>
      <c r="E248" s="460"/>
      <c r="F248" s="485"/>
      <c r="G248" s="460"/>
      <c r="H248" s="460"/>
      <c r="I248" s="447"/>
    </row>
    <row r="249" spans="1:9" s="444" customFormat="1" ht="13.8" outlineLevel="1" x14ac:dyDescent="0.4">
      <c r="A249" s="447"/>
      <c r="B249" s="460" t="s">
        <v>159</v>
      </c>
      <c r="C249" s="485">
        <f>(C245*SIN(C247)*C245*SIN(C247))+(C241*C244-C240*C245*COS(C247))*(C241*C244-C240*C245*COS(C247))</f>
        <v>0</v>
      </c>
      <c r="D249" s="489"/>
      <c r="E249" s="485">
        <f ca="1">(C245*SIN(E247)*C245*SIN(E247))+(C241*C244-C240*C245*COS(E247))*(C241*C244-C240*C245*COS(E247))</f>
        <v>0</v>
      </c>
      <c r="F249" s="485"/>
      <c r="G249" s="460"/>
      <c r="H249" s="460"/>
      <c r="I249" s="447"/>
    </row>
    <row r="250" spans="1:9" s="444" customFormat="1" ht="12.3" outlineLevel="1" x14ac:dyDescent="0.4">
      <c r="A250" s="447"/>
      <c r="B250" s="154" t="s">
        <v>158</v>
      </c>
      <c r="C250" s="485"/>
      <c r="D250" s="489"/>
      <c r="E250" s="489"/>
      <c r="F250" s="485"/>
      <c r="G250" s="460"/>
      <c r="H250" s="460"/>
      <c r="I250" s="447"/>
    </row>
    <row r="251" spans="1:9" s="444" customFormat="1" ht="12.3" outlineLevel="1" x14ac:dyDescent="0.4">
      <c r="A251" s="447"/>
      <c r="B251" s="447" t="s">
        <v>157</v>
      </c>
      <c r="C251" s="447">
        <f>(C240*C244)+(C241*C245*COS(C247))</f>
        <v>1</v>
      </c>
      <c r="D251" s="447"/>
      <c r="E251" s="447">
        <f ca="1">(C240*C244)+(C241*C245*COS(E247))</f>
        <v>1</v>
      </c>
      <c r="F251" s="447"/>
      <c r="G251" s="460"/>
      <c r="H251" s="460"/>
      <c r="I251" s="447"/>
    </row>
    <row r="252" spans="1:9" s="444" customFormat="1" ht="12.3" outlineLevel="1" x14ac:dyDescent="0.4">
      <c r="A252" s="447"/>
      <c r="B252" s="153" t="s">
        <v>156</v>
      </c>
      <c r="C252" s="489"/>
      <c r="D252" s="489"/>
      <c r="E252" s="489"/>
      <c r="F252" s="460"/>
      <c r="G252" s="460"/>
      <c r="H252" s="460"/>
      <c r="I252" s="447"/>
    </row>
    <row r="253" spans="1:9" s="444" customFormat="1" ht="12.3" outlineLevel="1" x14ac:dyDescent="0.4">
      <c r="A253" s="447"/>
      <c r="B253" s="460" t="s">
        <v>155</v>
      </c>
      <c r="C253" s="485">
        <f>SQRT(C249)/C251</f>
        <v>0</v>
      </c>
      <c r="D253" s="489"/>
      <c r="E253" s="485">
        <f ca="1">SQRT(E249)/E251</f>
        <v>0</v>
      </c>
      <c r="F253" s="485"/>
      <c r="G253" s="447"/>
      <c r="H253" s="447"/>
      <c r="I253" s="492"/>
    </row>
    <row r="254" spans="1:9" s="444" customFormat="1" ht="12.3" outlineLevel="1" x14ac:dyDescent="0.4">
      <c r="A254" s="447"/>
      <c r="B254" s="148" t="s">
        <v>142</v>
      </c>
      <c r="C254" s="485">
        <f>ATAN(C253)</f>
        <v>0</v>
      </c>
      <c r="D254" s="489"/>
      <c r="E254" s="485">
        <f ca="1">IF(ATAN(E253)&lt;0,ATAN(E253)+PI(),ATAN(E253))</f>
        <v>0</v>
      </c>
      <c r="F254" s="485"/>
      <c r="G254" s="447"/>
      <c r="H254" s="447"/>
      <c r="I254" s="492"/>
    </row>
    <row r="255" spans="1:9" s="444" customFormat="1" ht="12.3" outlineLevel="1" x14ac:dyDescent="0.4">
      <c r="A255" s="447"/>
      <c r="B255" s="147" t="s">
        <v>154</v>
      </c>
      <c r="C255" s="485"/>
      <c r="D255" s="489"/>
      <c r="E255" s="460"/>
      <c r="F255" s="485"/>
      <c r="G255" s="447"/>
      <c r="H255" s="447"/>
      <c r="I255" s="492"/>
    </row>
    <row r="256" spans="1:9" s="444" customFormat="1" ht="12.3" outlineLevel="1" x14ac:dyDescent="0.4">
      <c r="A256" s="447"/>
      <c r="B256" s="460" t="s">
        <v>153</v>
      </c>
      <c r="C256" s="485">
        <f>IF(C249=0,0,C241*C245*SIN(C247)/SQRT(C249))</f>
        <v>0</v>
      </c>
      <c r="D256" s="489"/>
      <c r="E256" s="485">
        <f ca="1">IF(E249=0,0,C241*C245*SIN(E247)/SQRT(E249))</f>
        <v>0</v>
      </c>
      <c r="F256" s="485"/>
      <c r="G256" s="460"/>
      <c r="H256" s="460"/>
      <c r="I256" s="492"/>
    </row>
    <row r="257" spans="1:9" s="444" customFormat="1" ht="12.3" outlineLevel="1" x14ac:dyDescent="0.4">
      <c r="A257" s="447"/>
      <c r="B257" s="147" t="s">
        <v>152</v>
      </c>
      <c r="C257" s="485"/>
      <c r="D257" s="489"/>
      <c r="E257" s="489"/>
      <c r="F257" s="485"/>
      <c r="G257" s="460"/>
      <c r="H257" s="460"/>
      <c r="I257" s="447"/>
    </row>
    <row r="258" spans="1:9" s="444" customFormat="1" ht="16.2" outlineLevel="1" x14ac:dyDescent="0.65">
      <c r="A258" s="447"/>
      <c r="B258" s="447" t="s">
        <v>416</v>
      </c>
      <c r="C258" s="447">
        <f>IF((COS(ASIN(C256))*COS(ASIN(C256)))=0,0,C251-2*C240*C244/(COS(ASIN(C256))*COS(ASIN(C256))))</f>
        <v>1</v>
      </c>
      <c r="D258" s="489"/>
      <c r="E258" s="447">
        <f ca="1">E251-2*C240*C244/(COS(ASIN(E256))*COS(ASIN(E256)))</f>
        <v>1</v>
      </c>
      <c r="F258" s="460"/>
      <c r="G258" s="460"/>
      <c r="H258" s="460"/>
      <c r="I258" s="447"/>
    </row>
    <row r="259" spans="1:9" s="444" customFormat="1" ht="15.9" outlineLevel="1" x14ac:dyDescent="0.45">
      <c r="A259" s="447"/>
      <c r="B259" s="447" t="s">
        <v>151</v>
      </c>
      <c r="C259" s="487">
        <f>COS(ASIN(C256))*COS(ASIN(C256))*(C233*C233-C234*C234)/(C234*C234)</f>
        <v>6.7394967422764341E-3</v>
      </c>
      <c r="D259" s="489"/>
      <c r="E259" s="487">
        <f ca="1">COS(ASIN(E256))*COS(ASIN(E256))*(C233*C233-C234*C234)/(C234*C234)</f>
        <v>6.7394967422764341E-3</v>
      </c>
      <c r="F259" s="447"/>
      <c r="G259" s="460"/>
      <c r="H259" s="460"/>
      <c r="I259" s="447"/>
    </row>
    <row r="260" spans="1:9" s="444" customFormat="1" ht="12.3" outlineLevel="1" x14ac:dyDescent="0.4">
      <c r="A260" s="447"/>
      <c r="B260" s="152" t="s">
        <v>150</v>
      </c>
      <c r="C260" s="485"/>
      <c r="D260" s="489"/>
      <c r="E260" s="460"/>
      <c r="F260" s="485"/>
      <c r="G260" s="460"/>
      <c r="H260" s="460"/>
      <c r="I260" s="447"/>
    </row>
    <row r="261" spans="1:9" s="444" customFormat="1" ht="12.3" outlineLevel="1" x14ac:dyDescent="0.4">
      <c r="A261" s="447"/>
      <c r="B261" s="460" t="s">
        <v>9</v>
      </c>
      <c r="C261" s="485">
        <f>1+C259/16384*(4096+C259*(-768+C259*(320-175*C259)))</f>
        <v>1.0016827510415456</v>
      </c>
      <c r="D261" s="489"/>
      <c r="E261" s="485">
        <f ca="1">1+E259/16384*(4096+E259*(-768+E259*(320-175*E259)))</f>
        <v>1.0016827510415456</v>
      </c>
      <c r="F261" s="485"/>
      <c r="G261" s="460"/>
      <c r="H261" s="460"/>
      <c r="I261" s="447"/>
    </row>
    <row r="262" spans="1:9" s="444" customFormat="1" ht="12.3" outlineLevel="1" x14ac:dyDescent="0.4">
      <c r="A262" s="447"/>
      <c r="B262" s="147" t="s">
        <v>149</v>
      </c>
      <c r="C262" s="485"/>
      <c r="D262" s="489"/>
      <c r="E262" s="460"/>
      <c r="F262" s="485"/>
      <c r="G262" s="460"/>
      <c r="H262" s="460"/>
      <c r="I262" s="490"/>
    </row>
    <row r="263" spans="1:9" s="444" customFormat="1" ht="12.3" outlineLevel="1" x14ac:dyDescent="0.4">
      <c r="A263" s="447"/>
      <c r="B263" s="460" t="s">
        <v>10</v>
      </c>
      <c r="C263" s="485">
        <f>C259/1024*(256+C259*(-128+C259*(74-47*C259)))</f>
        <v>1.6792186103152505E-3</v>
      </c>
      <c r="D263" s="489"/>
      <c r="E263" s="485">
        <f ca="1">E259/1024*(256+E259*(-128+E259*(74-47*E259)))</f>
        <v>1.6792186103152505E-3</v>
      </c>
      <c r="F263" s="485"/>
      <c r="G263" s="460"/>
      <c r="H263" s="460"/>
      <c r="I263" s="447"/>
    </row>
    <row r="264" spans="1:9" s="444" customFormat="1" ht="12.3" outlineLevel="1" x14ac:dyDescent="0.4">
      <c r="A264" s="447"/>
      <c r="B264" s="147" t="s">
        <v>148</v>
      </c>
      <c r="C264" s="485"/>
      <c r="D264" s="489"/>
      <c r="E264" s="460"/>
      <c r="F264" s="485"/>
      <c r="G264" s="460"/>
      <c r="H264" s="460"/>
      <c r="I264" s="447"/>
    </row>
    <row r="265" spans="1:9" s="444" customFormat="1" ht="12.3" outlineLevel="1" x14ac:dyDescent="0.4">
      <c r="A265" s="447"/>
      <c r="B265" s="148" t="s">
        <v>147</v>
      </c>
      <c r="C265" s="485">
        <f>C263*SQRT(C249)*(C258+C263/4*(C251*(-1+2*C258*C258)-C263/6*C258*(-3+4*C249)*(-3+4*C258*C258)))</f>
        <v>0</v>
      </c>
      <c r="D265" s="489"/>
      <c r="E265" s="485">
        <f ca="1">E263*SQRT(E249)*(E258+E263/4*(E251*(-1+2*E258*E258)-E263/6*E258*(-3+4*E249)*(-3+4*E258*E258)))</f>
        <v>0</v>
      </c>
      <c r="F265" s="485"/>
      <c r="G265" s="460"/>
      <c r="H265" s="460"/>
      <c r="I265" s="447"/>
    </row>
    <row r="266" spans="1:9" s="444" customFormat="1" ht="12.3" outlineLevel="1" x14ac:dyDescent="0.4">
      <c r="A266" s="447"/>
      <c r="B266" s="460"/>
      <c r="C266" s="485"/>
      <c r="D266" s="489"/>
      <c r="E266" s="460"/>
      <c r="F266" s="485"/>
      <c r="G266" s="460"/>
      <c r="H266" s="460"/>
      <c r="I266" s="447"/>
    </row>
    <row r="267" spans="1:9" s="444" customFormat="1" ht="12.3" outlineLevel="1" x14ac:dyDescent="0.4">
      <c r="A267" s="447"/>
      <c r="B267" s="147" t="s">
        <v>146</v>
      </c>
      <c r="C267" s="485"/>
      <c r="D267" s="494"/>
      <c r="E267" s="460"/>
      <c r="F267" s="485"/>
      <c r="G267" s="460"/>
      <c r="H267" s="460"/>
      <c r="I267" s="150"/>
    </row>
    <row r="268" spans="1:9" s="444" customFormat="1" ht="12.3" outlineLevel="1" x14ac:dyDescent="0.4">
      <c r="A268" s="447"/>
      <c r="B268" s="460" t="s">
        <v>11</v>
      </c>
      <c r="C268" s="485">
        <f>C235/16*COS(ASIN(C256))*COS(ASIN(C256))*(4+C235*(4-3*COS(ASIN(C256))*COS(ASIN(C256))))</f>
        <v>8.389052498964728E-4</v>
      </c>
      <c r="D268" s="494"/>
      <c r="E268" s="485">
        <f ca="1">C235/16*COS(ASIN(E256))*COS(ASIN(E256))*(4+C235*(4-3*COS(ASIN(E256))*COS(ASIN(E256))))</f>
        <v>8.389052498964728E-4</v>
      </c>
      <c r="F268" s="485"/>
      <c r="G268" s="460"/>
      <c r="H268" s="460"/>
      <c r="I268" s="150"/>
    </row>
    <row r="269" spans="1:9" s="444" customFormat="1" ht="12.3" outlineLevel="1" x14ac:dyDescent="0.4">
      <c r="A269" s="447"/>
      <c r="B269" s="147" t="s">
        <v>145</v>
      </c>
      <c r="C269" s="485"/>
      <c r="D269" s="494"/>
      <c r="E269" s="460"/>
      <c r="F269" s="485"/>
      <c r="G269" s="460"/>
      <c r="H269" s="460"/>
      <c r="I269" s="150"/>
    </row>
    <row r="270" spans="1:9" s="444" customFormat="1" ht="12.3" outlineLevel="1" x14ac:dyDescent="0.4">
      <c r="A270" s="447"/>
      <c r="B270" s="151" t="s">
        <v>144</v>
      </c>
      <c r="C270" s="485">
        <f>C236+(1-C268)*C235*C256*(ACOS(C251)+C268*SIN(ACOS(C251))*(C258+C268*C251*(-1+2*C258*C258)))</f>
        <v>0</v>
      </c>
      <c r="D270" s="494"/>
      <c r="E270" s="495">
        <f ca="1">C236+(1-E268)*C235*E256*(ACOS(E251)+E268*SIN(ACOS(E251))*(E258+E268*E251*(-1+2*E258*E258)))</f>
        <v>0</v>
      </c>
      <c r="F270" s="485"/>
      <c r="G270" s="460"/>
      <c r="H270" s="460"/>
      <c r="I270" s="150"/>
    </row>
    <row r="271" spans="1:9" s="444" customFormat="1" ht="12.3" outlineLevel="1" x14ac:dyDescent="0.4">
      <c r="A271" s="447"/>
      <c r="B271" s="149" t="s">
        <v>143</v>
      </c>
      <c r="C271" s="485"/>
      <c r="D271" s="494"/>
      <c r="E271" s="148"/>
      <c r="F271" s="485"/>
      <c r="G271" s="460"/>
      <c r="H271" s="460"/>
      <c r="I271" s="496"/>
    </row>
    <row r="272" spans="1:9" s="444" customFormat="1" ht="12.3" outlineLevel="1" x14ac:dyDescent="0.4">
      <c r="A272" s="447"/>
      <c r="B272" s="460" t="s">
        <v>142</v>
      </c>
      <c r="C272" s="485">
        <f>IF(B287="samepoint",0,C234*C261*(ATAN(C253)-C265))</f>
        <v>0</v>
      </c>
      <c r="D272" s="494"/>
      <c r="E272" s="485">
        <f>IF(B287="samepoint",0,C234*E261*(E254-E265))</f>
        <v>0</v>
      </c>
      <c r="F272" s="460"/>
      <c r="G272" s="460"/>
      <c r="H272" s="460"/>
      <c r="I272" s="496"/>
    </row>
    <row r="273" spans="1:10" s="444" customFormat="1" ht="12.3" outlineLevel="1" x14ac:dyDescent="0.4">
      <c r="A273" s="447"/>
      <c r="B273" s="147" t="s">
        <v>141</v>
      </c>
      <c r="C273" s="485"/>
      <c r="D273" s="494"/>
      <c r="E273" s="485"/>
      <c r="F273" s="460"/>
      <c r="G273" s="460"/>
      <c r="H273" s="460"/>
      <c r="I273" s="496"/>
    </row>
    <row r="274" spans="1:10" s="444" customFormat="1" ht="16.2" outlineLevel="1" x14ac:dyDescent="0.65">
      <c r="A274" s="447"/>
      <c r="B274" s="460" t="s">
        <v>140</v>
      </c>
      <c r="C274" s="485"/>
      <c r="D274" s="494"/>
      <c r="E274" s="485" t="e">
        <f ca="1">C245*SIN(E270)/(C241*C244-C240*C245*COS(E270))</f>
        <v>#DIV/0!</v>
      </c>
      <c r="F274" s="460"/>
      <c r="G274" s="460"/>
      <c r="H274" s="460"/>
      <c r="I274" s="496"/>
    </row>
    <row r="275" spans="1:10" s="444" customFormat="1" ht="12.3" outlineLevel="1" x14ac:dyDescent="0.4">
      <c r="A275" s="447"/>
      <c r="B275" s="147" t="s">
        <v>139</v>
      </c>
      <c r="C275" s="485"/>
      <c r="D275" s="494"/>
      <c r="E275" s="485"/>
      <c r="F275" s="460"/>
      <c r="G275" s="460"/>
      <c r="H275" s="460"/>
      <c r="I275" s="496"/>
    </row>
    <row r="276" spans="1:10" s="444" customFormat="1" ht="16.8" outlineLevel="1" x14ac:dyDescent="0.7">
      <c r="A276" s="447"/>
      <c r="B276" s="460" t="s">
        <v>138</v>
      </c>
      <c r="C276" s="485"/>
      <c r="D276" s="494"/>
      <c r="E276" s="485" t="e">
        <f>C241*SIN(C270)/(-C240*C245+C241*C244*COS(C270))</f>
        <v>#DIV/0!</v>
      </c>
      <c r="F276" s="460"/>
      <c r="G276" s="460"/>
      <c r="H276" s="460"/>
      <c r="I276" s="496"/>
    </row>
    <row r="277" spans="1:10" s="444" customFormat="1" ht="12.3" outlineLevel="1" x14ac:dyDescent="0.4">
      <c r="A277" s="447"/>
      <c r="B277" s="460"/>
      <c r="C277" s="485"/>
      <c r="D277" s="494"/>
      <c r="E277" s="460"/>
      <c r="F277" s="485"/>
      <c r="G277" s="460"/>
      <c r="H277" s="460"/>
      <c r="I277" s="496"/>
    </row>
    <row r="278" spans="1:10" s="444" customFormat="1" ht="12.3" outlineLevel="1" x14ac:dyDescent="0.4">
      <c r="A278" s="447"/>
      <c r="B278" s="460"/>
      <c r="C278" s="497"/>
      <c r="D278" s="447"/>
      <c r="E278" s="460"/>
      <c r="F278" s="485"/>
      <c r="G278" s="460"/>
      <c r="H278" s="460"/>
      <c r="I278" s="496"/>
    </row>
    <row r="279" spans="1:10" s="444" customFormat="1" ht="12.3" outlineLevel="1" x14ac:dyDescent="0.4">
      <c r="A279" s="447"/>
      <c r="B279" s="460"/>
      <c r="C279" s="460"/>
      <c r="D279" s="447"/>
      <c r="E279" s="489"/>
      <c r="F279" s="494"/>
      <c r="G279" s="460"/>
      <c r="H279" s="460"/>
      <c r="I279" s="496"/>
    </row>
    <row r="280" spans="1:10" s="444" customFormat="1" ht="12.3" outlineLevel="1" x14ac:dyDescent="0.4">
      <c r="A280" s="447"/>
      <c r="B280" s="146" t="s">
        <v>137</v>
      </c>
      <c r="C280" s="146"/>
      <c r="D280" s="489"/>
      <c r="E280" s="146" t="s">
        <v>136</v>
      </c>
      <c r="F280" s="146"/>
      <c r="G280" s="460"/>
      <c r="H280" s="460"/>
      <c r="I280" s="496"/>
    </row>
    <row r="281" spans="1:10" s="444" customFormat="1" ht="14.7" outlineLevel="1" x14ac:dyDescent="0.6">
      <c r="A281" s="447"/>
      <c r="B281" s="145" t="s">
        <v>417</v>
      </c>
      <c r="C281" s="485" t="e">
        <f ca="1">ATAN(E274)</f>
        <v>#DIV/0!</v>
      </c>
      <c r="D281" s="447"/>
      <c r="E281" s="145" t="s">
        <v>418</v>
      </c>
      <c r="F281" s="485" t="e">
        <f>ATAN(E276)</f>
        <v>#DIV/0!</v>
      </c>
      <c r="G281" s="460"/>
      <c r="H281" s="460"/>
      <c r="I281" s="496" t="e">
        <f>ATAN2(E230-E228,E231-E229)*180/PI()</f>
        <v>#DIV/0!</v>
      </c>
      <c r="J281" s="496" t="e">
        <f>ATAN2(E228-E230,E229-E231)*180/PI()</f>
        <v>#DIV/0!</v>
      </c>
    </row>
    <row r="282" spans="1:10" s="444" customFormat="1" ht="14.7" outlineLevel="1" x14ac:dyDescent="0.6">
      <c r="A282" s="447"/>
      <c r="B282" s="145" t="s">
        <v>419</v>
      </c>
      <c r="C282" s="485" t="e">
        <f ca="1">(C281/PI())*180+360</f>
        <v>#DIV/0!</v>
      </c>
      <c r="D282" s="447"/>
      <c r="E282" s="145" t="s">
        <v>420</v>
      </c>
      <c r="F282" s="485" t="e">
        <f>(F281/PI())*180+180</f>
        <v>#DIV/0!</v>
      </c>
      <c r="G282" s="460"/>
      <c r="H282" s="460"/>
      <c r="I282" s="496" t="e">
        <f>IF(I281&lt;0,C281*180/PI()+360,C281*180/PI())</f>
        <v>#DIV/0!</v>
      </c>
      <c r="J282" s="498" t="e">
        <f>IF(J281&gt;0,F281*180/PI()+180,F281*180/PI())</f>
        <v>#DIV/0!</v>
      </c>
    </row>
    <row r="283" spans="1:10" s="444" customFormat="1" ht="14.7" outlineLevel="1" x14ac:dyDescent="0.6">
      <c r="A283" s="447"/>
      <c r="B283" s="145" t="s">
        <v>419</v>
      </c>
      <c r="C283" s="485" t="e">
        <f ca="1">IF(C282&gt;=360,C282-360,C282)</f>
        <v>#DIV/0!</v>
      </c>
      <c r="D283" s="447"/>
      <c r="E283" s="145" t="s">
        <v>420</v>
      </c>
      <c r="F283" s="485" t="e">
        <f>IF(F282&gt;=360,F282-360,F282)</f>
        <v>#DIV/0!</v>
      </c>
      <c r="G283" s="460"/>
      <c r="H283" s="460"/>
      <c r="I283" s="496" t="e">
        <f ca="1">ATAN2((C241*C244-C240*C245*COS(E270)),C245*SIN(E270))</f>
        <v>#DIV/0!</v>
      </c>
      <c r="J283" s="485" t="e">
        <f ca="1">ATAN2((-C240*C245+C241*C244*COS(E270)),C241*SIN(E270))</f>
        <v>#DIV/0!</v>
      </c>
    </row>
    <row r="284" spans="1:10" s="444" customFormat="1" ht="14.7" outlineLevel="1" x14ac:dyDescent="0.6">
      <c r="A284" s="447"/>
      <c r="B284" s="145" t="s">
        <v>419</v>
      </c>
      <c r="C284" s="485">
        <f>IF(B287="samepoint",0,IF(B288="northsouth",0,IF(B289="southnorth",180,C283)))</f>
        <v>0</v>
      </c>
      <c r="D284" s="447"/>
      <c r="E284" s="145" t="s">
        <v>420</v>
      </c>
      <c r="F284" s="485">
        <f>IF(B287="samepoint",0,IF(B288="northsouth",180,IF(B289="southnorth",0,F283)))</f>
        <v>0</v>
      </c>
      <c r="G284" s="447"/>
      <c r="H284" s="447"/>
      <c r="I284" s="485">
        <f>IF(B287="samepoint",0,IF(B288="northsouth",0,IF(B289="southnorth",180,IF(I283&lt;0,I283*180/PI()+360,I283*180/PI()))))</f>
        <v>0</v>
      </c>
      <c r="J284" s="485">
        <f>IF(B287="samepoint",0,IF(B288="northsouth",180,IF(B289="southnorth",0,J283*180/PI()+180)))</f>
        <v>0</v>
      </c>
    </row>
    <row r="285" spans="1:10" s="444" customFormat="1" ht="12.3" outlineLevel="1" x14ac:dyDescent="0.4">
      <c r="A285" s="447"/>
      <c r="B285" s="145"/>
      <c r="C285" s="447"/>
      <c r="D285" s="447"/>
      <c r="E285" s="145"/>
      <c r="F285" s="447"/>
      <c r="G285" s="447"/>
      <c r="H285" s="447"/>
      <c r="I285" s="447"/>
    </row>
    <row r="286" spans="1:10" s="444" customFormat="1" ht="12.3" outlineLevel="1" x14ac:dyDescent="0.4">
      <c r="A286" s="447"/>
      <c r="B286" s="144" t="s">
        <v>135</v>
      </c>
      <c r="C286" s="144"/>
      <c r="D286" s="447"/>
      <c r="E286" s="447"/>
      <c r="F286" s="447"/>
      <c r="G286" s="447"/>
      <c r="H286" s="447"/>
      <c r="I286" s="447"/>
    </row>
    <row r="287" spans="1:10" s="444" customFormat="1" ht="12.3" outlineLevel="1" x14ac:dyDescent="0.4">
      <c r="A287" s="447"/>
      <c r="B287" s="447" t="str">
        <f>IF(AND(C228=C230,C229=C231),"samepoint","N.A. " )</f>
        <v>samepoint</v>
      </c>
      <c r="C287" s="447" t="s">
        <v>134</v>
      </c>
      <c r="D287" s="447"/>
      <c r="E287" s="447"/>
      <c r="F287" s="447"/>
      <c r="G287" s="447"/>
      <c r="H287" s="447"/>
      <c r="I287" s="447"/>
    </row>
    <row r="288" spans="1:10" s="444" customFormat="1" ht="12.3" outlineLevel="1" x14ac:dyDescent="0.4">
      <c r="A288" s="447"/>
      <c r="B288" s="447" t="str">
        <f>IF(AND(C229=C231,C230&gt;C228),"northsouth","N.A. ")</f>
        <v xml:space="preserve">N.A. </v>
      </c>
      <c r="C288" s="447" t="s">
        <v>133</v>
      </c>
      <c r="D288" s="447"/>
      <c r="E288" s="447"/>
      <c r="F288" s="447"/>
      <c r="G288" s="447"/>
      <c r="H288" s="447"/>
      <c r="I288" s="447"/>
    </row>
    <row r="289" spans="1:10" s="444" customFormat="1" ht="12.3" outlineLevel="1" x14ac:dyDescent="0.4">
      <c r="A289" s="447"/>
      <c r="B289" s="447" t="str">
        <f>IF(AND(C229=C231,C228&gt;C230),"southnorth","N.A. ")</f>
        <v xml:space="preserve">N.A. </v>
      </c>
      <c r="C289" s="447" t="s">
        <v>132</v>
      </c>
      <c r="D289" s="447"/>
      <c r="E289" s="447"/>
      <c r="F289" s="447"/>
      <c r="G289" s="447"/>
      <c r="H289" s="447"/>
      <c r="I289" s="447"/>
    </row>
    <row r="290" spans="1:10" s="444" customFormat="1" ht="12.3" x14ac:dyDescent="0.4">
      <c r="A290" s="447"/>
      <c r="B290" s="447"/>
      <c r="C290" s="447"/>
      <c r="D290" s="447"/>
      <c r="E290" s="447"/>
      <c r="F290" s="447"/>
      <c r="G290" s="447"/>
      <c r="H290" s="447"/>
      <c r="I290" s="447"/>
    </row>
    <row r="291" spans="1:10" s="444" customFormat="1" ht="15" x14ac:dyDescent="0.5">
      <c r="A291" s="447"/>
      <c r="B291" s="448" t="s">
        <v>187</v>
      </c>
      <c r="C291" s="448" t="s">
        <v>186</v>
      </c>
      <c r="D291" s="447"/>
      <c r="E291" s="447"/>
      <c r="F291" s="447"/>
      <c r="G291" s="447"/>
      <c r="H291" s="447"/>
      <c r="I291" s="447"/>
    </row>
    <row r="292" spans="1:10" s="444" customFormat="1" ht="17.399999999999999" x14ac:dyDescent="0.55000000000000004">
      <c r="A292" s="447"/>
      <c r="B292" s="449" t="s">
        <v>185</v>
      </c>
      <c r="C292" s="450" t="s">
        <v>36</v>
      </c>
      <c r="D292" s="451"/>
      <c r="E292" s="452"/>
      <c r="F292" s="453" t="s">
        <v>183</v>
      </c>
      <c r="G292" s="1074" t="s">
        <v>390</v>
      </c>
      <c r="H292" s="1074"/>
      <c r="I292" s="1075"/>
      <c r="J292" s="455"/>
    </row>
    <row r="293" spans="1:10" s="444" customFormat="1" ht="14.7" x14ac:dyDescent="0.6">
      <c r="A293" s="447"/>
      <c r="B293" s="158" t="s">
        <v>405</v>
      </c>
      <c r="C293" s="456">
        <f>C7</f>
        <v>0</v>
      </c>
      <c r="D293" s="457">
        <f>D7</f>
        <v>0</v>
      </c>
      <c r="E293" s="458"/>
      <c r="F293" s="157" t="s">
        <v>406</v>
      </c>
      <c r="G293" s="459">
        <f>IF(SUMMARY!B20="NO",0,IF(TPOrder!CI1=1,SUMMARY!D18,IF(TPOrder!CY1=1,SUMMARY!D24,IF(TPOrder!DO1=1,SUMMARY!D30,0))))</f>
        <v>0</v>
      </c>
      <c r="H293" s="457">
        <f>IF(SUMMARY!B20="NO",0,IF(TPOrder!CI1=1,SUMMARY!$E$18,IF(TPOrder!CY1=1,SUMMARY!$E$24,IF(TPOrder!DO1=1,SUMMARY!$E$30,0))))</f>
        <v>0</v>
      </c>
      <c r="I293" s="458"/>
      <c r="J293" s="460"/>
    </row>
    <row r="294" spans="1:10" s="444" customFormat="1" ht="14.7" x14ac:dyDescent="0.6">
      <c r="A294" s="447"/>
      <c r="B294" s="158" t="s">
        <v>407</v>
      </c>
      <c r="C294" s="461">
        <f>C8</f>
        <v>0</v>
      </c>
      <c r="D294" s="462">
        <f>D8</f>
        <v>0</v>
      </c>
      <c r="E294" s="463"/>
      <c r="F294" s="157" t="s">
        <v>408</v>
      </c>
      <c r="G294" s="459">
        <f>IF(SUMMARY!B20="NO",0,IF(TPOrder!CI1=1,SUMMARY!$D$20,IF(TPOrder!CY1=1,SUMMARY!$D$26,IF(TPOrder!DO1=1,SUMMARY!$D$32,0))))</f>
        <v>0</v>
      </c>
      <c r="H294" s="457">
        <f>IF(SUMMARY!B20="NO",0,IF(TPOrder!CI1=1,SUMMARY!$E$20,IF(TPOrder!CY1=1,SUMMARY!$E$26,IF(TPOrder!DO1=1,SUMMARY!$E$32,0))))</f>
        <v>0</v>
      </c>
      <c r="I294" s="458"/>
    </row>
    <row r="295" spans="1:10" s="444" customFormat="1" ht="12.3" x14ac:dyDescent="0.4">
      <c r="A295" s="447"/>
      <c r="B295" s="464" t="s">
        <v>180</v>
      </c>
      <c r="C295" s="465">
        <f>E344</f>
        <v>0</v>
      </c>
      <c r="D295" s="466"/>
      <c r="E295" s="467"/>
      <c r="F295" s="500"/>
      <c r="G295" s="468"/>
      <c r="H295" s="468"/>
      <c r="I295" s="156" t="s">
        <v>179</v>
      </c>
      <c r="J295" s="447"/>
    </row>
    <row r="296" spans="1:10" s="444" customFormat="1" ht="14.7" x14ac:dyDescent="0.6">
      <c r="A296" s="447"/>
      <c r="B296" s="464" t="s">
        <v>409</v>
      </c>
      <c r="C296" s="469">
        <f>I356</f>
        <v>0</v>
      </c>
      <c r="D296" s="470"/>
      <c r="E296" s="471"/>
      <c r="F296" s="501"/>
      <c r="G296" s="472"/>
      <c r="H296" s="473"/>
      <c r="J296" s="474"/>
    </row>
    <row r="297" spans="1:10" s="444" customFormat="1" ht="14.7" x14ac:dyDescent="0.6">
      <c r="A297" s="447"/>
      <c r="B297" s="475" t="s">
        <v>410</v>
      </c>
      <c r="C297" s="476">
        <f>J356</f>
        <v>0</v>
      </c>
      <c r="D297" s="477"/>
      <c r="E297" s="478"/>
      <c r="F297" s="502">
        <f>IF(G293=0=FALSE,C295/1000,0)</f>
        <v>0</v>
      </c>
      <c r="G297" s="447" t="s">
        <v>178</v>
      </c>
      <c r="H297" s="447"/>
    </row>
    <row r="298" spans="1:10" s="444" customFormat="1" ht="12.3" x14ac:dyDescent="0.4">
      <c r="A298" s="447"/>
      <c r="B298" s="460"/>
      <c r="C298" s="487"/>
      <c r="D298" s="489"/>
      <c r="E298" s="489"/>
      <c r="F298" s="447"/>
      <c r="G298" s="460"/>
    </row>
    <row r="299" spans="1:10" s="444" customFormat="1" ht="12.3" outlineLevel="1" x14ac:dyDescent="0.4">
      <c r="A299" s="447"/>
      <c r="B299" s="447"/>
      <c r="C299" s="503" t="s">
        <v>177</v>
      </c>
      <c r="D299" s="504"/>
      <c r="E299" s="503" t="s">
        <v>85</v>
      </c>
      <c r="F299" s="447"/>
      <c r="G299" s="460"/>
      <c r="H299" s="460"/>
      <c r="I299" s="447"/>
    </row>
    <row r="300" spans="1:10" s="444" customFormat="1" ht="14.7" outlineLevel="1" x14ac:dyDescent="0.6">
      <c r="A300" s="447"/>
      <c r="B300" s="460" t="s">
        <v>411</v>
      </c>
      <c r="C300" s="485">
        <f>C293+D293/60</f>
        <v>0</v>
      </c>
      <c r="D300" s="447"/>
      <c r="E300" s="485">
        <f>C300*PI()/180</f>
        <v>0</v>
      </c>
      <c r="F300" s="447"/>
      <c r="G300" s="460"/>
      <c r="H300" s="460"/>
      <c r="I300" s="447"/>
    </row>
    <row r="301" spans="1:10" s="444" customFormat="1" ht="14.7" outlineLevel="1" x14ac:dyDescent="0.6">
      <c r="A301" s="447"/>
      <c r="B301" s="460" t="s">
        <v>412</v>
      </c>
      <c r="C301" s="485">
        <f>C294+D294/60</f>
        <v>0</v>
      </c>
      <c r="D301" s="447"/>
      <c r="E301" s="485">
        <f>C301*PI()/180</f>
        <v>0</v>
      </c>
      <c r="F301" s="447"/>
      <c r="G301" s="460"/>
      <c r="H301" s="485"/>
      <c r="I301" s="447"/>
    </row>
    <row r="302" spans="1:10" s="444" customFormat="1" ht="14.7" outlineLevel="1" x14ac:dyDescent="0.6">
      <c r="A302" s="447"/>
      <c r="B302" s="460" t="s">
        <v>413</v>
      </c>
      <c r="C302" s="485">
        <f>G293+H293/60</f>
        <v>0</v>
      </c>
      <c r="D302" s="447"/>
      <c r="E302" s="485">
        <f>C302*PI()/180</f>
        <v>0</v>
      </c>
      <c r="F302" s="447"/>
      <c r="G302" s="460"/>
      <c r="H302" s="460"/>
      <c r="I302" s="447"/>
    </row>
    <row r="303" spans="1:10" s="444" customFormat="1" ht="14.7" outlineLevel="1" x14ac:dyDescent="0.6">
      <c r="A303" s="447"/>
      <c r="B303" s="460" t="s">
        <v>414</v>
      </c>
      <c r="C303" s="485">
        <f>G294+H294/60</f>
        <v>0</v>
      </c>
      <c r="D303" s="447"/>
      <c r="E303" s="485">
        <f>C303*PI()/180</f>
        <v>0</v>
      </c>
      <c r="F303" s="447"/>
      <c r="G303" s="460"/>
      <c r="H303" s="485"/>
      <c r="I303" s="447"/>
    </row>
    <row r="304" spans="1:10" s="444" customFormat="1" ht="12.3" outlineLevel="1" x14ac:dyDescent="0.4">
      <c r="A304" s="447"/>
      <c r="B304" s="485"/>
      <c r="C304" s="485"/>
      <c r="D304" s="485"/>
      <c r="E304" s="485"/>
      <c r="F304" s="447"/>
      <c r="G304" s="460"/>
      <c r="H304" s="485"/>
      <c r="I304" s="447"/>
    </row>
    <row r="305" spans="2:8" s="447" customFormat="1" ht="12.3" outlineLevel="1" x14ac:dyDescent="0.4">
      <c r="B305" s="460" t="s">
        <v>176</v>
      </c>
      <c r="C305" s="487">
        <v>6378137</v>
      </c>
      <c r="D305" s="488"/>
      <c r="E305" s="489" t="s">
        <v>175</v>
      </c>
      <c r="F305" s="485">
        <f>C307+C307*C307</f>
        <v>3.3640520041011246E-3</v>
      </c>
      <c r="G305" s="460"/>
      <c r="H305" s="460"/>
    </row>
    <row r="306" spans="2:8" s="447" customFormat="1" ht="12.3" outlineLevel="1" x14ac:dyDescent="0.4">
      <c r="B306" s="489" t="s">
        <v>174</v>
      </c>
      <c r="C306" s="487">
        <v>6356752.3142451793</v>
      </c>
      <c r="D306" s="488"/>
      <c r="E306" s="489" t="s">
        <v>173</v>
      </c>
      <c r="F306" s="485">
        <f>F305/2</f>
        <v>1.6820260020505623E-3</v>
      </c>
      <c r="G306" s="460"/>
      <c r="H306" s="460"/>
    </row>
    <row r="307" spans="2:8" s="447" customFormat="1" ht="12.3" outlineLevel="1" x14ac:dyDescent="0.4">
      <c r="B307" s="489" t="s">
        <v>172</v>
      </c>
      <c r="C307" s="485">
        <v>3.3528106647474801E-3</v>
      </c>
      <c r="D307" s="489"/>
      <c r="E307" s="489" t="s">
        <v>171</v>
      </c>
      <c r="F307" s="485">
        <f>C307*C307/2</f>
        <v>5.6206696768222199E-6</v>
      </c>
      <c r="G307" s="460"/>
      <c r="H307" s="460"/>
    </row>
    <row r="308" spans="2:8" s="447" customFormat="1" ht="12.3" outlineLevel="1" x14ac:dyDescent="0.4">
      <c r="B308" s="460" t="s">
        <v>415</v>
      </c>
      <c r="C308" s="485">
        <f>E303-E301</f>
        <v>0</v>
      </c>
      <c r="E308" s="447" t="s">
        <v>170</v>
      </c>
      <c r="F308" s="485">
        <f>C307*C307/8</f>
        <v>1.405167419205555E-6</v>
      </c>
      <c r="G308" s="460"/>
      <c r="H308" s="460"/>
    </row>
    <row r="309" spans="2:8" s="447" customFormat="1" ht="12.3" outlineLevel="1" x14ac:dyDescent="0.4">
      <c r="E309" s="489" t="s">
        <v>169</v>
      </c>
      <c r="F309" s="485">
        <f>C307*C307/16</f>
        <v>7.0258370960277749E-7</v>
      </c>
      <c r="G309" s="460"/>
      <c r="H309" s="460"/>
    </row>
    <row r="310" spans="2:8" s="447" customFormat="1" ht="12.3" outlineLevel="1" x14ac:dyDescent="0.4">
      <c r="B310" s="447" t="s">
        <v>168</v>
      </c>
      <c r="C310" s="490">
        <f>(1-C307)*TAN(E300)</f>
        <v>0</v>
      </c>
      <c r="E310" s="489"/>
      <c r="F310" s="460"/>
      <c r="G310" s="460"/>
      <c r="H310" s="460"/>
    </row>
    <row r="311" spans="2:8" s="447" customFormat="1" ht="12.3" outlineLevel="1" x14ac:dyDescent="0.4">
      <c r="B311" s="460" t="s">
        <v>106</v>
      </c>
      <c r="C311" s="485">
        <f>ATAN(C310)</f>
        <v>0</v>
      </c>
      <c r="D311" s="489"/>
      <c r="E311" s="148"/>
      <c r="F311" s="485"/>
      <c r="G311" s="460"/>
      <c r="H311" s="460"/>
    </row>
    <row r="312" spans="2:8" s="447" customFormat="1" ht="12.3" outlineLevel="1" x14ac:dyDescent="0.4">
      <c r="B312" s="460" t="s">
        <v>167</v>
      </c>
      <c r="C312" s="485">
        <f>SIN(C311)</f>
        <v>0</v>
      </c>
      <c r="D312" s="489"/>
      <c r="E312" s="148"/>
      <c r="F312" s="485"/>
      <c r="G312" s="460"/>
      <c r="H312" s="460"/>
    </row>
    <row r="313" spans="2:8" s="447" customFormat="1" ht="12.3" outlineLevel="1" x14ac:dyDescent="0.4">
      <c r="B313" s="460" t="s">
        <v>166</v>
      </c>
      <c r="C313" s="485">
        <f>COS(C311)</f>
        <v>1</v>
      </c>
      <c r="D313" s="489"/>
      <c r="E313" s="460"/>
      <c r="F313" s="485"/>
      <c r="G313" s="460"/>
      <c r="H313" s="460"/>
    </row>
    <row r="314" spans="2:8" s="447" customFormat="1" ht="12.3" outlineLevel="1" x14ac:dyDescent="0.4">
      <c r="B314" s="460" t="s">
        <v>165</v>
      </c>
      <c r="C314" s="491">
        <f>(1-C307)*TAN(E302)</f>
        <v>0</v>
      </c>
      <c r="D314" s="489"/>
      <c r="E314" s="460"/>
      <c r="F314" s="485"/>
      <c r="G314" s="460"/>
      <c r="H314" s="460"/>
    </row>
    <row r="315" spans="2:8" s="447" customFormat="1" ht="12.3" outlineLevel="1" x14ac:dyDescent="0.4">
      <c r="B315" s="460" t="s">
        <v>164</v>
      </c>
      <c r="C315" s="485">
        <f>ATAN(C314)</f>
        <v>0</v>
      </c>
      <c r="D315" s="489"/>
      <c r="E315" s="460"/>
      <c r="F315" s="485"/>
      <c r="G315" s="460"/>
      <c r="H315" s="460"/>
    </row>
    <row r="316" spans="2:8" s="447" customFormat="1" ht="12.3" outlineLevel="1" x14ac:dyDescent="0.4">
      <c r="B316" s="460" t="s">
        <v>163</v>
      </c>
      <c r="C316" s="485">
        <f>SIN(C315)</f>
        <v>0</v>
      </c>
      <c r="D316" s="489"/>
      <c r="E316" s="460"/>
      <c r="F316" s="485"/>
      <c r="G316" s="460"/>
      <c r="H316" s="460"/>
    </row>
    <row r="317" spans="2:8" s="447" customFormat="1" ht="12.3" outlineLevel="1" x14ac:dyDescent="0.4">
      <c r="B317" s="460" t="s">
        <v>162</v>
      </c>
      <c r="C317" s="485">
        <f>COS(C315)</f>
        <v>1</v>
      </c>
      <c r="D317" s="489"/>
      <c r="E317" s="460"/>
      <c r="F317" s="485"/>
      <c r="G317" s="460"/>
      <c r="H317" s="460"/>
    </row>
    <row r="318" spans="2:8" s="447" customFormat="1" ht="12.3" outlineLevel="1" x14ac:dyDescent="0.4">
      <c r="B318" s="147" t="s">
        <v>161</v>
      </c>
      <c r="C318" s="485"/>
      <c r="D318" s="489"/>
      <c r="E318" s="460"/>
      <c r="F318" s="485"/>
      <c r="G318" s="460"/>
      <c r="H318" s="460"/>
    </row>
    <row r="319" spans="2:8" s="447" customFormat="1" ht="12.3" outlineLevel="1" x14ac:dyDescent="0.4">
      <c r="B319" s="148" t="s">
        <v>144</v>
      </c>
      <c r="C319" s="485">
        <f>C308</f>
        <v>0</v>
      </c>
      <c r="D319" s="489"/>
      <c r="E319" s="485">
        <f ca="1">E342</f>
        <v>0</v>
      </c>
      <c r="F319" s="485"/>
      <c r="G319" s="460"/>
      <c r="H319" s="460"/>
    </row>
    <row r="320" spans="2:8" s="447" customFormat="1" ht="12.3" outlineLevel="1" x14ac:dyDescent="0.4">
      <c r="B320" s="147" t="s">
        <v>160</v>
      </c>
      <c r="C320" s="485"/>
      <c r="D320" s="489"/>
      <c r="E320" s="460"/>
      <c r="F320" s="485"/>
      <c r="G320" s="460"/>
      <c r="H320" s="460"/>
    </row>
    <row r="321" spans="1:9" s="444" customFormat="1" ht="13.8" outlineLevel="1" x14ac:dyDescent="0.4">
      <c r="A321" s="447"/>
      <c r="B321" s="460" t="s">
        <v>159</v>
      </c>
      <c r="C321" s="485">
        <f>(C317*SIN(C319)*C317*SIN(C319))+(C313*C316-C312*C317*COS(C319))*(C313*C316-C312*C317*COS(C319))</f>
        <v>0</v>
      </c>
      <c r="D321" s="489"/>
      <c r="E321" s="485">
        <f ca="1">(C317*SIN(E319)*C317*SIN(E319))+(C313*C316-C312*C317*COS(E319))*(C313*C316-C312*C317*COS(E319))</f>
        <v>0</v>
      </c>
      <c r="F321" s="485"/>
      <c r="G321" s="460"/>
      <c r="H321" s="460"/>
      <c r="I321" s="447"/>
    </row>
    <row r="322" spans="1:9" s="444" customFormat="1" ht="12.3" outlineLevel="1" x14ac:dyDescent="0.4">
      <c r="A322" s="447"/>
      <c r="B322" s="154" t="s">
        <v>158</v>
      </c>
      <c r="C322" s="485"/>
      <c r="D322" s="489"/>
      <c r="E322" s="489"/>
      <c r="F322" s="485"/>
      <c r="G322" s="460"/>
      <c r="H322" s="460"/>
      <c r="I322" s="447"/>
    </row>
    <row r="323" spans="1:9" s="444" customFormat="1" ht="12.3" outlineLevel="1" x14ac:dyDescent="0.4">
      <c r="A323" s="447"/>
      <c r="B323" s="447" t="s">
        <v>157</v>
      </c>
      <c r="C323" s="447">
        <f>(C312*C316)+(C313*C317*COS(C319))</f>
        <v>1</v>
      </c>
      <c r="D323" s="447"/>
      <c r="E323" s="447">
        <f ca="1">(C312*C316)+(C313*C317*COS(E319))</f>
        <v>1</v>
      </c>
      <c r="F323" s="447"/>
      <c r="G323" s="460"/>
      <c r="H323" s="460"/>
      <c r="I323" s="447"/>
    </row>
    <row r="324" spans="1:9" s="444" customFormat="1" ht="12.3" outlineLevel="1" x14ac:dyDescent="0.4">
      <c r="A324" s="447"/>
      <c r="B324" s="153" t="s">
        <v>156</v>
      </c>
      <c r="C324" s="489"/>
      <c r="D324" s="489"/>
      <c r="E324" s="489"/>
      <c r="F324" s="460"/>
      <c r="G324" s="460"/>
      <c r="H324" s="460"/>
      <c r="I324" s="447"/>
    </row>
    <row r="325" spans="1:9" s="444" customFormat="1" ht="12.3" outlineLevel="1" x14ac:dyDescent="0.4">
      <c r="A325" s="447"/>
      <c r="B325" s="460" t="s">
        <v>155</v>
      </c>
      <c r="C325" s="485">
        <f>SQRT(C321)/C323</f>
        <v>0</v>
      </c>
      <c r="D325" s="489"/>
      <c r="E325" s="485">
        <f ca="1">SQRT(E321)/E323</f>
        <v>0</v>
      </c>
      <c r="F325" s="485"/>
      <c r="G325" s="447"/>
      <c r="H325" s="447"/>
      <c r="I325" s="492"/>
    </row>
    <row r="326" spans="1:9" s="444" customFormat="1" ht="12.3" outlineLevel="1" x14ac:dyDescent="0.4">
      <c r="A326" s="447"/>
      <c r="B326" s="148" t="s">
        <v>142</v>
      </c>
      <c r="C326" s="485">
        <f>ATAN(C325)</f>
        <v>0</v>
      </c>
      <c r="D326" s="489"/>
      <c r="E326" s="485">
        <f ca="1">IF(ATAN(E325)&lt;0,ATAN(E325)+PI(),ATAN(E325))</f>
        <v>0</v>
      </c>
      <c r="F326" s="485"/>
      <c r="G326" s="447"/>
      <c r="H326" s="447"/>
      <c r="I326" s="492"/>
    </row>
    <row r="327" spans="1:9" s="444" customFormat="1" ht="12.3" outlineLevel="1" x14ac:dyDescent="0.4">
      <c r="A327" s="447"/>
      <c r="B327" s="147" t="s">
        <v>154</v>
      </c>
      <c r="C327" s="485"/>
      <c r="D327" s="489"/>
      <c r="E327" s="460"/>
      <c r="F327" s="485"/>
      <c r="G327" s="447"/>
      <c r="H327" s="447"/>
      <c r="I327" s="492"/>
    </row>
    <row r="328" spans="1:9" s="444" customFormat="1" ht="12.3" outlineLevel="1" x14ac:dyDescent="0.4">
      <c r="A328" s="447"/>
      <c r="B328" s="460" t="s">
        <v>153</v>
      </c>
      <c r="C328" s="485">
        <f>IF(C321=0,0,C313*C317*SIN(C319)/SQRT(C321))</f>
        <v>0</v>
      </c>
      <c r="D328" s="489"/>
      <c r="E328" s="485">
        <f ca="1">IF(E321=0,0,C313*C317*SIN(E319)/SQRT(E321))</f>
        <v>0</v>
      </c>
      <c r="F328" s="485"/>
      <c r="G328" s="460"/>
      <c r="H328" s="460"/>
      <c r="I328" s="492"/>
    </row>
    <row r="329" spans="1:9" s="444" customFormat="1" ht="12.3" outlineLevel="1" x14ac:dyDescent="0.4">
      <c r="A329" s="447"/>
      <c r="B329" s="147" t="s">
        <v>152</v>
      </c>
      <c r="C329" s="485"/>
      <c r="D329" s="489"/>
      <c r="E329" s="489"/>
      <c r="F329" s="485"/>
      <c r="G329" s="460"/>
      <c r="H329" s="460"/>
      <c r="I329" s="447"/>
    </row>
    <row r="330" spans="1:9" s="444" customFormat="1" ht="16.2" outlineLevel="1" x14ac:dyDescent="0.65">
      <c r="A330" s="447"/>
      <c r="B330" s="447" t="s">
        <v>416</v>
      </c>
      <c r="C330" s="447">
        <f>IF((COS(ASIN(C328))*COS(ASIN(C328)))=0,0,C323-2*C312*C316/(COS(ASIN(C328))*COS(ASIN(C328))))</f>
        <v>1</v>
      </c>
      <c r="D330" s="489"/>
      <c r="E330" s="447">
        <f ca="1">E323-2*C312*C316/(COS(ASIN(E328))*COS(ASIN(E328)))</f>
        <v>1</v>
      </c>
      <c r="F330" s="460"/>
      <c r="G330" s="460"/>
      <c r="H330" s="460"/>
      <c r="I330" s="447"/>
    </row>
    <row r="331" spans="1:9" s="444" customFormat="1" ht="15.9" outlineLevel="1" x14ac:dyDescent="0.45">
      <c r="A331" s="447"/>
      <c r="B331" s="447" t="s">
        <v>151</v>
      </c>
      <c r="C331" s="487">
        <f>COS(ASIN(C328))*COS(ASIN(C328))*(C305*C305-C306*C306)/(C306*C306)</f>
        <v>6.7394967422764341E-3</v>
      </c>
      <c r="D331" s="489"/>
      <c r="E331" s="487">
        <f ca="1">COS(ASIN(E328))*COS(ASIN(E328))*(C305*C305-C306*C306)/(C306*C306)</f>
        <v>6.7394967422764341E-3</v>
      </c>
      <c r="F331" s="447"/>
      <c r="G331" s="460"/>
      <c r="H331" s="460"/>
      <c r="I331" s="447"/>
    </row>
    <row r="332" spans="1:9" s="444" customFormat="1" ht="12.3" outlineLevel="1" x14ac:dyDescent="0.4">
      <c r="A332" s="447"/>
      <c r="B332" s="152" t="s">
        <v>150</v>
      </c>
      <c r="C332" s="485"/>
      <c r="D332" s="489"/>
      <c r="E332" s="460"/>
      <c r="F332" s="485"/>
      <c r="G332" s="460"/>
      <c r="H332" s="460"/>
      <c r="I332" s="447"/>
    </row>
    <row r="333" spans="1:9" s="444" customFormat="1" ht="12.3" outlineLevel="1" x14ac:dyDescent="0.4">
      <c r="A333" s="447"/>
      <c r="B333" s="460" t="s">
        <v>9</v>
      </c>
      <c r="C333" s="485">
        <f>1+C331/16384*(4096+C331*(-768+C331*(320-175*C331)))</f>
        <v>1.0016827510415456</v>
      </c>
      <c r="D333" s="489"/>
      <c r="E333" s="485">
        <f ca="1">1+E331/16384*(4096+E331*(-768+E331*(320-175*E331)))</f>
        <v>1.0016827510415456</v>
      </c>
      <c r="F333" s="485"/>
      <c r="G333" s="460"/>
      <c r="H333" s="460"/>
      <c r="I333" s="447"/>
    </row>
    <row r="334" spans="1:9" s="444" customFormat="1" ht="12.3" outlineLevel="1" x14ac:dyDescent="0.4">
      <c r="A334" s="447"/>
      <c r="B334" s="147" t="s">
        <v>149</v>
      </c>
      <c r="C334" s="485"/>
      <c r="D334" s="489"/>
      <c r="E334" s="460"/>
      <c r="F334" s="485"/>
      <c r="G334" s="460"/>
      <c r="H334" s="460"/>
      <c r="I334" s="490"/>
    </row>
    <row r="335" spans="1:9" s="444" customFormat="1" ht="12.3" outlineLevel="1" x14ac:dyDescent="0.4">
      <c r="A335" s="447"/>
      <c r="B335" s="460" t="s">
        <v>10</v>
      </c>
      <c r="C335" s="485">
        <f>C331/1024*(256+C331*(-128+C331*(74-47*C331)))</f>
        <v>1.6792186103152505E-3</v>
      </c>
      <c r="D335" s="489"/>
      <c r="E335" s="485">
        <f ca="1">E331/1024*(256+E331*(-128+E331*(74-47*E331)))</f>
        <v>1.6792186103152505E-3</v>
      </c>
      <c r="F335" s="485"/>
      <c r="G335" s="460"/>
      <c r="H335" s="460"/>
      <c r="I335" s="447"/>
    </row>
    <row r="336" spans="1:9" s="444" customFormat="1" ht="12.3" outlineLevel="1" x14ac:dyDescent="0.4">
      <c r="A336" s="447"/>
      <c r="B336" s="147" t="s">
        <v>148</v>
      </c>
      <c r="C336" s="485"/>
      <c r="D336" s="489"/>
      <c r="E336" s="460"/>
      <c r="F336" s="485"/>
      <c r="G336" s="460"/>
      <c r="H336" s="460"/>
      <c r="I336" s="447"/>
    </row>
    <row r="337" spans="1:9" s="444" customFormat="1" ht="12.3" outlineLevel="1" x14ac:dyDescent="0.4">
      <c r="A337" s="447"/>
      <c r="B337" s="148" t="s">
        <v>147</v>
      </c>
      <c r="C337" s="485">
        <f>C335*SQRT(C321)*(C330+C335/4*(C323*(-1+2*C330*C330)-C335/6*C330*(-3+4*C321)*(-3+4*C330*C330)))</f>
        <v>0</v>
      </c>
      <c r="D337" s="489"/>
      <c r="E337" s="485">
        <f ca="1">E335*SQRT(E321)*(E330+E335/4*(E323*(-1+2*E330*E330)-E335/6*E330*(-3+4*E321)*(-3+4*E330*E330)))</f>
        <v>0</v>
      </c>
      <c r="F337" s="485"/>
      <c r="G337" s="460"/>
      <c r="H337" s="460"/>
      <c r="I337" s="447"/>
    </row>
    <row r="338" spans="1:9" s="444" customFormat="1" ht="12.3" outlineLevel="1" x14ac:dyDescent="0.4">
      <c r="A338" s="447"/>
      <c r="B338" s="460"/>
      <c r="C338" s="485"/>
      <c r="D338" s="489"/>
      <c r="E338" s="460"/>
      <c r="F338" s="485"/>
      <c r="G338" s="460"/>
      <c r="H338" s="460"/>
      <c r="I338" s="447"/>
    </row>
    <row r="339" spans="1:9" s="444" customFormat="1" ht="12.3" outlineLevel="1" x14ac:dyDescent="0.4">
      <c r="A339" s="447"/>
      <c r="B339" s="147" t="s">
        <v>146</v>
      </c>
      <c r="C339" s="485"/>
      <c r="D339" s="494"/>
      <c r="E339" s="460"/>
      <c r="F339" s="485"/>
      <c r="G339" s="460"/>
      <c r="H339" s="460"/>
      <c r="I339" s="150"/>
    </row>
    <row r="340" spans="1:9" s="444" customFormat="1" ht="12.3" outlineLevel="1" x14ac:dyDescent="0.4">
      <c r="A340" s="447"/>
      <c r="B340" s="460" t="s">
        <v>11</v>
      </c>
      <c r="C340" s="485">
        <f>C307/16*COS(ASIN(C328))*COS(ASIN(C328))*(4+C307*(4-3*COS(ASIN(C328))*COS(ASIN(C328))))</f>
        <v>8.389052498964728E-4</v>
      </c>
      <c r="D340" s="494"/>
      <c r="E340" s="485">
        <f ca="1">C307/16*COS(ASIN(E328))*COS(ASIN(E328))*(4+C307*(4-3*COS(ASIN(E328))*COS(ASIN(E328))))</f>
        <v>8.389052498964728E-4</v>
      </c>
      <c r="F340" s="485"/>
      <c r="G340" s="460"/>
      <c r="H340" s="460"/>
      <c r="I340" s="150"/>
    </row>
    <row r="341" spans="1:9" s="444" customFormat="1" ht="12.3" outlineLevel="1" x14ac:dyDescent="0.4">
      <c r="A341" s="447"/>
      <c r="B341" s="147" t="s">
        <v>145</v>
      </c>
      <c r="C341" s="485"/>
      <c r="D341" s="494"/>
      <c r="E341" s="460"/>
      <c r="F341" s="485"/>
      <c r="G341" s="460"/>
      <c r="H341" s="460"/>
      <c r="I341" s="150"/>
    </row>
    <row r="342" spans="1:9" s="444" customFormat="1" ht="12.3" outlineLevel="1" x14ac:dyDescent="0.4">
      <c r="A342" s="447"/>
      <c r="B342" s="151" t="s">
        <v>144</v>
      </c>
      <c r="C342" s="485">
        <f>C308+(1-C340)*C307*C328*(ACOS(C323)+C340*SIN(ACOS(C323))*(C330+C340*C323*(-1+2*C330*C330)))</f>
        <v>0</v>
      </c>
      <c r="D342" s="494"/>
      <c r="E342" s="495">
        <f ca="1">C308+(1-E340)*C307*E328*(ACOS(E323)+E340*SIN(ACOS(E323))*(E330+E340*E323*(-1+2*E330*E330)))</f>
        <v>0</v>
      </c>
      <c r="F342" s="485"/>
      <c r="G342" s="460"/>
      <c r="H342" s="460"/>
      <c r="I342" s="150"/>
    </row>
    <row r="343" spans="1:9" s="444" customFormat="1" ht="12.3" outlineLevel="1" x14ac:dyDescent="0.4">
      <c r="A343" s="447"/>
      <c r="B343" s="149" t="s">
        <v>143</v>
      </c>
      <c r="C343" s="485"/>
      <c r="D343" s="494"/>
      <c r="E343" s="148"/>
      <c r="F343" s="485"/>
      <c r="G343" s="460"/>
      <c r="H343" s="460"/>
      <c r="I343" s="496"/>
    </row>
    <row r="344" spans="1:9" s="444" customFormat="1" ht="12.3" outlineLevel="1" x14ac:dyDescent="0.4">
      <c r="A344" s="447"/>
      <c r="B344" s="460" t="s">
        <v>142</v>
      </c>
      <c r="C344" s="485">
        <f>IF(B359="samepoint",0,C306*C333*(ATAN(C325)-C337))</f>
        <v>0</v>
      </c>
      <c r="D344" s="494"/>
      <c r="E344" s="485">
        <f>IF(B359="samepoint",0,C306*E333*(E326-E337))</f>
        <v>0</v>
      </c>
      <c r="F344" s="460"/>
      <c r="G344" s="460"/>
      <c r="H344" s="460"/>
      <c r="I344" s="496"/>
    </row>
    <row r="345" spans="1:9" s="444" customFormat="1" ht="12.3" outlineLevel="1" x14ac:dyDescent="0.4">
      <c r="A345" s="447"/>
      <c r="B345" s="147" t="s">
        <v>141</v>
      </c>
      <c r="C345" s="485"/>
      <c r="D345" s="494"/>
      <c r="E345" s="485"/>
      <c r="F345" s="460"/>
      <c r="G345" s="460"/>
      <c r="H345" s="460"/>
      <c r="I345" s="496"/>
    </row>
    <row r="346" spans="1:9" s="444" customFormat="1" ht="16.2" outlineLevel="1" x14ac:dyDescent="0.65">
      <c r="A346" s="447"/>
      <c r="B346" s="460" t="s">
        <v>140</v>
      </c>
      <c r="C346" s="485"/>
      <c r="D346" s="494"/>
      <c r="E346" s="485" t="e">
        <f ca="1">C317*SIN(E342)/(C313*C316-C312*C317*COS(E342))</f>
        <v>#DIV/0!</v>
      </c>
      <c r="F346" s="460"/>
      <c r="G346" s="460"/>
      <c r="H346" s="460"/>
      <c r="I346" s="496"/>
    </row>
    <row r="347" spans="1:9" s="444" customFormat="1" ht="12.3" outlineLevel="1" x14ac:dyDescent="0.4">
      <c r="A347" s="447"/>
      <c r="B347" s="147" t="s">
        <v>139</v>
      </c>
      <c r="C347" s="485"/>
      <c r="D347" s="494"/>
      <c r="E347" s="485"/>
      <c r="F347" s="460"/>
      <c r="G347" s="460"/>
      <c r="H347" s="460"/>
      <c r="I347" s="496"/>
    </row>
    <row r="348" spans="1:9" s="444" customFormat="1" ht="16.8" outlineLevel="1" x14ac:dyDescent="0.7">
      <c r="A348" s="447"/>
      <c r="B348" s="460" t="s">
        <v>138</v>
      </c>
      <c r="C348" s="485"/>
      <c r="D348" s="494"/>
      <c r="E348" s="485" t="e">
        <f>C313*SIN(C342)/(-C312*C317+C313*C316*COS(C342))</f>
        <v>#DIV/0!</v>
      </c>
      <c r="F348" s="460"/>
      <c r="G348" s="460"/>
      <c r="H348" s="460"/>
      <c r="I348" s="496"/>
    </row>
    <row r="349" spans="1:9" s="444" customFormat="1" ht="12.3" outlineLevel="1" x14ac:dyDescent="0.4">
      <c r="A349" s="447"/>
      <c r="B349" s="460"/>
      <c r="C349" s="485"/>
      <c r="D349" s="494"/>
      <c r="E349" s="460"/>
      <c r="F349" s="485"/>
      <c r="G349" s="460"/>
      <c r="H349" s="460"/>
      <c r="I349" s="496"/>
    </row>
    <row r="350" spans="1:9" s="444" customFormat="1" ht="12.3" outlineLevel="1" x14ac:dyDescent="0.4">
      <c r="A350" s="447"/>
      <c r="B350" s="460"/>
      <c r="C350" s="497"/>
      <c r="D350" s="447"/>
      <c r="E350" s="460"/>
      <c r="F350" s="485"/>
      <c r="G350" s="460"/>
      <c r="H350" s="460"/>
      <c r="I350" s="496"/>
    </row>
    <row r="351" spans="1:9" s="444" customFormat="1" ht="12.3" outlineLevel="1" x14ac:dyDescent="0.4">
      <c r="A351" s="447"/>
      <c r="B351" s="460"/>
      <c r="C351" s="460"/>
      <c r="D351" s="447"/>
      <c r="E351" s="489"/>
      <c r="F351" s="494"/>
      <c r="G351" s="460"/>
      <c r="H351" s="460"/>
      <c r="I351" s="496"/>
    </row>
    <row r="352" spans="1:9" s="444" customFormat="1" ht="12.3" outlineLevel="1" x14ac:dyDescent="0.4">
      <c r="A352" s="447"/>
      <c r="B352" s="146" t="s">
        <v>137</v>
      </c>
      <c r="C352" s="146"/>
      <c r="D352" s="489"/>
      <c r="E352" s="146" t="s">
        <v>136</v>
      </c>
      <c r="F352" s="146"/>
      <c r="G352" s="460"/>
      <c r="H352" s="460"/>
      <c r="I352" s="496"/>
    </row>
    <row r="353" spans="1:10" s="444" customFormat="1" ht="14.7" outlineLevel="1" x14ac:dyDescent="0.6">
      <c r="A353" s="447"/>
      <c r="B353" s="145" t="s">
        <v>417</v>
      </c>
      <c r="C353" s="485" t="e">
        <f ca="1">ATAN(E346)</f>
        <v>#DIV/0!</v>
      </c>
      <c r="D353" s="447"/>
      <c r="E353" s="145" t="s">
        <v>418</v>
      </c>
      <c r="F353" s="485" t="e">
        <f>ATAN(E348)</f>
        <v>#DIV/0!</v>
      </c>
      <c r="G353" s="460"/>
      <c r="H353" s="460"/>
      <c r="I353" s="496" t="e">
        <f>ATAN2(E302-E300,E303-E301)*180/PI()</f>
        <v>#DIV/0!</v>
      </c>
      <c r="J353" s="496" t="e">
        <f>ATAN2(E300-E302,E301-E303)*180/PI()</f>
        <v>#DIV/0!</v>
      </c>
    </row>
    <row r="354" spans="1:10" s="444" customFormat="1" ht="14.7" outlineLevel="1" x14ac:dyDescent="0.6">
      <c r="A354" s="447"/>
      <c r="B354" s="145" t="s">
        <v>419</v>
      </c>
      <c r="C354" s="485" t="e">
        <f ca="1">(C353/PI())*180+360</f>
        <v>#DIV/0!</v>
      </c>
      <c r="D354" s="447"/>
      <c r="E354" s="145" t="s">
        <v>420</v>
      </c>
      <c r="F354" s="485" t="e">
        <f>(F353/PI())*180+180</f>
        <v>#DIV/0!</v>
      </c>
      <c r="G354" s="460"/>
      <c r="H354" s="460"/>
      <c r="I354" s="496" t="e">
        <f>IF(I353&lt;0,C353*180/PI()+360,C353*180/PI())</f>
        <v>#DIV/0!</v>
      </c>
      <c r="J354" s="498" t="e">
        <f>IF(J353&gt;0,F353*180/PI()+180,F353*180/PI())</f>
        <v>#DIV/0!</v>
      </c>
    </row>
    <row r="355" spans="1:10" s="444" customFormat="1" ht="14.7" outlineLevel="1" x14ac:dyDescent="0.6">
      <c r="A355" s="447"/>
      <c r="B355" s="145" t="s">
        <v>419</v>
      </c>
      <c r="C355" s="485" t="e">
        <f ca="1">IF(C354&gt;=360,C354-360,C354)</f>
        <v>#DIV/0!</v>
      </c>
      <c r="D355" s="447"/>
      <c r="E355" s="145" t="s">
        <v>420</v>
      </c>
      <c r="F355" s="485" t="e">
        <f>IF(F354&gt;=360,F354-360,F354)</f>
        <v>#DIV/0!</v>
      </c>
      <c r="G355" s="460"/>
      <c r="H355" s="460"/>
      <c r="I355" s="496" t="e">
        <f ca="1">ATAN2((C313*C316-C312*C317*COS(E342)),C317*SIN(E342))</f>
        <v>#DIV/0!</v>
      </c>
      <c r="J355" s="485" t="e">
        <f ca="1">ATAN2((-C312*C317+C313*C316*COS(E342)),C313*SIN(E342))</f>
        <v>#DIV/0!</v>
      </c>
    </row>
    <row r="356" spans="1:10" s="444" customFormat="1" ht="14.7" outlineLevel="1" x14ac:dyDescent="0.6">
      <c r="A356" s="447"/>
      <c r="B356" s="145" t="s">
        <v>419</v>
      </c>
      <c r="C356" s="485">
        <f>IF(B359="samepoint",0,IF(B360="northsouth",0,IF(B361="southnorth",180,C355)))</f>
        <v>0</v>
      </c>
      <c r="D356" s="447"/>
      <c r="E356" s="145" t="s">
        <v>420</v>
      </c>
      <c r="F356" s="485">
        <f>IF(B359="samepoint",0,IF(B360="northsouth",180,IF(B361="southnorth",0,F355)))</f>
        <v>0</v>
      </c>
      <c r="G356" s="447"/>
      <c r="H356" s="447"/>
      <c r="I356" s="485">
        <f>IF(B359="samepoint",0,IF(B360="northsouth",0,IF(B361="southnorth",180,IF(I355&lt;0,I355*180/PI()+360,I355*180/PI()))))</f>
        <v>0</v>
      </c>
      <c r="J356" s="485">
        <f>IF(B359="samepoint",0,IF(B360="northsouth",180,IF(B361="southnorth",0,J355*180/PI()+180)))</f>
        <v>0</v>
      </c>
    </row>
    <row r="357" spans="1:10" s="444" customFormat="1" ht="12.3" outlineLevel="1" x14ac:dyDescent="0.4">
      <c r="A357" s="447"/>
      <c r="B357" s="145"/>
      <c r="C357" s="447"/>
      <c r="D357" s="447"/>
      <c r="E357" s="145"/>
      <c r="F357" s="447"/>
      <c r="G357" s="447"/>
      <c r="H357" s="447"/>
      <c r="I357" s="447"/>
    </row>
    <row r="358" spans="1:10" s="444" customFormat="1" ht="12.3" outlineLevel="1" x14ac:dyDescent="0.4">
      <c r="A358" s="447"/>
      <c r="B358" s="144" t="s">
        <v>135</v>
      </c>
      <c r="C358" s="144"/>
      <c r="D358" s="447"/>
      <c r="E358" s="447"/>
      <c r="F358" s="447"/>
      <c r="G358" s="447"/>
      <c r="H358" s="447"/>
      <c r="I358" s="447"/>
    </row>
    <row r="359" spans="1:10" s="444" customFormat="1" ht="12.3" outlineLevel="1" x14ac:dyDescent="0.4">
      <c r="A359" s="447"/>
      <c r="B359" s="447" t="str">
        <f>IF(AND(C300=C302,C301=C303),"samepoint","N.A. " )</f>
        <v>samepoint</v>
      </c>
      <c r="C359" s="447" t="s">
        <v>134</v>
      </c>
      <c r="D359" s="447"/>
      <c r="E359" s="447"/>
      <c r="F359" s="447"/>
      <c r="G359" s="447"/>
      <c r="H359" s="447"/>
      <c r="I359" s="447"/>
    </row>
    <row r="360" spans="1:10" s="444" customFormat="1" ht="12.3" outlineLevel="1" x14ac:dyDescent="0.4">
      <c r="A360" s="447"/>
      <c r="B360" s="447" t="str">
        <f>IF(AND(C301=C303,C302&gt;C300),"northsouth","N.A. ")</f>
        <v xml:space="preserve">N.A. </v>
      </c>
      <c r="C360" s="447" t="s">
        <v>133</v>
      </c>
      <c r="D360" s="447"/>
      <c r="E360" s="447"/>
      <c r="F360" s="447"/>
      <c r="G360" s="447"/>
      <c r="H360" s="447"/>
      <c r="I360" s="447"/>
    </row>
    <row r="361" spans="1:10" s="444" customFormat="1" ht="12.3" outlineLevel="1" x14ac:dyDescent="0.4">
      <c r="A361" s="447"/>
      <c r="B361" s="447" t="str">
        <f>IF(AND(C301=C303,C300&gt;C302),"southnorth","N.A. ")</f>
        <v xml:space="preserve">N.A. </v>
      </c>
      <c r="C361" s="447" t="s">
        <v>132</v>
      </c>
      <c r="D361" s="447"/>
      <c r="E361" s="447"/>
      <c r="F361" s="447"/>
      <c r="G361" s="447"/>
      <c r="H361" s="447"/>
      <c r="I361" s="447"/>
    </row>
    <row r="362" spans="1:10" s="444" customFormat="1" ht="12.3" x14ac:dyDescent="0.4">
      <c r="A362" s="447"/>
      <c r="B362" s="447"/>
      <c r="C362" s="447"/>
      <c r="D362" s="447"/>
      <c r="E362" s="447"/>
      <c r="F362" s="447"/>
      <c r="G362" s="447"/>
      <c r="H362" s="447"/>
      <c r="I362" s="447"/>
    </row>
    <row r="363" spans="1:10" s="444" customFormat="1" ht="15" x14ac:dyDescent="0.5">
      <c r="A363" s="447"/>
      <c r="B363" s="448" t="s">
        <v>187</v>
      </c>
      <c r="C363" s="448" t="s">
        <v>186</v>
      </c>
      <c r="D363" s="447"/>
      <c r="E363" s="447"/>
      <c r="F363" s="447"/>
      <c r="G363" s="447"/>
      <c r="H363" s="447"/>
      <c r="I363" s="447"/>
    </row>
    <row r="364" spans="1:10" s="444" customFormat="1" ht="17.399999999999999" x14ac:dyDescent="0.55000000000000004">
      <c r="A364" s="447"/>
      <c r="B364" s="449" t="s">
        <v>185</v>
      </c>
      <c r="C364" s="450" t="s">
        <v>184</v>
      </c>
      <c r="D364" s="451"/>
      <c r="E364" s="452"/>
      <c r="F364" s="453" t="s">
        <v>183</v>
      </c>
      <c r="G364" s="1074" t="s">
        <v>390</v>
      </c>
      <c r="H364" s="1074"/>
      <c r="I364" s="1075"/>
      <c r="J364" s="455"/>
    </row>
    <row r="365" spans="1:10" s="444" customFormat="1" ht="14.7" x14ac:dyDescent="0.6">
      <c r="A365" s="447"/>
      <c r="B365" s="158" t="s">
        <v>405</v>
      </c>
      <c r="C365" s="456">
        <f>C79</f>
        <v>0</v>
      </c>
      <c r="D365" s="457">
        <f>D79</f>
        <v>0</v>
      </c>
      <c r="E365" s="458"/>
      <c r="F365" s="157" t="s">
        <v>406</v>
      </c>
      <c r="G365" s="459">
        <f>G$293</f>
        <v>0</v>
      </c>
      <c r="H365" s="457">
        <f>H$293</f>
        <v>0</v>
      </c>
      <c r="I365" s="458"/>
      <c r="J365" s="460"/>
    </row>
    <row r="366" spans="1:10" s="444" customFormat="1" ht="14.7" x14ac:dyDescent="0.6">
      <c r="A366" s="447"/>
      <c r="B366" s="158" t="s">
        <v>407</v>
      </c>
      <c r="C366" s="461">
        <f>C80</f>
        <v>0</v>
      </c>
      <c r="D366" s="462">
        <f>D80</f>
        <v>0</v>
      </c>
      <c r="E366" s="463"/>
      <c r="F366" s="157" t="s">
        <v>408</v>
      </c>
      <c r="G366" s="459">
        <f>G$294</f>
        <v>0</v>
      </c>
      <c r="H366" s="457">
        <f>H$294</f>
        <v>0</v>
      </c>
      <c r="I366" s="458"/>
    </row>
    <row r="367" spans="1:10" s="444" customFormat="1" ht="12.3" x14ac:dyDescent="0.4">
      <c r="A367" s="447"/>
      <c r="B367" s="464" t="s">
        <v>180</v>
      </c>
      <c r="C367" s="465">
        <f>E416</f>
        <v>0</v>
      </c>
      <c r="D367" s="466"/>
      <c r="E367" s="467"/>
      <c r="F367" s="500"/>
      <c r="G367" s="468"/>
      <c r="H367" s="468"/>
      <c r="I367" s="156" t="s">
        <v>179</v>
      </c>
      <c r="J367" s="447"/>
    </row>
    <row r="368" spans="1:10" s="444" customFormat="1" ht="14.7" x14ac:dyDescent="0.6">
      <c r="A368" s="447"/>
      <c r="B368" s="464" t="s">
        <v>409</v>
      </c>
      <c r="C368" s="469">
        <f>I428</f>
        <v>0</v>
      </c>
      <c r="D368" s="470"/>
      <c r="E368" s="471"/>
      <c r="F368" s="501"/>
      <c r="G368" s="472"/>
      <c r="H368" s="473"/>
      <c r="J368" s="474"/>
    </row>
    <row r="369" spans="1:9" s="444" customFormat="1" ht="14.7" x14ac:dyDescent="0.6">
      <c r="A369" s="447"/>
      <c r="B369" s="475" t="s">
        <v>410</v>
      </c>
      <c r="C369" s="476">
        <f>J428</f>
        <v>0</v>
      </c>
      <c r="D369" s="477"/>
      <c r="E369" s="478"/>
      <c r="F369" s="502">
        <f>IF(AND(C365=0=FALSE,G365=0=FALSE),C367/1000,0)</f>
        <v>0</v>
      </c>
      <c r="G369" s="447" t="s">
        <v>178</v>
      </c>
      <c r="H369" s="447"/>
    </row>
    <row r="370" spans="1:9" s="444" customFormat="1" ht="12.3" x14ac:dyDescent="0.4">
      <c r="A370" s="447"/>
      <c r="B370" s="460"/>
      <c r="C370" s="487"/>
      <c r="D370" s="489"/>
      <c r="E370" s="489"/>
      <c r="F370" s="447"/>
      <c r="G370" s="460"/>
    </row>
    <row r="371" spans="1:9" s="444" customFormat="1" ht="12.3" outlineLevel="1" x14ac:dyDescent="0.4">
      <c r="A371" s="447"/>
      <c r="B371" s="447"/>
      <c r="C371" s="503" t="s">
        <v>177</v>
      </c>
      <c r="D371" s="504"/>
      <c r="E371" s="503" t="s">
        <v>85</v>
      </c>
      <c r="F371" s="447"/>
      <c r="G371" s="460"/>
      <c r="H371" s="460"/>
      <c r="I371" s="447"/>
    </row>
    <row r="372" spans="1:9" s="444" customFormat="1" ht="14.7" outlineLevel="1" x14ac:dyDescent="0.6">
      <c r="A372" s="447"/>
      <c r="B372" s="460" t="s">
        <v>411</v>
      </c>
      <c r="C372" s="485">
        <f>C365+D365/60</f>
        <v>0</v>
      </c>
      <c r="D372" s="447"/>
      <c r="E372" s="485">
        <f>C372*PI()/180</f>
        <v>0</v>
      </c>
      <c r="F372" s="447"/>
      <c r="G372" s="460"/>
      <c r="H372" s="460"/>
      <c r="I372" s="447"/>
    </row>
    <row r="373" spans="1:9" s="444" customFormat="1" ht="14.7" outlineLevel="1" x14ac:dyDescent="0.6">
      <c r="A373" s="447"/>
      <c r="B373" s="460" t="s">
        <v>412</v>
      </c>
      <c r="C373" s="485">
        <f>C366+D366/60</f>
        <v>0</v>
      </c>
      <c r="D373" s="447"/>
      <c r="E373" s="485">
        <f>C373*PI()/180</f>
        <v>0</v>
      </c>
      <c r="F373" s="447"/>
      <c r="G373" s="460"/>
      <c r="H373" s="485"/>
      <c r="I373" s="447"/>
    </row>
    <row r="374" spans="1:9" s="444" customFormat="1" ht="14.7" outlineLevel="1" x14ac:dyDescent="0.6">
      <c r="A374" s="447"/>
      <c r="B374" s="460" t="s">
        <v>413</v>
      </c>
      <c r="C374" s="485">
        <f>G365+H365/60</f>
        <v>0</v>
      </c>
      <c r="D374" s="447"/>
      <c r="E374" s="485">
        <f>C374*PI()/180</f>
        <v>0</v>
      </c>
      <c r="F374" s="447"/>
      <c r="G374" s="460"/>
      <c r="H374" s="460"/>
      <c r="I374" s="447"/>
    </row>
    <row r="375" spans="1:9" s="444" customFormat="1" ht="14.7" outlineLevel="1" x14ac:dyDescent="0.6">
      <c r="A375" s="447"/>
      <c r="B375" s="460" t="s">
        <v>414</v>
      </c>
      <c r="C375" s="485">
        <f>G366+H366/60</f>
        <v>0</v>
      </c>
      <c r="D375" s="447"/>
      <c r="E375" s="485">
        <f>C375*PI()/180</f>
        <v>0</v>
      </c>
      <c r="F375" s="447"/>
      <c r="G375" s="460"/>
      <c r="H375" s="485"/>
      <c r="I375" s="447"/>
    </row>
    <row r="376" spans="1:9" s="444" customFormat="1" ht="12.3" outlineLevel="1" x14ac:dyDescent="0.4">
      <c r="A376" s="447"/>
      <c r="B376" s="485"/>
      <c r="C376" s="485"/>
      <c r="D376" s="485"/>
      <c r="E376" s="485"/>
      <c r="F376" s="447"/>
      <c r="G376" s="460"/>
      <c r="H376" s="485"/>
      <c r="I376" s="447"/>
    </row>
    <row r="377" spans="1:9" s="444" customFormat="1" ht="12.3" outlineLevel="1" x14ac:dyDescent="0.4">
      <c r="A377" s="447"/>
      <c r="B377" s="460" t="s">
        <v>176</v>
      </c>
      <c r="C377" s="487">
        <v>6378137</v>
      </c>
      <c r="D377" s="488"/>
      <c r="E377" s="489" t="s">
        <v>175</v>
      </c>
      <c r="F377" s="485">
        <f>C379+C379*C379</f>
        <v>3.3640520041011246E-3</v>
      </c>
      <c r="G377" s="460"/>
      <c r="H377" s="460"/>
      <c r="I377" s="447"/>
    </row>
    <row r="378" spans="1:9" s="444" customFormat="1" ht="12.3" outlineLevel="1" x14ac:dyDescent="0.4">
      <c r="A378" s="447"/>
      <c r="B378" s="489" t="s">
        <v>174</v>
      </c>
      <c r="C378" s="487">
        <v>6356752.3142451793</v>
      </c>
      <c r="D378" s="488"/>
      <c r="E378" s="489" t="s">
        <v>173</v>
      </c>
      <c r="F378" s="485">
        <f>F377/2</f>
        <v>1.6820260020505623E-3</v>
      </c>
      <c r="G378" s="460"/>
      <c r="H378" s="460"/>
      <c r="I378" s="447"/>
    </row>
    <row r="379" spans="1:9" s="444" customFormat="1" ht="12.3" outlineLevel="1" x14ac:dyDescent="0.4">
      <c r="A379" s="447"/>
      <c r="B379" s="489" t="s">
        <v>172</v>
      </c>
      <c r="C379" s="485">
        <v>3.3528106647474801E-3</v>
      </c>
      <c r="D379" s="489"/>
      <c r="E379" s="489" t="s">
        <v>171</v>
      </c>
      <c r="F379" s="485">
        <f>C379*C379/2</f>
        <v>5.6206696768222199E-6</v>
      </c>
      <c r="G379" s="460"/>
      <c r="H379" s="460"/>
      <c r="I379" s="447"/>
    </row>
    <row r="380" spans="1:9" s="444" customFormat="1" ht="12.3" outlineLevel="1" x14ac:dyDescent="0.4">
      <c r="A380" s="447"/>
      <c r="B380" s="460" t="s">
        <v>415</v>
      </c>
      <c r="C380" s="485">
        <f>E375-E373</f>
        <v>0</v>
      </c>
      <c r="D380" s="447"/>
      <c r="E380" s="447" t="s">
        <v>170</v>
      </c>
      <c r="F380" s="485">
        <f>C379*C379/8</f>
        <v>1.405167419205555E-6</v>
      </c>
      <c r="G380" s="460"/>
      <c r="H380" s="460"/>
      <c r="I380" s="447"/>
    </row>
    <row r="381" spans="1:9" s="444" customFormat="1" ht="12.3" outlineLevel="1" x14ac:dyDescent="0.4">
      <c r="A381" s="447"/>
      <c r="B381" s="447"/>
      <c r="C381" s="447"/>
      <c r="D381" s="447"/>
      <c r="E381" s="489" t="s">
        <v>169</v>
      </c>
      <c r="F381" s="485">
        <f>C379*C379/16</f>
        <v>7.0258370960277749E-7</v>
      </c>
      <c r="G381" s="460"/>
      <c r="H381" s="460"/>
      <c r="I381" s="447"/>
    </row>
    <row r="382" spans="1:9" s="444" customFormat="1" ht="12.3" outlineLevel="1" x14ac:dyDescent="0.4">
      <c r="A382" s="447"/>
      <c r="B382" s="447" t="s">
        <v>168</v>
      </c>
      <c r="C382" s="490">
        <f>(1-C379)*TAN(E372)</f>
        <v>0</v>
      </c>
      <c r="D382" s="447"/>
      <c r="E382" s="489"/>
      <c r="F382" s="460"/>
      <c r="G382" s="460"/>
      <c r="H382" s="460"/>
      <c r="I382" s="447"/>
    </row>
    <row r="383" spans="1:9" s="444" customFormat="1" ht="12.3" outlineLevel="1" x14ac:dyDescent="0.4">
      <c r="A383" s="447"/>
      <c r="B383" s="460" t="s">
        <v>106</v>
      </c>
      <c r="C383" s="485">
        <f>ATAN(C382)</f>
        <v>0</v>
      </c>
      <c r="D383" s="489"/>
      <c r="E383" s="148"/>
      <c r="F383" s="485"/>
      <c r="G383" s="460"/>
      <c r="H383" s="460"/>
      <c r="I383" s="447"/>
    </row>
    <row r="384" spans="1:9" s="444" customFormat="1" ht="12.3" outlineLevel="1" x14ac:dyDescent="0.4">
      <c r="A384" s="447"/>
      <c r="B384" s="460" t="s">
        <v>167</v>
      </c>
      <c r="C384" s="485">
        <f>SIN(C383)</f>
        <v>0</v>
      </c>
      <c r="D384" s="489"/>
      <c r="E384" s="148"/>
      <c r="F384" s="485"/>
      <c r="G384" s="460"/>
      <c r="H384" s="460"/>
      <c r="I384" s="447"/>
    </row>
    <row r="385" spans="1:9" s="444" customFormat="1" ht="12.3" outlineLevel="1" x14ac:dyDescent="0.4">
      <c r="A385" s="447"/>
      <c r="B385" s="460" t="s">
        <v>166</v>
      </c>
      <c r="C385" s="485">
        <f>COS(C383)</f>
        <v>1</v>
      </c>
      <c r="D385" s="489"/>
      <c r="E385" s="460"/>
      <c r="F385" s="485"/>
      <c r="G385" s="460"/>
      <c r="H385" s="460"/>
      <c r="I385" s="447"/>
    </row>
    <row r="386" spans="1:9" s="444" customFormat="1" ht="12.3" outlineLevel="1" x14ac:dyDescent="0.4">
      <c r="A386" s="447"/>
      <c r="B386" s="460" t="s">
        <v>165</v>
      </c>
      <c r="C386" s="491">
        <f>(1-C379)*TAN(E374)</f>
        <v>0</v>
      </c>
      <c r="D386" s="489"/>
      <c r="E386" s="460"/>
      <c r="F386" s="485"/>
      <c r="G386" s="460"/>
      <c r="H386" s="460"/>
      <c r="I386" s="447"/>
    </row>
    <row r="387" spans="1:9" s="444" customFormat="1" ht="12.3" outlineLevel="1" x14ac:dyDescent="0.4">
      <c r="A387" s="447"/>
      <c r="B387" s="460" t="s">
        <v>164</v>
      </c>
      <c r="C387" s="485">
        <f>ATAN(C386)</f>
        <v>0</v>
      </c>
      <c r="D387" s="489"/>
      <c r="E387" s="460"/>
      <c r="F387" s="485"/>
      <c r="G387" s="460"/>
      <c r="H387" s="460"/>
      <c r="I387" s="447"/>
    </row>
    <row r="388" spans="1:9" s="444" customFormat="1" ht="12.3" outlineLevel="1" x14ac:dyDescent="0.4">
      <c r="A388" s="447"/>
      <c r="B388" s="460" t="s">
        <v>163</v>
      </c>
      <c r="C388" s="485">
        <f>SIN(C387)</f>
        <v>0</v>
      </c>
      <c r="D388" s="489"/>
      <c r="E388" s="460"/>
      <c r="F388" s="485"/>
      <c r="G388" s="460"/>
      <c r="H388" s="460"/>
      <c r="I388" s="447"/>
    </row>
    <row r="389" spans="1:9" s="444" customFormat="1" ht="12.3" outlineLevel="1" x14ac:dyDescent="0.4">
      <c r="A389" s="447"/>
      <c r="B389" s="460" t="s">
        <v>162</v>
      </c>
      <c r="C389" s="485">
        <f>COS(C387)</f>
        <v>1</v>
      </c>
      <c r="D389" s="489"/>
      <c r="E389" s="460"/>
      <c r="F389" s="485"/>
      <c r="G389" s="460"/>
      <c r="H389" s="460"/>
      <c r="I389" s="447"/>
    </row>
    <row r="390" spans="1:9" s="444" customFormat="1" ht="12.3" outlineLevel="1" x14ac:dyDescent="0.4">
      <c r="A390" s="447"/>
      <c r="B390" s="147" t="s">
        <v>161</v>
      </c>
      <c r="C390" s="485"/>
      <c r="D390" s="489"/>
      <c r="E390" s="460"/>
      <c r="F390" s="485"/>
      <c r="G390" s="460"/>
      <c r="H390" s="460"/>
      <c r="I390" s="447"/>
    </row>
    <row r="391" spans="1:9" s="444" customFormat="1" ht="12.3" outlineLevel="1" x14ac:dyDescent="0.4">
      <c r="A391" s="447"/>
      <c r="B391" s="148" t="s">
        <v>144</v>
      </c>
      <c r="C391" s="485">
        <f>C380</f>
        <v>0</v>
      </c>
      <c r="D391" s="489"/>
      <c r="E391" s="485">
        <f ca="1">E414</f>
        <v>0</v>
      </c>
      <c r="F391" s="485"/>
      <c r="G391" s="460"/>
      <c r="H391" s="460"/>
      <c r="I391" s="447"/>
    </row>
    <row r="392" spans="1:9" s="444" customFormat="1" ht="12.3" outlineLevel="1" x14ac:dyDescent="0.4">
      <c r="A392" s="447"/>
      <c r="B392" s="147" t="s">
        <v>160</v>
      </c>
      <c r="C392" s="485"/>
      <c r="D392" s="489"/>
      <c r="E392" s="460"/>
      <c r="F392" s="485"/>
      <c r="G392" s="460"/>
      <c r="H392" s="460"/>
      <c r="I392" s="447"/>
    </row>
    <row r="393" spans="1:9" s="444" customFormat="1" ht="13.8" outlineLevel="1" x14ac:dyDescent="0.4">
      <c r="A393" s="447"/>
      <c r="B393" s="460" t="s">
        <v>159</v>
      </c>
      <c r="C393" s="485">
        <f>(C389*SIN(C391)*C389*SIN(C391))+(C385*C388-C384*C389*COS(C391))*(C385*C388-C384*C389*COS(C391))</f>
        <v>0</v>
      </c>
      <c r="D393" s="489"/>
      <c r="E393" s="485">
        <f ca="1">(C389*SIN(E391)*C389*SIN(E391))+(C385*C388-C384*C389*COS(E391))*(C385*C388-C384*C389*COS(E391))</f>
        <v>0</v>
      </c>
      <c r="F393" s="485"/>
      <c r="G393" s="460"/>
      <c r="H393" s="460"/>
      <c r="I393" s="447"/>
    </row>
    <row r="394" spans="1:9" s="444" customFormat="1" ht="12.3" outlineLevel="1" x14ac:dyDescent="0.4">
      <c r="A394" s="447"/>
      <c r="B394" s="154" t="s">
        <v>158</v>
      </c>
      <c r="C394" s="485"/>
      <c r="D394" s="489"/>
      <c r="E394" s="489"/>
      <c r="F394" s="485"/>
      <c r="G394" s="460"/>
      <c r="H394" s="460"/>
      <c r="I394" s="447"/>
    </row>
    <row r="395" spans="1:9" s="444" customFormat="1" ht="12.3" outlineLevel="1" x14ac:dyDescent="0.4">
      <c r="A395" s="447"/>
      <c r="B395" s="447" t="s">
        <v>157</v>
      </c>
      <c r="C395" s="447">
        <f>(C384*C388)+(C385*C389*COS(C391))</f>
        <v>1</v>
      </c>
      <c r="D395" s="447"/>
      <c r="E395" s="447">
        <f ca="1">(C384*C388)+(C385*C389*COS(E391))</f>
        <v>1</v>
      </c>
      <c r="F395" s="447"/>
      <c r="G395" s="460"/>
      <c r="H395" s="460"/>
      <c r="I395" s="447"/>
    </row>
    <row r="396" spans="1:9" s="444" customFormat="1" ht="12.3" outlineLevel="1" x14ac:dyDescent="0.4">
      <c r="A396" s="447"/>
      <c r="B396" s="153" t="s">
        <v>156</v>
      </c>
      <c r="C396" s="489"/>
      <c r="D396" s="489"/>
      <c r="E396" s="489"/>
      <c r="F396" s="460"/>
      <c r="G396" s="460"/>
      <c r="H396" s="460"/>
      <c r="I396" s="447"/>
    </row>
    <row r="397" spans="1:9" s="444" customFormat="1" ht="12.3" outlineLevel="1" x14ac:dyDescent="0.4">
      <c r="A397" s="447"/>
      <c r="B397" s="460" t="s">
        <v>155</v>
      </c>
      <c r="C397" s="485">
        <f>SQRT(C393)/C395</f>
        <v>0</v>
      </c>
      <c r="D397" s="489"/>
      <c r="E397" s="485">
        <f ca="1">SQRT(E393)/E395</f>
        <v>0</v>
      </c>
      <c r="F397" s="485"/>
      <c r="G397" s="447"/>
      <c r="H397" s="447"/>
      <c r="I397" s="492"/>
    </row>
    <row r="398" spans="1:9" s="444" customFormat="1" ht="12.3" outlineLevel="1" x14ac:dyDescent="0.4">
      <c r="A398" s="447"/>
      <c r="B398" s="148" t="s">
        <v>142</v>
      </c>
      <c r="C398" s="485">
        <f>ATAN(C397)</f>
        <v>0</v>
      </c>
      <c r="D398" s="489"/>
      <c r="E398" s="485">
        <f ca="1">IF(ATAN(E397)&lt;0,ATAN(E397)+PI(),ATAN(E397))</f>
        <v>0</v>
      </c>
      <c r="F398" s="485"/>
      <c r="G398" s="447"/>
      <c r="H398" s="447"/>
      <c r="I398" s="492"/>
    </row>
    <row r="399" spans="1:9" s="444" customFormat="1" ht="12.3" outlineLevel="1" x14ac:dyDescent="0.4">
      <c r="A399" s="447"/>
      <c r="B399" s="147" t="s">
        <v>154</v>
      </c>
      <c r="C399" s="485"/>
      <c r="D399" s="489"/>
      <c r="E399" s="460"/>
      <c r="F399" s="485"/>
      <c r="G399" s="447"/>
      <c r="H399" s="447"/>
      <c r="I399" s="492"/>
    </row>
    <row r="400" spans="1:9" s="444" customFormat="1" ht="12.3" outlineLevel="1" x14ac:dyDescent="0.4">
      <c r="A400" s="447"/>
      <c r="B400" s="460" t="s">
        <v>153</v>
      </c>
      <c r="C400" s="485">
        <f>IF(C393=0,0,C385*C389*SIN(C391)/SQRT(C393))</f>
        <v>0</v>
      </c>
      <c r="D400" s="489"/>
      <c r="E400" s="485">
        <f ca="1">IF(E393=0,0,C385*C389*SIN(E391)/SQRT(E393))</f>
        <v>0</v>
      </c>
      <c r="F400" s="485"/>
      <c r="G400" s="460"/>
      <c r="H400" s="460"/>
      <c r="I400" s="492"/>
    </row>
    <row r="401" spans="1:9" s="444" customFormat="1" ht="12.3" outlineLevel="1" x14ac:dyDescent="0.4">
      <c r="A401" s="447"/>
      <c r="B401" s="147" t="s">
        <v>152</v>
      </c>
      <c r="C401" s="485"/>
      <c r="D401" s="489"/>
      <c r="E401" s="489"/>
      <c r="F401" s="485"/>
      <c r="G401" s="460"/>
      <c r="H401" s="460"/>
      <c r="I401" s="447"/>
    </row>
    <row r="402" spans="1:9" s="444" customFormat="1" ht="16.2" outlineLevel="1" x14ac:dyDescent="0.65">
      <c r="A402" s="447"/>
      <c r="B402" s="447" t="s">
        <v>416</v>
      </c>
      <c r="C402" s="447">
        <f>IF((COS(ASIN(C400))*COS(ASIN(C400)))=0,0,C395-2*C384*C388/(COS(ASIN(C400))*COS(ASIN(C400))))</f>
        <v>1</v>
      </c>
      <c r="D402" s="489"/>
      <c r="E402" s="447">
        <f ca="1">E395-2*C384*C388/(COS(ASIN(E400))*COS(ASIN(E400)))</f>
        <v>1</v>
      </c>
      <c r="F402" s="460"/>
      <c r="G402" s="460"/>
      <c r="H402" s="460"/>
      <c r="I402" s="447"/>
    </row>
    <row r="403" spans="1:9" s="444" customFormat="1" ht="15.9" outlineLevel="1" x14ac:dyDescent="0.45">
      <c r="A403" s="447"/>
      <c r="B403" s="447" t="s">
        <v>151</v>
      </c>
      <c r="C403" s="487">
        <f>COS(ASIN(C400))*COS(ASIN(C400))*(C377*C377-C378*C378)/(C378*C378)</f>
        <v>6.7394967422764341E-3</v>
      </c>
      <c r="D403" s="489"/>
      <c r="E403" s="487">
        <f ca="1">COS(ASIN(E400))*COS(ASIN(E400))*(C377*C377-C378*C378)/(C378*C378)</f>
        <v>6.7394967422764341E-3</v>
      </c>
      <c r="F403" s="447"/>
      <c r="G403" s="460"/>
      <c r="H403" s="460"/>
      <c r="I403" s="447"/>
    </row>
    <row r="404" spans="1:9" s="444" customFormat="1" ht="12.3" outlineLevel="1" x14ac:dyDescent="0.4">
      <c r="A404" s="447"/>
      <c r="B404" s="152" t="s">
        <v>150</v>
      </c>
      <c r="C404" s="485"/>
      <c r="D404" s="489"/>
      <c r="E404" s="460"/>
      <c r="F404" s="485"/>
      <c r="G404" s="460"/>
      <c r="H404" s="460"/>
      <c r="I404" s="447"/>
    </row>
    <row r="405" spans="1:9" s="444" customFormat="1" ht="12.3" outlineLevel="1" x14ac:dyDescent="0.4">
      <c r="A405" s="447"/>
      <c r="B405" s="460" t="s">
        <v>9</v>
      </c>
      <c r="C405" s="485">
        <f>1+C403/16384*(4096+C403*(-768+C403*(320-175*C403)))</f>
        <v>1.0016827510415456</v>
      </c>
      <c r="D405" s="489"/>
      <c r="E405" s="485">
        <f ca="1">1+E403/16384*(4096+E403*(-768+E403*(320-175*E403)))</f>
        <v>1.0016827510415456</v>
      </c>
      <c r="F405" s="485"/>
      <c r="G405" s="460"/>
      <c r="H405" s="460"/>
      <c r="I405" s="447"/>
    </row>
    <row r="406" spans="1:9" s="444" customFormat="1" ht="12.3" outlineLevel="1" x14ac:dyDescent="0.4">
      <c r="A406" s="447"/>
      <c r="B406" s="147" t="s">
        <v>149</v>
      </c>
      <c r="C406" s="485"/>
      <c r="D406" s="489"/>
      <c r="E406" s="460"/>
      <c r="F406" s="485"/>
      <c r="G406" s="460"/>
      <c r="H406" s="460"/>
      <c r="I406" s="490"/>
    </row>
    <row r="407" spans="1:9" s="444" customFormat="1" ht="12.3" outlineLevel="1" x14ac:dyDescent="0.4">
      <c r="A407" s="447"/>
      <c r="B407" s="460" t="s">
        <v>10</v>
      </c>
      <c r="C407" s="485">
        <f>C403/1024*(256+C403*(-128+C403*(74-47*C403)))</f>
        <v>1.6792186103152505E-3</v>
      </c>
      <c r="D407" s="489"/>
      <c r="E407" s="485">
        <f ca="1">E403/1024*(256+E403*(-128+E403*(74-47*E403)))</f>
        <v>1.6792186103152505E-3</v>
      </c>
      <c r="F407" s="485"/>
      <c r="G407" s="460"/>
      <c r="H407" s="460"/>
      <c r="I407" s="447"/>
    </row>
    <row r="408" spans="1:9" s="444" customFormat="1" ht="12.3" outlineLevel="1" x14ac:dyDescent="0.4">
      <c r="A408" s="447"/>
      <c r="B408" s="147" t="s">
        <v>148</v>
      </c>
      <c r="C408" s="485"/>
      <c r="D408" s="489"/>
      <c r="E408" s="460"/>
      <c r="F408" s="485"/>
      <c r="G408" s="460"/>
      <c r="H408" s="460"/>
      <c r="I408" s="447"/>
    </row>
    <row r="409" spans="1:9" s="444" customFormat="1" ht="12.3" outlineLevel="1" x14ac:dyDescent="0.4">
      <c r="A409" s="447"/>
      <c r="B409" s="148" t="s">
        <v>147</v>
      </c>
      <c r="C409" s="485">
        <f>C407*SQRT(C393)*(C402+C407/4*(C395*(-1+2*C402*C402)-C407/6*C402*(-3+4*C393)*(-3+4*C402*C402)))</f>
        <v>0</v>
      </c>
      <c r="D409" s="489"/>
      <c r="E409" s="485">
        <f ca="1">E407*SQRT(E393)*(E402+E407/4*(E395*(-1+2*E402*E402)-E407/6*E402*(-3+4*E393)*(-3+4*E402*E402)))</f>
        <v>0</v>
      </c>
      <c r="F409" s="485"/>
      <c r="G409" s="460"/>
      <c r="H409" s="460"/>
      <c r="I409" s="447"/>
    </row>
    <row r="410" spans="1:9" s="444" customFormat="1" ht="12.3" outlineLevel="1" x14ac:dyDescent="0.4">
      <c r="A410" s="447"/>
      <c r="B410" s="460"/>
      <c r="C410" s="485"/>
      <c r="D410" s="489"/>
      <c r="E410" s="460"/>
      <c r="F410" s="485"/>
      <c r="G410" s="460"/>
      <c r="H410" s="460"/>
      <c r="I410" s="447"/>
    </row>
    <row r="411" spans="1:9" s="444" customFormat="1" ht="12.3" outlineLevel="1" x14ac:dyDescent="0.4">
      <c r="A411" s="447"/>
      <c r="B411" s="147" t="s">
        <v>146</v>
      </c>
      <c r="C411" s="485"/>
      <c r="D411" s="494"/>
      <c r="E411" s="460"/>
      <c r="F411" s="485"/>
      <c r="G411" s="460"/>
      <c r="H411" s="460"/>
      <c r="I411" s="150"/>
    </row>
    <row r="412" spans="1:9" s="444" customFormat="1" ht="12.3" outlineLevel="1" x14ac:dyDescent="0.4">
      <c r="A412" s="447"/>
      <c r="B412" s="460" t="s">
        <v>11</v>
      </c>
      <c r="C412" s="485">
        <f>C379/16*COS(ASIN(C400))*COS(ASIN(C400))*(4+C379*(4-3*COS(ASIN(C400))*COS(ASIN(C400))))</f>
        <v>8.389052498964728E-4</v>
      </c>
      <c r="D412" s="494"/>
      <c r="E412" s="485">
        <f ca="1">C379/16*COS(ASIN(E400))*COS(ASIN(E400))*(4+C379*(4-3*COS(ASIN(E400))*COS(ASIN(E400))))</f>
        <v>8.389052498964728E-4</v>
      </c>
      <c r="F412" s="485"/>
      <c r="G412" s="460"/>
      <c r="H412" s="460"/>
      <c r="I412" s="150"/>
    </row>
    <row r="413" spans="1:9" s="444" customFormat="1" ht="12.3" outlineLevel="1" x14ac:dyDescent="0.4">
      <c r="A413" s="447"/>
      <c r="B413" s="147" t="s">
        <v>145</v>
      </c>
      <c r="C413" s="485"/>
      <c r="D413" s="494"/>
      <c r="E413" s="460"/>
      <c r="F413" s="485"/>
      <c r="G413" s="460"/>
      <c r="H413" s="460"/>
      <c r="I413" s="150"/>
    </row>
    <row r="414" spans="1:9" s="444" customFormat="1" ht="12.3" outlineLevel="1" x14ac:dyDescent="0.4">
      <c r="A414" s="447"/>
      <c r="B414" s="151" t="s">
        <v>144</v>
      </c>
      <c r="C414" s="485">
        <f>C380+(1-C412)*C379*C400*(ACOS(C395)+C412*SIN(ACOS(C395))*(C402+C412*C395*(-1+2*C402*C402)))</f>
        <v>0</v>
      </c>
      <c r="D414" s="494"/>
      <c r="E414" s="495">
        <f ca="1">C380+(1-E412)*C379*E400*(ACOS(E395)+E412*SIN(ACOS(E395))*(E402+E412*E395*(-1+2*E402*E402)))</f>
        <v>0</v>
      </c>
      <c r="F414" s="485"/>
      <c r="G414" s="460"/>
      <c r="H414" s="460"/>
      <c r="I414" s="150"/>
    </row>
    <row r="415" spans="1:9" s="444" customFormat="1" ht="12.3" outlineLevel="1" x14ac:dyDescent="0.4">
      <c r="A415" s="447"/>
      <c r="B415" s="149" t="s">
        <v>143</v>
      </c>
      <c r="C415" s="485"/>
      <c r="D415" s="494"/>
      <c r="E415" s="148"/>
      <c r="F415" s="485"/>
      <c r="G415" s="460"/>
      <c r="H415" s="460"/>
      <c r="I415" s="496"/>
    </row>
    <row r="416" spans="1:9" s="444" customFormat="1" ht="12.3" outlineLevel="1" x14ac:dyDescent="0.4">
      <c r="A416" s="447"/>
      <c r="B416" s="460" t="s">
        <v>142</v>
      </c>
      <c r="C416" s="485">
        <f>IF(B431="samepoint",0,C378*C405*(ATAN(C397)-C409))</f>
        <v>0</v>
      </c>
      <c r="D416" s="494"/>
      <c r="E416" s="485">
        <f>IF(B431="samepoint",0,C378*E405*(E398-E409))</f>
        <v>0</v>
      </c>
      <c r="F416" s="460"/>
      <c r="G416" s="460"/>
      <c r="H416" s="460"/>
      <c r="I416" s="496"/>
    </row>
    <row r="417" spans="1:10" s="444" customFormat="1" ht="12.3" outlineLevel="1" x14ac:dyDescent="0.4">
      <c r="A417" s="447"/>
      <c r="B417" s="147" t="s">
        <v>141</v>
      </c>
      <c r="C417" s="485"/>
      <c r="D417" s="494"/>
      <c r="E417" s="485"/>
      <c r="F417" s="460"/>
      <c r="G417" s="460"/>
      <c r="H417" s="460"/>
      <c r="I417" s="496"/>
    </row>
    <row r="418" spans="1:10" s="444" customFormat="1" ht="16.2" outlineLevel="1" x14ac:dyDescent="0.65">
      <c r="A418" s="447"/>
      <c r="B418" s="460" t="s">
        <v>140</v>
      </c>
      <c r="C418" s="485"/>
      <c r="D418" s="494"/>
      <c r="E418" s="485" t="e">
        <f ca="1">C389*SIN(E414)/(C385*C388-C384*C389*COS(E414))</f>
        <v>#DIV/0!</v>
      </c>
      <c r="F418" s="460"/>
      <c r="G418" s="460"/>
      <c r="H418" s="460"/>
      <c r="I418" s="496"/>
    </row>
    <row r="419" spans="1:10" s="444" customFormat="1" ht="12.3" outlineLevel="1" x14ac:dyDescent="0.4">
      <c r="A419" s="447"/>
      <c r="B419" s="147" t="s">
        <v>139</v>
      </c>
      <c r="C419" s="485"/>
      <c r="D419" s="494"/>
      <c r="E419" s="485"/>
      <c r="F419" s="460"/>
      <c r="G419" s="460"/>
      <c r="H419" s="460"/>
      <c r="I419" s="496"/>
    </row>
    <row r="420" spans="1:10" s="444" customFormat="1" ht="16.8" outlineLevel="1" x14ac:dyDescent="0.7">
      <c r="A420" s="447"/>
      <c r="B420" s="460" t="s">
        <v>138</v>
      </c>
      <c r="C420" s="485"/>
      <c r="D420" s="494"/>
      <c r="E420" s="485" t="e">
        <f>C385*SIN(C414)/(-C384*C389+C385*C388*COS(C414))</f>
        <v>#DIV/0!</v>
      </c>
      <c r="F420" s="460"/>
      <c r="G420" s="460"/>
      <c r="H420" s="460"/>
      <c r="I420" s="496"/>
    </row>
    <row r="421" spans="1:10" s="444" customFormat="1" ht="12.3" outlineLevel="1" x14ac:dyDescent="0.4">
      <c r="A421" s="447"/>
      <c r="B421" s="460"/>
      <c r="C421" s="485"/>
      <c r="D421" s="494"/>
      <c r="E421" s="460"/>
      <c r="F421" s="485"/>
      <c r="G421" s="460"/>
      <c r="H421" s="460"/>
      <c r="I421" s="496"/>
    </row>
    <row r="422" spans="1:10" s="444" customFormat="1" ht="12.3" outlineLevel="1" x14ac:dyDescent="0.4">
      <c r="A422" s="447"/>
      <c r="B422" s="460"/>
      <c r="C422" s="497"/>
      <c r="D422" s="447"/>
      <c r="E422" s="460"/>
      <c r="F422" s="485"/>
      <c r="G422" s="460"/>
      <c r="H422" s="460"/>
      <c r="I422" s="496"/>
    </row>
    <row r="423" spans="1:10" s="444" customFormat="1" ht="12.3" outlineLevel="1" x14ac:dyDescent="0.4">
      <c r="A423" s="447"/>
      <c r="B423" s="460"/>
      <c r="C423" s="460"/>
      <c r="D423" s="447"/>
      <c r="E423" s="489"/>
      <c r="F423" s="494"/>
      <c r="G423" s="460"/>
      <c r="H423" s="460"/>
      <c r="I423" s="496"/>
    </row>
    <row r="424" spans="1:10" s="444" customFormat="1" ht="12.3" outlineLevel="1" x14ac:dyDescent="0.4">
      <c r="A424" s="447"/>
      <c r="B424" s="146" t="s">
        <v>137</v>
      </c>
      <c r="C424" s="146"/>
      <c r="D424" s="489"/>
      <c r="E424" s="146" t="s">
        <v>136</v>
      </c>
      <c r="F424" s="146"/>
      <c r="G424" s="460"/>
      <c r="H424" s="460"/>
      <c r="I424" s="496"/>
    </row>
    <row r="425" spans="1:10" s="444" customFormat="1" ht="14.7" outlineLevel="1" x14ac:dyDescent="0.6">
      <c r="A425" s="447"/>
      <c r="B425" s="145" t="s">
        <v>417</v>
      </c>
      <c r="C425" s="485" t="e">
        <f ca="1">ATAN(E418)</f>
        <v>#DIV/0!</v>
      </c>
      <c r="D425" s="447"/>
      <c r="E425" s="145" t="s">
        <v>418</v>
      </c>
      <c r="F425" s="485" t="e">
        <f>ATAN(E420)</f>
        <v>#DIV/0!</v>
      </c>
      <c r="G425" s="460"/>
      <c r="H425" s="460"/>
      <c r="I425" s="496" t="e">
        <f>ATAN2(E374-E372,E375-E373)*180/PI()</f>
        <v>#DIV/0!</v>
      </c>
      <c r="J425" s="496" t="e">
        <f>ATAN2(E372-E374,E373-E375)*180/PI()</f>
        <v>#DIV/0!</v>
      </c>
    </row>
    <row r="426" spans="1:10" s="444" customFormat="1" ht="14.7" outlineLevel="1" x14ac:dyDescent="0.6">
      <c r="A426" s="447"/>
      <c r="B426" s="145" t="s">
        <v>419</v>
      </c>
      <c r="C426" s="485" t="e">
        <f ca="1">(C425/PI())*180+360</f>
        <v>#DIV/0!</v>
      </c>
      <c r="D426" s="447"/>
      <c r="E426" s="145" t="s">
        <v>420</v>
      </c>
      <c r="F426" s="485" t="e">
        <f>(F425/PI())*180+180</f>
        <v>#DIV/0!</v>
      </c>
      <c r="G426" s="460"/>
      <c r="H426" s="460"/>
      <c r="I426" s="496" t="e">
        <f>IF(I425&lt;0,C425*180/PI()+360,C425*180/PI())</f>
        <v>#DIV/0!</v>
      </c>
      <c r="J426" s="498" t="e">
        <f>IF(J425&gt;0,F425*180/PI()+180,F425*180/PI())</f>
        <v>#DIV/0!</v>
      </c>
    </row>
    <row r="427" spans="1:10" s="444" customFormat="1" ht="14.7" outlineLevel="1" x14ac:dyDescent="0.6">
      <c r="A427" s="447"/>
      <c r="B427" s="145" t="s">
        <v>419</v>
      </c>
      <c r="C427" s="485" t="e">
        <f ca="1">IF(C426&gt;=360,C426-360,C426)</f>
        <v>#DIV/0!</v>
      </c>
      <c r="D427" s="447"/>
      <c r="E427" s="145" t="s">
        <v>420</v>
      </c>
      <c r="F427" s="485" t="e">
        <f>IF(F426&gt;=360,F426-360,F426)</f>
        <v>#DIV/0!</v>
      </c>
      <c r="G427" s="460"/>
      <c r="H427" s="460"/>
      <c r="I427" s="496" t="e">
        <f ca="1">ATAN2((C385*C388-C384*C389*COS(E414)),C389*SIN(E414))</f>
        <v>#DIV/0!</v>
      </c>
      <c r="J427" s="485" t="e">
        <f ca="1">ATAN2((-C384*C389+C385*C388*COS(E414)),C385*SIN(E414))</f>
        <v>#DIV/0!</v>
      </c>
    </row>
    <row r="428" spans="1:10" s="444" customFormat="1" ht="14.7" outlineLevel="1" x14ac:dyDescent="0.6">
      <c r="A428" s="447"/>
      <c r="B428" s="145" t="s">
        <v>419</v>
      </c>
      <c r="C428" s="485">
        <f>IF(B431="samepoint",0,IF(B432="northsouth",0,IF(B433="southnorth",180,C427)))</f>
        <v>0</v>
      </c>
      <c r="D428" s="447"/>
      <c r="E428" s="145" t="s">
        <v>420</v>
      </c>
      <c r="F428" s="485">
        <f>IF(B431="samepoint",0,IF(B432="northsouth",180,IF(B433="southnorth",0,F427)))</f>
        <v>0</v>
      </c>
      <c r="G428" s="447"/>
      <c r="H428" s="447"/>
      <c r="I428" s="485">
        <f>IF(B431="samepoint",0,IF(B432="northsouth",0,IF(B433="southnorth",180,IF(I427&lt;0,I427*180/PI()+360,I427*180/PI()))))</f>
        <v>0</v>
      </c>
      <c r="J428" s="485">
        <f>IF(B431="samepoint",0,IF(B432="northsouth",180,IF(B433="southnorth",0,J427*180/PI()+180)))</f>
        <v>0</v>
      </c>
    </row>
    <row r="429" spans="1:10" s="444" customFormat="1" ht="12.3" outlineLevel="1" x14ac:dyDescent="0.4">
      <c r="A429" s="447"/>
      <c r="B429" s="145"/>
      <c r="C429" s="447"/>
      <c r="D429" s="447"/>
      <c r="E429" s="145"/>
      <c r="F429" s="447"/>
      <c r="G429" s="447"/>
      <c r="H429" s="447"/>
      <c r="I429" s="447"/>
    </row>
    <row r="430" spans="1:10" s="444" customFormat="1" ht="12.3" outlineLevel="1" x14ac:dyDescent="0.4">
      <c r="A430" s="447"/>
      <c r="B430" s="144" t="s">
        <v>135</v>
      </c>
      <c r="C430" s="144"/>
      <c r="D430" s="447"/>
      <c r="E430" s="447"/>
      <c r="F430" s="447"/>
      <c r="G430" s="447"/>
      <c r="H430" s="447"/>
      <c r="I430" s="447"/>
    </row>
    <row r="431" spans="1:10" s="444" customFormat="1" ht="12.3" outlineLevel="1" x14ac:dyDescent="0.4">
      <c r="A431" s="447"/>
      <c r="B431" s="447" t="str">
        <f>IF(AND(C372=C374,C373=C375),"samepoint","N.A. " )</f>
        <v>samepoint</v>
      </c>
      <c r="C431" s="447" t="s">
        <v>134</v>
      </c>
      <c r="D431" s="447"/>
      <c r="E431" s="447"/>
      <c r="F431" s="447"/>
      <c r="G431" s="447"/>
      <c r="H431" s="447"/>
      <c r="I431" s="447"/>
    </row>
    <row r="432" spans="1:10" s="444" customFormat="1" ht="12.3" outlineLevel="1" x14ac:dyDescent="0.4">
      <c r="A432" s="447"/>
      <c r="B432" s="447" t="str">
        <f>IF(AND(C373=C375,C374&gt;C372),"northsouth","N.A. ")</f>
        <v xml:space="preserve">N.A. </v>
      </c>
      <c r="C432" s="447" t="s">
        <v>133</v>
      </c>
      <c r="D432" s="447"/>
      <c r="E432" s="447"/>
      <c r="F432" s="447"/>
      <c r="G432" s="447"/>
      <c r="H432" s="447"/>
      <c r="I432" s="447"/>
    </row>
    <row r="433" spans="1:11" s="444" customFormat="1" ht="12.3" outlineLevel="1" x14ac:dyDescent="0.4">
      <c r="A433" s="447"/>
      <c r="B433" s="447" t="str">
        <f>IF(AND(C373=C375,C372&gt;C374),"southnorth","N.A. ")</f>
        <v xml:space="preserve">N.A. </v>
      </c>
      <c r="C433" s="447" t="s">
        <v>132</v>
      </c>
      <c r="D433" s="447"/>
      <c r="E433" s="447"/>
      <c r="F433" s="447"/>
      <c r="G433" s="447"/>
      <c r="H433" s="447"/>
      <c r="I433" s="447"/>
    </row>
    <row r="434" spans="1:11" s="444" customFormat="1" ht="12.3" x14ac:dyDescent="0.4">
      <c r="A434" s="447"/>
      <c r="B434" s="447"/>
      <c r="C434" s="447"/>
      <c r="D434" s="447"/>
      <c r="E434" s="447"/>
      <c r="F434" s="447"/>
      <c r="G434" s="447"/>
      <c r="H434" s="447"/>
      <c r="I434" s="447"/>
    </row>
    <row r="435" spans="1:11" s="444" customFormat="1" ht="15" x14ac:dyDescent="0.5">
      <c r="A435" s="447"/>
      <c r="B435" s="448" t="s">
        <v>187</v>
      </c>
      <c r="C435" s="448" t="s">
        <v>186</v>
      </c>
      <c r="D435" s="447"/>
      <c r="E435" s="447"/>
      <c r="F435" s="447"/>
      <c r="G435" s="447"/>
      <c r="H435" s="447"/>
      <c r="I435" s="447"/>
    </row>
    <row r="436" spans="1:11" s="444" customFormat="1" ht="17.399999999999999" x14ac:dyDescent="0.55000000000000004">
      <c r="A436" s="447"/>
      <c r="B436" s="449" t="s">
        <v>185</v>
      </c>
      <c r="C436" s="450" t="s">
        <v>390</v>
      </c>
      <c r="D436" s="451"/>
      <c r="E436" s="452"/>
      <c r="F436" s="453" t="s">
        <v>183</v>
      </c>
      <c r="G436" s="1074" t="s">
        <v>391</v>
      </c>
      <c r="H436" s="1074"/>
      <c r="I436" s="1075"/>
      <c r="J436" s="455"/>
    </row>
    <row r="437" spans="1:11" s="444" customFormat="1" ht="14.7" x14ac:dyDescent="0.6">
      <c r="A437" s="447"/>
      <c r="B437" s="158" t="s">
        <v>405</v>
      </c>
      <c r="C437" s="456">
        <f>G$293</f>
        <v>0</v>
      </c>
      <c r="D437" s="457">
        <f>H$293</f>
        <v>0</v>
      </c>
      <c r="E437" s="458"/>
      <c r="F437" s="157" t="s">
        <v>406</v>
      </c>
      <c r="G437" s="459">
        <f>IF(SUMMARY!B20="NO",0,IF(TPOrder!CI1=2,SUMMARY!$D$18,IF(TPOrder!CY1=2,SUMMARY!$D$24,IF(TPOrder!DO1=2,SUMMARY!$D$30,0))))</f>
        <v>0</v>
      </c>
      <c r="H437" s="457">
        <f>IF(SUMMARY!B20="NO",0,IF(TPOrder!CI1=2,SUMMARY!$E$18,IF(TPOrder!CY1=2,SUMMARY!$E$24,IF(TPOrder!DO1=2,SUMMARY!$E$30,0))))</f>
        <v>0</v>
      </c>
      <c r="I437" s="458"/>
      <c r="J437" s="460"/>
    </row>
    <row r="438" spans="1:11" s="444" customFormat="1" ht="14.7" x14ac:dyDescent="0.6">
      <c r="A438" s="447"/>
      <c r="B438" s="158" t="s">
        <v>407</v>
      </c>
      <c r="C438" s="461">
        <f>G$294</f>
        <v>0</v>
      </c>
      <c r="D438" s="462">
        <f>H$294</f>
        <v>0</v>
      </c>
      <c r="E438" s="463"/>
      <c r="F438" s="157" t="s">
        <v>408</v>
      </c>
      <c r="G438" s="459">
        <f>IF(SUMMARY!B20="NO",0,IF(TPOrder!CI1=2,SUMMARY!$D$20,IF(TPOrder!CY1=2,SUMMARY!$D$26,IF(TPOrder!DO1=2,SUMMARY!$D$32,0))))</f>
        <v>0</v>
      </c>
      <c r="H438" s="457">
        <f>IF(SUMMARY!B20="NO",0,IF(TPOrder!CI1=2,SUMMARY!$E$20,IF(TPOrder!CY1=2,SUMMARY!$E$26,IF(TPOrder!DO1=2,SUMMARY!$E$32,0))))</f>
        <v>0</v>
      </c>
      <c r="I438" s="458"/>
    </row>
    <row r="439" spans="1:11" s="444" customFormat="1" ht="12.3" x14ac:dyDescent="0.4">
      <c r="A439" s="447"/>
      <c r="B439" s="464" t="s">
        <v>180</v>
      </c>
      <c r="C439" s="465">
        <f>E488</f>
        <v>0</v>
      </c>
      <c r="D439" s="466"/>
      <c r="E439" s="467"/>
      <c r="F439" s="500"/>
      <c r="G439" s="468"/>
      <c r="H439" s="468"/>
      <c r="I439" s="156" t="s">
        <v>179</v>
      </c>
      <c r="J439" s="447"/>
    </row>
    <row r="440" spans="1:11" s="444" customFormat="1" ht="14.7" x14ac:dyDescent="0.6">
      <c r="A440" s="447"/>
      <c r="B440" s="464" t="s">
        <v>409</v>
      </c>
      <c r="C440" s="469">
        <f>I500</f>
        <v>0</v>
      </c>
      <c r="D440" s="470"/>
      <c r="E440" s="471"/>
      <c r="F440" s="501"/>
      <c r="G440" s="472"/>
      <c r="H440" s="473"/>
      <c r="J440" s="474"/>
      <c r="K440" s="505"/>
    </row>
    <row r="441" spans="1:11" s="444" customFormat="1" ht="14.7" x14ac:dyDescent="0.6">
      <c r="A441" s="447"/>
      <c r="B441" s="475" t="s">
        <v>410</v>
      </c>
      <c r="C441" s="476">
        <f>J500</f>
        <v>0</v>
      </c>
      <c r="D441" s="477"/>
      <c r="E441" s="478"/>
      <c r="F441" s="502">
        <f>IF(AND(C437=0=FALSE,G437=0=FALSE),C439/1000,0)</f>
        <v>0</v>
      </c>
      <c r="G441" s="447" t="s">
        <v>178</v>
      </c>
      <c r="H441" s="447"/>
    </row>
    <row r="442" spans="1:11" s="444" customFormat="1" ht="12.3" x14ac:dyDescent="0.4">
      <c r="A442" s="447"/>
      <c r="B442" s="460"/>
      <c r="C442" s="487"/>
      <c r="D442" s="489"/>
      <c r="E442" s="489"/>
      <c r="F442" s="447"/>
      <c r="G442" s="460"/>
    </row>
    <row r="443" spans="1:11" s="444" customFormat="1" ht="12.3" outlineLevel="1" x14ac:dyDescent="0.4">
      <c r="A443" s="447"/>
      <c r="B443" s="447"/>
      <c r="C443" s="503" t="s">
        <v>177</v>
      </c>
      <c r="D443" s="504"/>
      <c r="E443" s="503" t="s">
        <v>85</v>
      </c>
      <c r="F443" s="447"/>
      <c r="G443" s="460"/>
      <c r="H443" s="460"/>
      <c r="I443" s="447"/>
    </row>
    <row r="444" spans="1:11" s="444" customFormat="1" ht="14.7" outlineLevel="1" x14ac:dyDescent="0.6">
      <c r="A444" s="447"/>
      <c r="B444" s="460" t="s">
        <v>411</v>
      </c>
      <c r="C444" s="485">
        <f>C437+D437/60</f>
        <v>0</v>
      </c>
      <c r="D444" s="447"/>
      <c r="E444" s="485">
        <f>C444*PI()/180</f>
        <v>0</v>
      </c>
      <c r="F444" s="447"/>
      <c r="G444" s="460"/>
      <c r="H444" s="460"/>
      <c r="I444" s="447"/>
    </row>
    <row r="445" spans="1:11" s="444" customFormat="1" ht="14.7" outlineLevel="1" x14ac:dyDescent="0.6">
      <c r="A445" s="447"/>
      <c r="B445" s="460" t="s">
        <v>412</v>
      </c>
      <c r="C445" s="485">
        <f>C438+D438/60</f>
        <v>0</v>
      </c>
      <c r="D445" s="447"/>
      <c r="E445" s="485">
        <f>C445*PI()/180</f>
        <v>0</v>
      </c>
      <c r="F445" s="447"/>
      <c r="G445" s="460"/>
      <c r="H445" s="485"/>
      <c r="I445" s="447"/>
    </row>
    <row r="446" spans="1:11" s="444" customFormat="1" ht="14.7" outlineLevel="1" x14ac:dyDescent="0.6">
      <c r="A446" s="447"/>
      <c r="B446" s="460" t="s">
        <v>413</v>
      </c>
      <c r="C446" s="485">
        <f>G437+H437/60</f>
        <v>0</v>
      </c>
      <c r="D446" s="447"/>
      <c r="E446" s="485">
        <f>C446*PI()/180</f>
        <v>0</v>
      </c>
      <c r="F446" s="447"/>
      <c r="G446" s="460"/>
      <c r="H446" s="460"/>
      <c r="I446" s="447"/>
    </row>
    <row r="447" spans="1:11" s="444" customFormat="1" ht="14.7" outlineLevel="1" x14ac:dyDescent="0.6">
      <c r="A447" s="447"/>
      <c r="B447" s="460" t="s">
        <v>414</v>
      </c>
      <c r="C447" s="485">
        <f>G438+H438/60</f>
        <v>0</v>
      </c>
      <c r="D447" s="447"/>
      <c r="E447" s="485">
        <f>C447*PI()/180</f>
        <v>0</v>
      </c>
      <c r="F447" s="447"/>
      <c r="G447" s="460"/>
      <c r="H447" s="485"/>
      <c r="I447" s="447"/>
    </row>
    <row r="448" spans="1:11" s="444" customFormat="1" ht="12.3" outlineLevel="1" x14ac:dyDescent="0.4">
      <c r="A448" s="447"/>
      <c r="B448" s="485"/>
      <c r="C448" s="485"/>
      <c r="D448" s="485"/>
      <c r="E448" s="485"/>
      <c r="F448" s="447"/>
      <c r="G448" s="460"/>
      <c r="H448" s="485"/>
      <c r="I448" s="447"/>
    </row>
    <row r="449" spans="2:8" s="447" customFormat="1" ht="12.3" outlineLevel="1" x14ac:dyDescent="0.4">
      <c r="B449" s="460" t="s">
        <v>176</v>
      </c>
      <c r="C449" s="487">
        <v>6378137</v>
      </c>
      <c r="D449" s="488"/>
      <c r="E449" s="489" t="s">
        <v>175</v>
      </c>
      <c r="F449" s="485">
        <f>C451+C451*C451</f>
        <v>3.3640520041011246E-3</v>
      </c>
      <c r="G449" s="460"/>
      <c r="H449" s="460"/>
    </row>
    <row r="450" spans="2:8" s="447" customFormat="1" ht="12.3" outlineLevel="1" x14ac:dyDescent="0.4">
      <c r="B450" s="489" t="s">
        <v>174</v>
      </c>
      <c r="C450" s="487">
        <v>6356752.3142451793</v>
      </c>
      <c r="D450" s="488"/>
      <c r="E450" s="489" t="s">
        <v>173</v>
      </c>
      <c r="F450" s="485">
        <f>F449/2</f>
        <v>1.6820260020505623E-3</v>
      </c>
      <c r="G450" s="460"/>
      <c r="H450" s="460"/>
    </row>
    <row r="451" spans="2:8" s="447" customFormat="1" ht="12.3" outlineLevel="1" x14ac:dyDescent="0.4">
      <c r="B451" s="489" t="s">
        <v>172</v>
      </c>
      <c r="C451" s="485">
        <v>3.3528106647474801E-3</v>
      </c>
      <c r="D451" s="489"/>
      <c r="E451" s="489" t="s">
        <v>171</v>
      </c>
      <c r="F451" s="485">
        <f>C451*C451/2</f>
        <v>5.6206696768222199E-6</v>
      </c>
      <c r="G451" s="460"/>
      <c r="H451" s="460"/>
    </row>
    <row r="452" spans="2:8" s="447" customFormat="1" ht="12.3" outlineLevel="1" x14ac:dyDescent="0.4">
      <c r="B452" s="460" t="s">
        <v>415</v>
      </c>
      <c r="C452" s="485">
        <f>E447-E445</f>
        <v>0</v>
      </c>
      <c r="E452" s="447" t="s">
        <v>170</v>
      </c>
      <c r="F452" s="485">
        <f>C451*C451/8</f>
        <v>1.405167419205555E-6</v>
      </c>
      <c r="G452" s="460"/>
      <c r="H452" s="460"/>
    </row>
    <row r="453" spans="2:8" s="447" customFormat="1" ht="12.3" outlineLevel="1" x14ac:dyDescent="0.4">
      <c r="E453" s="489" t="s">
        <v>169</v>
      </c>
      <c r="F453" s="485">
        <f>C451*C451/16</f>
        <v>7.0258370960277749E-7</v>
      </c>
      <c r="G453" s="460"/>
      <c r="H453" s="460"/>
    </row>
    <row r="454" spans="2:8" s="447" customFormat="1" ht="12.3" outlineLevel="1" x14ac:dyDescent="0.4">
      <c r="B454" s="447" t="s">
        <v>168</v>
      </c>
      <c r="C454" s="490">
        <f>(1-C451)*TAN(E444)</f>
        <v>0</v>
      </c>
      <c r="E454" s="489"/>
      <c r="F454" s="460"/>
      <c r="G454" s="460"/>
      <c r="H454" s="460"/>
    </row>
    <row r="455" spans="2:8" s="447" customFormat="1" ht="12.3" outlineLevel="1" x14ac:dyDescent="0.4">
      <c r="B455" s="460" t="s">
        <v>106</v>
      </c>
      <c r="C455" s="485">
        <f>ATAN(C454)</f>
        <v>0</v>
      </c>
      <c r="D455" s="489"/>
      <c r="E455" s="148"/>
      <c r="F455" s="485"/>
      <c r="G455" s="460"/>
      <c r="H455" s="460"/>
    </row>
    <row r="456" spans="2:8" s="447" customFormat="1" ht="12.3" outlineLevel="1" x14ac:dyDescent="0.4">
      <c r="B456" s="460" t="s">
        <v>167</v>
      </c>
      <c r="C456" s="485">
        <f>SIN(C455)</f>
        <v>0</v>
      </c>
      <c r="D456" s="489"/>
      <c r="E456" s="148"/>
      <c r="F456" s="485"/>
      <c r="G456" s="460"/>
      <c r="H456" s="460"/>
    </row>
    <row r="457" spans="2:8" s="447" customFormat="1" ht="12.3" outlineLevel="1" x14ac:dyDescent="0.4">
      <c r="B457" s="460" t="s">
        <v>166</v>
      </c>
      <c r="C457" s="485">
        <f>COS(C455)</f>
        <v>1</v>
      </c>
      <c r="D457" s="489"/>
      <c r="E457" s="460"/>
      <c r="F457" s="485"/>
      <c r="G457" s="460"/>
      <c r="H457" s="460"/>
    </row>
    <row r="458" spans="2:8" s="447" customFormat="1" ht="12.3" outlineLevel="1" x14ac:dyDescent="0.4">
      <c r="B458" s="460" t="s">
        <v>165</v>
      </c>
      <c r="C458" s="491">
        <f>(1-C451)*TAN(E446)</f>
        <v>0</v>
      </c>
      <c r="D458" s="489"/>
      <c r="E458" s="460"/>
      <c r="F458" s="485"/>
      <c r="G458" s="460"/>
      <c r="H458" s="460"/>
    </row>
    <row r="459" spans="2:8" s="447" customFormat="1" ht="12.3" outlineLevel="1" x14ac:dyDescent="0.4">
      <c r="B459" s="460" t="s">
        <v>164</v>
      </c>
      <c r="C459" s="485">
        <f>ATAN(C458)</f>
        <v>0</v>
      </c>
      <c r="D459" s="489"/>
      <c r="E459" s="460"/>
      <c r="F459" s="485"/>
      <c r="G459" s="460"/>
      <c r="H459" s="460"/>
    </row>
    <row r="460" spans="2:8" s="447" customFormat="1" ht="12.3" outlineLevel="1" x14ac:dyDescent="0.4">
      <c r="B460" s="460" t="s">
        <v>163</v>
      </c>
      <c r="C460" s="485">
        <f>SIN(C459)</f>
        <v>0</v>
      </c>
      <c r="D460" s="489"/>
      <c r="E460" s="460"/>
      <c r="F460" s="485"/>
      <c r="G460" s="460"/>
      <c r="H460" s="460"/>
    </row>
    <row r="461" spans="2:8" s="447" customFormat="1" ht="12.3" outlineLevel="1" x14ac:dyDescent="0.4">
      <c r="B461" s="460" t="s">
        <v>162</v>
      </c>
      <c r="C461" s="485">
        <f>COS(C459)</f>
        <v>1</v>
      </c>
      <c r="D461" s="489"/>
      <c r="E461" s="460"/>
      <c r="F461" s="485"/>
      <c r="G461" s="460"/>
      <c r="H461" s="460"/>
    </row>
    <row r="462" spans="2:8" s="447" customFormat="1" ht="12.3" outlineLevel="1" x14ac:dyDescent="0.4">
      <c r="B462" s="147" t="s">
        <v>161</v>
      </c>
      <c r="C462" s="485"/>
      <c r="D462" s="489"/>
      <c r="E462" s="460"/>
      <c r="F462" s="485"/>
      <c r="G462" s="460"/>
      <c r="H462" s="460"/>
    </row>
    <row r="463" spans="2:8" s="447" customFormat="1" ht="12.3" outlineLevel="1" x14ac:dyDescent="0.4">
      <c r="B463" s="148" t="s">
        <v>144</v>
      </c>
      <c r="C463" s="485">
        <f>C452</f>
        <v>0</v>
      </c>
      <c r="D463" s="489"/>
      <c r="E463" s="485">
        <f ca="1">E486</f>
        <v>0</v>
      </c>
      <c r="F463" s="485"/>
      <c r="G463" s="460"/>
      <c r="H463" s="460"/>
    </row>
    <row r="464" spans="2:8" s="447" customFormat="1" ht="12.3" outlineLevel="1" x14ac:dyDescent="0.4">
      <c r="B464" s="147" t="s">
        <v>160</v>
      </c>
      <c r="C464" s="485"/>
      <c r="D464" s="489"/>
      <c r="E464" s="460"/>
      <c r="F464" s="485"/>
      <c r="G464" s="460"/>
      <c r="H464" s="460"/>
    </row>
    <row r="465" spans="1:9" s="444" customFormat="1" ht="13.8" outlineLevel="1" x14ac:dyDescent="0.4">
      <c r="A465" s="447"/>
      <c r="B465" s="460" t="s">
        <v>159</v>
      </c>
      <c r="C465" s="485">
        <f>(C461*SIN(C463)*C461*SIN(C463))+(C457*C460-C456*C461*COS(C463))*(C457*C460-C456*C461*COS(C463))</f>
        <v>0</v>
      </c>
      <c r="D465" s="489"/>
      <c r="E465" s="485">
        <f ca="1">(C461*SIN(E463)*C461*SIN(E463))+(C457*C460-C456*C461*COS(E463))*(C457*C460-C456*C461*COS(E463))</f>
        <v>0</v>
      </c>
      <c r="F465" s="485"/>
      <c r="G465" s="460"/>
      <c r="H465" s="460"/>
      <c r="I465" s="447"/>
    </row>
    <row r="466" spans="1:9" s="444" customFormat="1" ht="12.3" outlineLevel="1" x14ac:dyDescent="0.4">
      <c r="A466" s="447"/>
      <c r="B466" s="154" t="s">
        <v>158</v>
      </c>
      <c r="C466" s="485"/>
      <c r="D466" s="489"/>
      <c r="E466" s="489"/>
      <c r="F466" s="485"/>
      <c r="G466" s="460"/>
      <c r="H466" s="460"/>
      <c r="I466" s="447"/>
    </row>
    <row r="467" spans="1:9" s="444" customFormat="1" ht="12.3" outlineLevel="1" x14ac:dyDescent="0.4">
      <c r="A467" s="447"/>
      <c r="B467" s="447" t="s">
        <v>157</v>
      </c>
      <c r="C467" s="447">
        <f>(C456*C460)+(C457*C461*COS(C463))</f>
        <v>1</v>
      </c>
      <c r="D467" s="447"/>
      <c r="E467" s="447">
        <f ca="1">(C456*C460)+(C457*C461*COS(E463))</f>
        <v>1</v>
      </c>
      <c r="F467" s="447"/>
      <c r="G467" s="460"/>
      <c r="H467" s="460"/>
      <c r="I467" s="447"/>
    </row>
    <row r="468" spans="1:9" s="444" customFormat="1" ht="12.3" outlineLevel="1" x14ac:dyDescent="0.4">
      <c r="A468" s="447"/>
      <c r="B468" s="153" t="s">
        <v>156</v>
      </c>
      <c r="C468" s="489"/>
      <c r="D468" s="489"/>
      <c r="E468" s="489"/>
      <c r="F468" s="460"/>
      <c r="G468" s="460"/>
      <c r="H468" s="460"/>
      <c r="I468" s="447"/>
    </row>
    <row r="469" spans="1:9" s="444" customFormat="1" ht="12.3" outlineLevel="1" x14ac:dyDescent="0.4">
      <c r="A469" s="447"/>
      <c r="B469" s="460" t="s">
        <v>155</v>
      </c>
      <c r="C469" s="485">
        <f>SQRT(C465)/C467</f>
        <v>0</v>
      </c>
      <c r="D469" s="489"/>
      <c r="E469" s="485">
        <f ca="1">SQRT(E465)/E467</f>
        <v>0</v>
      </c>
      <c r="F469" s="485"/>
      <c r="G469" s="447"/>
      <c r="H469" s="447"/>
      <c r="I469" s="492"/>
    </row>
    <row r="470" spans="1:9" s="444" customFormat="1" ht="12.3" outlineLevel="1" x14ac:dyDescent="0.4">
      <c r="A470" s="447"/>
      <c r="B470" s="148" t="s">
        <v>142</v>
      </c>
      <c r="C470" s="485">
        <f>ATAN(C469)</f>
        <v>0</v>
      </c>
      <c r="D470" s="489"/>
      <c r="E470" s="485">
        <f ca="1">IF(ATAN(E469)&lt;0,ATAN(E469)+PI(),ATAN(E469))</f>
        <v>0</v>
      </c>
      <c r="F470" s="485"/>
      <c r="G470" s="447"/>
      <c r="H470" s="447"/>
      <c r="I470" s="492"/>
    </row>
    <row r="471" spans="1:9" s="444" customFormat="1" ht="12.3" outlineLevel="1" x14ac:dyDescent="0.4">
      <c r="A471" s="447"/>
      <c r="B471" s="147" t="s">
        <v>154</v>
      </c>
      <c r="C471" s="485"/>
      <c r="D471" s="489"/>
      <c r="E471" s="460"/>
      <c r="F471" s="485"/>
      <c r="G471" s="447"/>
      <c r="H471" s="447"/>
      <c r="I471" s="492"/>
    </row>
    <row r="472" spans="1:9" s="444" customFormat="1" ht="12.3" outlineLevel="1" x14ac:dyDescent="0.4">
      <c r="A472" s="447"/>
      <c r="B472" s="460" t="s">
        <v>153</v>
      </c>
      <c r="C472" s="485">
        <f>IF(C465=0,0,C457*C461*SIN(C463)/SQRT(C465))</f>
        <v>0</v>
      </c>
      <c r="D472" s="489"/>
      <c r="E472" s="485">
        <f ca="1">IF(E465=0,0,C457*C461*SIN(E463)/SQRT(E465))</f>
        <v>0</v>
      </c>
      <c r="F472" s="485"/>
      <c r="G472" s="460"/>
      <c r="H472" s="460"/>
      <c r="I472" s="492"/>
    </row>
    <row r="473" spans="1:9" s="444" customFormat="1" ht="12.3" outlineLevel="1" x14ac:dyDescent="0.4">
      <c r="A473" s="447"/>
      <c r="B473" s="147" t="s">
        <v>152</v>
      </c>
      <c r="C473" s="485"/>
      <c r="D473" s="489"/>
      <c r="E473" s="489"/>
      <c r="F473" s="485"/>
      <c r="G473" s="460"/>
      <c r="H473" s="460"/>
      <c r="I473" s="447"/>
    </row>
    <row r="474" spans="1:9" s="444" customFormat="1" ht="16.2" outlineLevel="1" x14ac:dyDescent="0.65">
      <c r="A474" s="447"/>
      <c r="B474" s="447" t="s">
        <v>416</v>
      </c>
      <c r="C474" s="447">
        <f>IF((COS(ASIN(C472))*COS(ASIN(C472)))=0,0,C467-2*C456*C460/(COS(ASIN(C472))*COS(ASIN(C472))))</f>
        <v>1</v>
      </c>
      <c r="D474" s="489"/>
      <c r="E474" s="447">
        <f ca="1">E467-2*C456*C460/(COS(ASIN(E472))*COS(ASIN(E472)))</f>
        <v>1</v>
      </c>
      <c r="F474" s="460"/>
      <c r="G474" s="460"/>
      <c r="H474" s="460"/>
      <c r="I474" s="447"/>
    </row>
    <row r="475" spans="1:9" s="444" customFormat="1" ht="15.9" outlineLevel="1" x14ac:dyDescent="0.45">
      <c r="A475" s="447"/>
      <c r="B475" s="447" t="s">
        <v>151</v>
      </c>
      <c r="C475" s="487">
        <f>COS(ASIN(C472))*COS(ASIN(C472))*(C449*C449-C450*C450)/(C450*C450)</f>
        <v>6.7394967422764341E-3</v>
      </c>
      <c r="D475" s="489"/>
      <c r="E475" s="487">
        <f ca="1">COS(ASIN(E472))*COS(ASIN(E472))*(C449*C449-C450*C450)/(C450*C450)</f>
        <v>6.7394967422764341E-3</v>
      </c>
      <c r="F475" s="447"/>
      <c r="G475" s="460"/>
      <c r="H475" s="460"/>
      <c r="I475" s="447"/>
    </row>
    <row r="476" spans="1:9" s="444" customFormat="1" ht="12.3" outlineLevel="1" x14ac:dyDescent="0.4">
      <c r="A476" s="447"/>
      <c r="B476" s="152" t="s">
        <v>150</v>
      </c>
      <c r="C476" s="485"/>
      <c r="D476" s="489"/>
      <c r="E476" s="460"/>
      <c r="F476" s="485"/>
      <c r="G476" s="460"/>
      <c r="H476" s="460"/>
      <c r="I476" s="447"/>
    </row>
    <row r="477" spans="1:9" s="444" customFormat="1" ht="12.3" outlineLevel="1" x14ac:dyDescent="0.4">
      <c r="A477" s="447"/>
      <c r="B477" s="460" t="s">
        <v>9</v>
      </c>
      <c r="C477" s="485">
        <f>1+C475/16384*(4096+C475*(-768+C475*(320-175*C475)))</f>
        <v>1.0016827510415456</v>
      </c>
      <c r="D477" s="489"/>
      <c r="E477" s="485">
        <f ca="1">1+E475/16384*(4096+E475*(-768+E475*(320-175*E475)))</f>
        <v>1.0016827510415456</v>
      </c>
      <c r="F477" s="485"/>
      <c r="G477" s="460"/>
      <c r="H477" s="460"/>
      <c r="I477" s="447"/>
    </row>
    <row r="478" spans="1:9" s="444" customFormat="1" ht="12.3" outlineLevel="1" x14ac:dyDescent="0.4">
      <c r="A478" s="447"/>
      <c r="B478" s="147" t="s">
        <v>149</v>
      </c>
      <c r="C478" s="485"/>
      <c r="D478" s="489"/>
      <c r="E478" s="460"/>
      <c r="F478" s="485"/>
      <c r="G478" s="460"/>
      <c r="H478" s="460"/>
      <c r="I478" s="490"/>
    </row>
    <row r="479" spans="1:9" s="444" customFormat="1" ht="12.3" outlineLevel="1" x14ac:dyDescent="0.4">
      <c r="A479" s="447"/>
      <c r="B479" s="460" t="s">
        <v>10</v>
      </c>
      <c r="C479" s="485">
        <f>C475/1024*(256+C475*(-128+C475*(74-47*C475)))</f>
        <v>1.6792186103152505E-3</v>
      </c>
      <c r="D479" s="489"/>
      <c r="E479" s="485">
        <f ca="1">E475/1024*(256+E475*(-128+E475*(74-47*E475)))</f>
        <v>1.6792186103152505E-3</v>
      </c>
      <c r="F479" s="485"/>
      <c r="G479" s="460"/>
      <c r="H479" s="460"/>
      <c r="I479" s="447"/>
    </row>
    <row r="480" spans="1:9" s="444" customFormat="1" ht="12.3" outlineLevel="1" x14ac:dyDescent="0.4">
      <c r="A480" s="447"/>
      <c r="B480" s="147" t="s">
        <v>148</v>
      </c>
      <c r="C480" s="485"/>
      <c r="D480" s="489"/>
      <c r="E480" s="460"/>
      <c r="F480" s="485"/>
      <c r="G480" s="460"/>
      <c r="H480" s="460"/>
      <c r="I480" s="447"/>
    </row>
    <row r="481" spans="1:9" s="444" customFormat="1" ht="12.3" outlineLevel="1" x14ac:dyDescent="0.4">
      <c r="A481" s="447"/>
      <c r="B481" s="148" t="s">
        <v>147</v>
      </c>
      <c r="C481" s="485">
        <f>C479*SQRT(C465)*(C474+C479/4*(C467*(-1+2*C474*C474)-C479/6*C474*(-3+4*C465)*(-3+4*C474*C474)))</f>
        <v>0</v>
      </c>
      <c r="D481" s="489"/>
      <c r="E481" s="485">
        <f ca="1">E479*SQRT(E465)*(E474+E479/4*(E467*(-1+2*E474*E474)-E479/6*E474*(-3+4*E465)*(-3+4*E474*E474)))</f>
        <v>0</v>
      </c>
      <c r="F481" s="485"/>
      <c r="G481" s="460"/>
      <c r="H481" s="460"/>
      <c r="I481" s="447"/>
    </row>
    <row r="482" spans="1:9" s="444" customFormat="1" ht="12.3" outlineLevel="1" x14ac:dyDescent="0.4">
      <c r="A482" s="447"/>
      <c r="B482" s="460"/>
      <c r="C482" s="485"/>
      <c r="D482" s="489"/>
      <c r="E482" s="460"/>
      <c r="F482" s="485"/>
      <c r="G482" s="460"/>
      <c r="H482" s="460"/>
      <c r="I482" s="447"/>
    </row>
    <row r="483" spans="1:9" s="444" customFormat="1" ht="12.3" outlineLevel="1" x14ac:dyDescent="0.4">
      <c r="A483" s="447"/>
      <c r="B483" s="147" t="s">
        <v>146</v>
      </c>
      <c r="C483" s="485"/>
      <c r="D483" s="494"/>
      <c r="E483" s="460"/>
      <c r="F483" s="485"/>
      <c r="G483" s="460"/>
      <c r="H483" s="460"/>
      <c r="I483" s="150"/>
    </row>
    <row r="484" spans="1:9" s="444" customFormat="1" ht="12.3" outlineLevel="1" x14ac:dyDescent="0.4">
      <c r="A484" s="447"/>
      <c r="B484" s="460" t="s">
        <v>11</v>
      </c>
      <c r="C484" s="485">
        <f>C451/16*COS(ASIN(C472))*COS(ASIN(C472))*(4+C451*(4-3*COS(ASIN(C472))*COS(ASIN(C472))))</f>
        <v>8.389052498964728E-4</v>
      </c>
      <c r="D484" s="494"/>
      <c r="E484" s="485">
        <f ca="1">C451/16*COS(ASIN(E472))*COS(ASIN(E472))*(4+C451*(4-3*COS(ASIN(E472))*COS(ASIN(E472))))</f>
        <v>8.389052498964728E-4</v>
      </c>
      <c r="F484" s="485"/>
      <c r="G484" s="460"/>
      <c r="H484" s="460"/>
      <c r="I484" s="150"/>
    </row>
    <row r="485" spans="1:9" s="444" customFormat="1" ht="12.3" outlineLevel="1" x14ac:dyDescent="0.4">
      <c r="A485" s="447"/>
      <c r="B485" s="147" t="s">
        <v>145</v>
      </c>
      <c r="C485" s="485"/>
      <c r="D485" s="494"/>
      <c r="E485" s="460"/>
      <c r="F485" s="485"/>
      <c r="G485" s="460"/>
      <c r="H485" s="460"/>
      <c r="I485" s="150"/>
    </row>
    <row r="486" spans="1:9" s="444" customFormat="1" ht="12.3" outlineLevel="1" x14ac:dyDescent="0.4">
      <c r="A486" s="447"/>
      <c r="B486" s="151" t="s">
        <v>144</v>
      </c>
      <c r="C486" s="485">
        <f>C452+(1-C484)*C451*C472*(ACOS(C467)+C484*SIN(ACOS(C467))*(C474+C484*C467*(-1+2*C474*C474)))</f>
        <v>0</v>
      </c>
      <c r="D486" s="494"/>
      <c r="E486" s="495">
        <f ca="1">C452+(1-E484)*C451*E472*(ACOS(E467)+E484*SIN(ACOS(E467))*(E474+E484*E467*(-1+2*E474*E474)))</f>
        <v>0</v>
      </c>
      <c r="F486" s="485"/>
      <c r="G486" s="460"/>
      <c r="H486" s="460"/>
      <c r="I486" s="150"/>
    </row>
    <row r="487" spans="1:9" s="444" customFormat="1" ht="12.3" outlineLevel="1" x14ac:dyDescent="0.4">
      <c r="A487" s="447"/>
      <c r="B487" s="149" t="s">
        <v>143</v>
      </c>
      <c r="C487" s="485"/>
      <c r="D487" s="494"/>
      <c r="E487" s="148"/>
      <c r="F487" s="485"/>
      <c r="G487" s="460"/>
      <c r="H487" s="460"/>
      <c r="I487" s="496"/>
    </row>
    <row r="488" spans="1:9" s="444" customFormat="1" ht="12.3" outlineLevel="1" x14ac:dyDescent="0.4">
      <c r="A488" s="447"/>
      <c r="B488" s="460" t="s">
        <v>142</v>
      </c>
      <c r="C488" s="485">
        <f>IF(B503="samepoint",0,C450*C477*(ATAN(C469)-C481))</f>
        <v>0</v>
      </c>
      <c r="D488" s="494"/>
      <c r="E488" s="485">
        <f>IF(B503="samepoint",0,C450*E477*(E470-E481))</f>
        <v>0</v>
      </c>
      <c r="F488" s="460"/>
      <c r="G488" s="460"/>
      <c r="H488" s="460"/>
      <c r="I488" s="496"/>
    </row>
    <row r="489" spans="1:9" s="444" customFormat="1" ht="12.3" outlineLevel="1" x14ac:dyDescent="0.4">
      <c r="A489" s="447"/>
      <c r="B489" s="147" t="s">
        <v>141</v>
      </c>
      <c r="C489" s="485"/>
      <c r="D489" s="494"/>
      <c r="E489" s="485"/>
      <c r="F489" s="460"/>
      <c r="G489" s="460"/>
      <c r="H489" s="460"/>
      <c r="I489" s="496"/>
    </row>
    <row r="490" spans="1:9" s="444" customFormat="1" ht="16.2" outlineLevel="1" x14ac:dyDescent="0.65">
      <c r="A490" s="447"/>
      <c r="B490" s="460" t="s">
        <v>140</v>
      </c>
      <c r="C490" s="485"/>
      <c r="D490" s="494"/>
      <c r="E490" s="485" t="e">
        <f ca="1">C461*SIN(E486)/(C457*C460-C456*C461*COS(E486))</f>
        <v>#DIV/0!</v>
      </c>
      <c r="F490" s="460"/>
      <c r="G490" s="460"/>
      <c r="H490" s="460"/>
      <c r="I490" s="496"/>
    </row>
    <row r="491" spans="1:9" s="444" customFormat="1" ht="12.3" outlineLevel="1" x14ac:dyDescent="0.4">
      <c r="A491" s="447"/>
      <c r="B491" s="147" t="s">
        <v>139</v>
      </c>
      <c r="C491" s="485"/>
      <c r="D491" s="494"/>
      <c r="E491" s="485"/>
      <c r="F491" s="460"/>
      <c r="G491" s="460"/>
      <c r="H491" s="460"/>
      <c r="I491" s="496"/>
    </row>
    <row r="492" spans="1:9" s="444" customFormat="1" ht="16.8" outlineLevel="1" x14ac:dyDescent="0.7">
      <c r="A492" s="447"/>
      <c r="B492" s="460" t="s">
        <v>138</v>
      </c>
      <c r="C492" s="485"/>
      <c r="D492" s="494"/>
      <c r="E492" s="485" t="e">
        <f>C457*SIN(C486)/(-C456*C461+C457*C460*COS(C486))</f>
        <v>#DIV/0!</v>
      </c>
      <c r="F492" s="460"/>
      <c r="G492" s="460"/>
      <c r="H492" s="460"/>
      <c r="I492" s="496"/>
    </row>
    <row r="493" spans="1:9" s="444" customFormat="1" ht="12.3" outlineLevel="1" x14ac:dyDescent="0.4">
      <c r="A493" s="447"/>
      <c r="B493" s="460"/>
      <c r="C493" s="485"/>
      <c r="D493" s="494"/>
      <c r="E493" s="460"/>
      <c r="F493" s="485"/>
      <c r="G493" s="460"/>
      <c r="H493" s="460"/>
      <c r="I493" s="496"/>
    </row>
    <row r="494" spans="1:9" s="444" customFormat="1" ht="12.3" outlineLevel="1" x14ac:dyDescent="0.4">
      <c r="A494" s="447"/>
      <c r="B494" s="460"/>
      <c r="C494" s="497"/>
      <c r="D494" s="447"/>
      <c r="E494" s="460"/>
      <c r="F494" s="485"/>
      <c r="G494" s="460"/>
      <c r="H494" s="460"/>
      <c r="I494" s="496"/>
    </row>
    <row r="495" spans="1:9" s="444" customFormat="1" ht="12.3" outlineLevel="1" x14ac:dyDescent="0.4">
      <c r="A495" s="447"/>
      <c r="B495" s="460"/>
      <c r="C495" s="460"/>
      <c r="D495" s="447"/>
      <c r="E495" s="489"/>
      <c r="F495" s="494"/>
      <c r="G495" s="460"/>
      <c r="H495" s="460"/>
      <c r="I495" s="496"/>
    </row>
    <row r="496" spans="1:9" s="444" customFormat="1" ht="12.3" outlineLevel="1" x14ac:dyDescent="0.4">
      <c r="A496" s="447"/>
      <c r="B496" s="146" t="s">
        <v>137</v>
      </c>
      <c r="C496" s="146"/>
      <c r="D496" s="489"/>
      <c r="E496" s="146" t="s">
        <v>136</v>
      </c>
      <c r="F496" s="146"/>
      <c r="G496" s="460"/>
      <c r="H496" s="460"/>
      <c r="I496" s="496"/>
    </row>
    <row r="497" spans="1:10" s="444" customFormat="1" ht="14.7" outlineLevel="1" x14ac:dyDescent="0.6">
      <c r="A497" s="447"/>
      <c r="B497" s="145" t="s">
        <v>417</v>
      </c>
      <c r="C497" s="485" t="e">
        <f ca="1">ATAN(E490)</f>
        <v>#DIV/0!</v>
      </c>
      <c r="D497" s="447"/>
      <c r="E497" s="145" t="s">
        <v>418</v>
      </c>
      <c r="F497" s="485" t="e">
        <f>ATAN(E492)</f>
        <v>#DIV/0!</v>
      </c>
      <c r="G497" s="460"/>
      <c r="H497" s="460"/>
      <c r="I497" s="496" t="e">
        <f>ATAN2(E446-E444,E447-E445)*180/PI()</f>
        <v>#DIV/0!</v>
      </c>
      <c r="J497" s="496" t="e">
        <f>ATAN2(E444-E446,E445-E447)*180/PI()</f>
        <v>#DIV/0!</v>
      </c>
    </row>
    <row r="498" spans="1:10" s="444" customFormat="1" ht="14.7" outlineLevel="1" x14ac:dyDescent="0.6">
      <c r="A498" s="447"/>
      <c r="B498" s="145" t="s">
        <v>419</v>
      </c>
      <c r="C498" s="485" t="e">
        <f ca="1">(C497/PI())*180+360</f>
        <v>#DIV/0!</v>
      </c>
      <c r="D498" s="447"/>
      <c r="E498" s="145" t="s">
        <v>420</v>
      </c>
      <c r="F498" s="485" t="e">
        <f>(F497/PI())*180+180</f>
        <v>#DIV/0!</v>
      </c>
      <c r="G498" s="460"/>
      <c r="H498" s="460"/>
      <c r="I498" s="496" t="e">
        <f>IF(I497&lt;0,C497*180/PI()+360,C497*180/PI())</f>
        <v>#DIV/0!</v>
      </c>
      <c r="J498" s="498" t="e">
        <f>IF(J497&gt;0,F497*180/PI()+180,F497*180/PI())</f>
        <v>#DIV/0!</v>
      </c>
    </row>
    <row r="499" spans="1:10" s="444" customFormat="1" ht="14.7" outlineLevel="1" x14ac:dyDescent="0.6">
      <c r="A499" s="447"/>
      <c r="B499" s="145" t="s">
        <v>419</v>
      </c>
      <c r="C499" s="485" t="e">
        <f ca="1">IF(C498&gt;=360,C498-360,C498)</f>
        <v>#DIV/0!</v>
      </c>
      <c r="D499" s="447"/>
      <c r="E499" s="145" t="s">
        <v>420</v>
      </c>
      <c r="F499" s="485" t="e">
        <f>IF(F498&gt;=360,F498-360,F498)</f>
        <v>#DIV/0!</v>
      </c>
      <c r="G499" s="460"/>
      <c r="H499" s="460"/>
      <c r="I499" s="496" t="e">
        <f ca="1">ATAN2((C457*C460-C456*C461*COS(E486)),C461*SIN(E486))</f>
        <v>#DIV/0!</v>
      </c>
      <c r="J499" s="485" t="e">
        <f ca="1">ATAN2((-C456*C461+C457*C460*COS(E486)),C457*SIN(E486))</f>
        <v>#DIV/0!</v>
      </c>
    </row>
    <row r="500" spans="1:10" s="444" customFormat="1" ht="14.7" outlineLevel="1" x14ac:dyDescent="0.6">
      <c r="A500" s="447"/>
      <c r="B500" s="145" t="s">
        <v>419</v>
      </c>
      <c r="C500" s="485">
        <f>IF(B503="samepoint",0,IF(B504="northsouth",0,IF(B505="southnorth",180,C499)))</f>
        <v>0</v>
      </c>
      <c r="D500" s="447"/>
      <c r="E500" s="145" t="s">
        <v>420</v>
      </c>
      <c r="F500" s="485">
        <f>IF(B503="samepoint",0,IF(B504="northsouth",180,IF(B505="southnorth",0,F499)))</f>
        <v>0</v>
      </c>
      <c r="G500" s="447"/>
      <c r="H500" s="447"/>
      <c r="I500" s="485">
        <f>IF(B503="samepoint",0,IF(B504="northsouth",0,IF(B505="southnorth",180,IF(I499&lt;0,I499*180/PI()+360,I499*180/PI()))))</f>
        <v>0</v>
      </c>
      <c r="J500" s="485">
        <f>IF(B503="samepoint",0,IF(B504="northsouth",180,IF(B505="southnorth",0,J499*180/PI()+180)))</f>
        <v>0</v>
      </c>
    </row>
    <row r="501" spans="1:10" s="444" customFormat="1" ht="12.3" outlineLevel="1" x14ac:dyDescent="0.4">
      <c r="A501" s="447"/>
      <c r="B501" s="145"/>
      <c r="C501" s="447"/>
      <c r="D501" s="447"/>
      <c r="E501" s="145"/>
      <c r="F501" s="447"/>
      <c r="G501" s="447"/>
      <c r="H501" s="447"/>
      <c r="I501" s="447"/>
    </row>
    <row r="502" spans="1:10" s="444" customFormat="1" ht="12.3" outlineLevel="1" x14ac:dyDescent="0.4">
      <c r="A502" s="447"/>
      <c r="B502" s="144" t="s">
        <v>135</v>
      </c>
      <c r="C502" s="144"/>
      <c r="D502" s="447"/>
      <c r="E502" s="447"/>
      <c r="F502" s="447"/>
      <c r="G502" s="447"/>
      <c r="H502" s="447"/>
      <c r="I502" s="447"/>
    </row>
    <row r="503" spans="1:10" s="444" customFormat="1" ht="12.3" outlineLevel="1" x14ac:dyDescent="0.4">
      <c r="A503" s="447"/>
      <c r="B503" s="447" t="str">
        <f>IF(AND(C444=C446,C445=C447),"samepoint","N.A. " )</f>
        <v>samepoint</v>
      </c>
      <c r="C503" s="447" t="s">
        <v>134</v>
      </c>
      <c r="D503" s="447"/>
      <c r="E503" s="447"/>
      <c r="F503" s="447"/>
      <c r="G503" s="447"/>
      <c r="H503" s="447"/>
      <c r="I503" s="447"/>
    </row>
    <row r="504" spans="1:10" s="444" customFormat="1" ht="12.3" outlineLevel="1" x14ac:dyDescent="0.4">
      <c r="A504" s="447"/>
      <c r="B504" s="447" t="str">
        <f>IF(AND(C445=C447,C446&gt;C444),"northsouth","N.A. ")</f>
        <v xml:space="preserve">N.A. </v>
      </c>
      <c r="C504" s="447" t="s">
        <v>133</v>
      </c>
      <c r="D504" s="447"/>
      <c r="E504" s="447"/>
      <c r="F504" s="447"/>
      <c r="G504" s="447"/>
      <c r="H504" s="447"/>
      <c r="I504" s="447"/>
    </row>
    <row r="505" spans="1:10" s="444" customFormat="1" ht="12.3" outlineLevel="1" x14ac:dyDescent="0.4">
      <c r="A505" s="447"/>
      <c r="B505" s="447" t="str">
        <f>IF(AND(C445=C447,C444&gt;C446),"southnorth","N.A. ")</f>
        <v xml:space="preserve">N.A. </v>
      </c>
      <c r="C505" s="447" t="s">
        <v>132</v>
      </c>
      <c r="D505" s="447"/>
      <c r="E505" s="447"/>
      <c r="F505" s="447"/>
      <c r="G505" s="447"/>
      <c r="H505" s="447"/>
      <c r="I505" s="447"/>
    </row>
    <row r="506" spans="1:10" s="444" customFormat="1" ht="12.3" x14ac:dyDescent="0.4">
      <c r="A506" s="447"/>
      <c r="B506" s="447"/>
      <c r="C506" s="447"/>
      <c r="D506" s="447"/>
      <c r="E506" s="447"/>
      <c r="F506" s="447"/>
      <c r="G506" s="447"/>
      <c r="H506" s="447"/>
      <c r="I506" s="447"/>
    </row>
    <row r="507" spans="1:10" s="444" customFormat="1" ht="15" x14ac:dyDescent="0.5">
      <c r="A507" s="447"/>
      <c r="B507" s="448" t="s">
        <v>187</v>
      </c>
      <c r="C507" s="448" t="s">
        <v>186</v>
      </c>
      <c r="D507" s="447"/>
      <c r="E507" s="447"/>
      <c r="F507" s="447"/>
      <c r="G507" s="447"/>
      <c r="H507" s="447"/>
      <c r="I507" s="447"/>
    </row>
    <row r="508" spans="1:10" s="444" customFormat="1" ht="17.399999999999999" x14ac:dyDescent="0.55000000000000004">
      <c r="A508" s="447"/>
      <c r="B508" s="449" t="s">
        <v>185</v>
      </c>
      <c r="C508" s="450" t="s">
        <v>391</v>
      </c>
      <c r="D508" s="451"/>
      <c r="E508" s="452"/>
      <c r="F508" s="453" t="s">
        <v>183</v>
      </c>
      <c r="G508" s="1074" t="s">
        <v>392</v>
      </c>
      <c r="H508" s="1074"/>
      <c r="I508" s="1075"/>
      <c r="J508" s="455"/>
    </row>
    <row r="509" spans="1:10" s="444" customFormat="1" ht="14.7" x14ac:dyDescent="0.6">
      <c r="A509" s="447"/>
      <c r="B509" s="158" t="s">
        <v>405</v>
      </c>
      <c r="C509" s="456">
        <f>G$437</f>
        <v>0</v>
      </c>
      <c r="D509" s="457">
        <f>H$437</f>
        <v>0</v>
      </c>
      <c r="E509" s="458"/>
      <c r="F509" s="157" t="s">
        <v>406</v>
      </c>
      <c r="G509" s="459">
        <f>IF(SUMMARY!B20="NO",0,IF(TPOrder!CI1=3,SUMMARY!$D$18,IF(TPOrder!CY1=3,SUMMARY!$D$24,IF(TPOrder!DO1=3,SUMMARY!$D$30,0))))</f>
        <v>0</v>
      </c>
      <c r="H509" s="457">
        <f>IF(SUMMARY!B20="NO",0,IF(TPOrder!CI1=3,SUMMARY!$E$18,IF(TPOrder!CY1=3,SUMMARY!$E$24,IF(TPOrder!DO1=3,SUMMARY!$E$30,0))))</f>
        <v>0</v>
      </c>
      <c r="I509" s="458"/>
      <c r="J509" s="460"/>
    </row>
    <row r="510" spans="1:10" s="444" customFormat="1" ht="14.7" x14ac:dyDescent="0.6">
      <c r="A510" s="447"/>
      <c r="B510" s="158" t="s">
        <v>407</v>
      </c>
      <c r="C510" s="461">
        <f>G$438</f>
        <v>0</v>
      </c>
      <c r="D510" s="462">
        <f>H$438</f>
        <v>0</v>
      </c>
      <c r="E510" s="463"/>
      <c r="F510" s="157" t="s">
        <v>408</v>
      </c>
      <c r="G510" s="459">
        <f>IF(SUMMARY!B20="NO",0,IF(TPOrder!CI1=3,SUMMARY!$D$20,IF(TPOrder!CY1=3,SUMMARY!$D$26,IF(TPOrder!DO1=3,SUMMARY!$D$32,0))))</f>
        <v>0</v>
      </c>
      <c r="H510" s="457">
        <f>IF(SUMMARY!B20="NO",0,IF(TPOrder!CI1=3,SUMMARY!$E$20,IF(TPOrder!CY1=3,SUMMARY!$E$26,IF(TPOrder!DO1=3,SUMMARY!$E$32,0))))</f>
        <v>0</v>
      </c>
      <c r="I510" s="458"/>
    </row>
    <row r="511" spans="1:10" s="444" customFormat="1" ht="12.3" x14ac:dyDescent="0.4">
      <c r="A511" s="447"/>
      <c r="B511" s="464" t="s">
        <v>180</v>
      </c>
      <c r="C511" s="465">
        <f>E560</f>
        <v>0</v>
      </c>
      <c r="D511" s="466"/>
      <c r="E511" s="467"/>
      <c r="F511" s="500"/>
      <c r="G511" s="468"/>
      <c r="H511" s="468"/>
      <c r="I511" s="156" t="s">
        <v>179</v>
      </c>
      <c r="J511" s="447"/>
    </row>
    <row r="512" spans="1:10" s="444" customFormat="1" ht="14.7" x14ac:dyDescent="0.6">
      <c r="A512" s="447"/>
      <c r="B512" s="464" t="s">
        <v>409</v>
      </c>
      <c r="C512" s="469">
        <f>I572</f>
        <v>0</v>
      </c>
      <c r="D512" s="470"/>
      <c r="E512" s="471"/>
      <c r="F512" s="501"/>
      <c r="G512" s="472"/>
      <c r="H512" s="473"/>
      <c r="J512" s="474"/>
    </row>
    <row r="513" spans="1:9" s="444" customFormat="1" ht="14.7" x14ac:dyDescent="0.6">
      <c r="A513" s="447"/>
      <c r="B513" s="475" t="s">
        <v>410</v>
      </c>
      <c r="C513" s="476">
        <f>J572</f>
        <v>0</v>
      </c>
      <c r="D513" s="477"/>
      <c r="E513" s="478"/>
      <c r="F513" s="502">
        <f>IF(AND(C509=0=FALSE,G509=0=FALSE),C511/1000,0)</f>
        <v>0</v>
      </c>
      <c r="G513" s="447" t="s">
        <v>178</v>
      </c>
      <c r="H513" s="447"/>
    </row>
    <row r="514" spans="1:9" s="444" customFormat="1" ht="12.3" x14ac:dyDescent="0.4">
      <c r="A514" s="447"/>
      <c r="B514" s="460"/>
      <c r="C514" s="487"/>
      <c r="D514" s="489"/>
      <c r="E514" s="489"/>
      <c r="F514" s="447"/>
      <c r="G514" s="460"/>
    </row>
    <row r="515" spans="1:9" s="444" customFormat="1" ht="12.3" outlineLevel="1" x14ac:dyDescent="0.4">
      <c r="A515" s="447"/>
      <c r="B515" s="447"/>
      <c r="C515" s="503" t="s">
        <v>177</v>
      </c>
      <c r="D515" s="504"/>
      <c r="E515" s="503" t="s">
        <v>85</v>
      </c>
      <c r="F515" s="447"/>
      <c r="G515" s="460"/>
      <c r="H515" s="460"/>
      <c r="I515" s="447"/>
    </row>
    <row r="516" spans="1:9" s="444" customFormat="1" ht="14.7" outlineLevel="1" x14ac:dyDescent="0.6">
      <c r="A516" s="447"/>
      <c r="B516" s="460" t="s">
        <v>411</v>
      </c>
      <c r="C516" s="485">
        <f>C509+D509/60</f>
        <v>0</v>
      </c>
      <c r="D516" s="447"/>
      <c r="E516" s="485">
        <f>C516*PI()/180</f>
        <v>0</v>
      </c>
      <c r="F516" s="447"/>
      <c r="G516" s="460"/>
      <c r="H516" s="460"/>
      <c r="I516" s="447"/>
    </row>
    <row r="517" spans="1:9" s="444" customFormat="1" ht="14.7" outlineLevel="1" x14ac:dyDescent="0.6">
      <c r="A517" s="447"/>
      <c r="B517" s="460" t="s">
        <v>412</v>
      </c>
      <c r="C517" s="485">
        <f>C510+D510/60</f>
        <v>0</v>
      </c>
      <c r="D517" s="447"/>
      <c r="E517" s="485">
        <f>C517*PI()/180</f>
        <v>0</v>
      </c>
      <c r="F517" s="447"/>
      <c r="G517" s="460"/>
      <c r="H517" s="485"/>
      <c r="I517" s="447"/>
    </row>
    <row r="518" spans="1:9" s="444" customFormat="1" ht="14.7" outlineLevel="1" x14ac:dyDescent="0.6">
      <c r="A518" s="447"/>
      <c r="B518" s="460" t="s">
        <v>413</v>
      </c>
      <c r="C518" s="485">
        <f>G509+H509/60</f>
        <v>0</v>
      </c>
      <c r="D518" s="447"/>
      <c r="E518" s="485">
        <f>C518*PI()/180</f>
        <v>0</v>
      </c>
      <c r="F518" s="447"/>
      <c r="G518" s="460"/>
      <c r="H518" s="460"/>
      <c r="I518" s="447"/>
    </row>
    <row r="519" spans="1:9" s="444" customFormat="1" ht="14.7" outlineLevel="1" x14ac:dyDescent="0.6">
      <c r="A519" s="447"/>
      <c r="B519" s="460" t="s">
        <v>414</v>
      </c>
      <c r="C519" s="485">
        <f>G510+H510/60</f>
        <v>0</v>
      </c>
      <c r="D519" s="447"/>
      <c r="E519" s="485">
        <f>C519*PI()/180</f>
        <v>0</v>
      </c>
      <c r="F519" s="447"/>
      <c r="G519" s="460"/>
      <c r="H519" s="485"/>
      <c r="I519" s="447"/>
    </row>
    <row r="520" spans="1:9" s="444" customFormat="1" ht="12.3" outlineLevel="1" x14ac:dyDescent="0.4">
      <c r="A520" s="447"/>
      <c r="B520" s="485"/>
      <c r="C520" s="485"/>
      <c r="D520" s="485"/>
      <c r="E520" s="485"/>
      <c r="F520" s="447"/>
      <c r="G520" s="460"/>
      <c r="H520" s="485"/>
      <c r="I520" s="447"/>
    </row>
    <row r="521" spans="1:9" s="444" customFormat="1" ht="12.3" outlineLevel="1" x14ac:dyDescent="0.4">
      <c r="A521" s="447"/>
      <c r="B521" s="460" t="s">
        <v>176</v>
      </c>
      <c r="C521" s="487">
        <v>6378137</v>
      </c>
      <c r="D521" s="488"/>
      <c r="E521" s="489" t="s">
        <v>175</v>
      </c>
      <c r="F521" s="485">
        <f>C523+C523*C523</f>
        <v>3.3640520041011246E-3</v>
      </c>
      <c r="G521" s="460"/>
      <c r="H521" s="460"/>
      <c r="I521" s="447"/>
    </row>
    <row r="522" spans="1:9" s="444" customFormat="1" ht="12.3" outlineLevel="1" x14ac:dyDescent="0.4">
      <c r="A522" s="447"/>
      <c r="B522" s="489" t="s">
        <v>174</v>
      </c>
      <c r="C522" s="487">
        <v>6356752.3142451793</v>
      </c>
      <c r="D522" s="488"/>
      <c r="E522" s="489" t="s">
        <v>173</v>
      </c>
      <c r="F522" s="485">
        <f>F521/2</f>
        <v>1.6820260020505623E-3</v>
      </c>
      <c r="G522" s="460"/>
      <c r="H522" s="460"/>
      <c r="I522" s="447"/>
    </row>
    <row r="523" spans="1:9" s="444" customFormat="1" ht="12.3" outlineLevel="1" x14ac:dyDescent="0.4">
      <c r="A523" s="447"/>
      <c r="B523" s="489" t="s">
        <v>172</v>
      </c>
      <c r="C523" s="485">
        <v>3.3528106647474801E-3</v>
      </c>
      <c r="D523" s="489"/>
      <c r="E523" s="489" t="s">
        <v>171</v>
      </c>
      <c r="F523" s="485">
        <f>C523*C523/2</f>
        <v>5.6206696768222199E-6</v>
      </c>
      <c r="G523" s="460"/>
      <c r="H523" s="460"/>
      <c r="I523" s="447"/>
    </row>
    <row r="524" spans="1:9" s="444" customFormat="1" ht="12.3" outlineLevel="1" x14ac:dyDescent="0.4">
      <c r="A524" s="447"/>
      <c r="B524" s="460" t="s">
        <v>415</v>
      </c>
      <c r="C524" s="485">
        <f>E519-E517</f>
        <v>0</v>
      </c>
      <c r="D524" s="447"/>
      <c r="E524" s="447" t="s">
        <v>170</v>
      </c>
      <c r="F524" s="485">
        <f>C523*C523/8</f>
        <v>1.405167419205555E-6</v>
      </c>
      <c r="G524" s="460"/>
      <c r="H524" s="460"/>
      <c r="I524" s="447"/>
    </row>
    <row r="525" spans="1:9" s="444" customFormat="1" ht="12.3" outlineLevel="1" x14ac:dyDescent="0.4">
      <c r="A525" s="447"/>
      <c r="B525" s="447"/>
      <c r="C525" s="447"/>
      <c r="D525" s="447"/>
      <c r="E525" s="489" t="s">
        <v>169</v>
      </c>
      <c r="F525" s="485">
        <f>C523*C523/16</f>
        <v>7.0258370960277749E-7</v>
      </c>
      <c r="G525" s="460"/>
      <c r="H525" s="460"/>
      <c r="I525" s="447"/>
    </row>
    <row r="526" spans="1:9" s="444" customFormat="1" ht="12.3" outlineLevel="1" x14ac:dyDescent="0.4">
      <c r="A526" s="447"/>
      <c r="B526" s="447" t="s">
        <v>168</v>
      </c>
      <c r="C526" s="490">
        <f>(1-C523)*TAN(E516)</f>
        <v>0</v>
      </c>
      <c r="D526" s="447"/>
      <c r="E526" s="489"/>
      <c r="F526" s="460"/>
      <c r="G526" s="460"/>
      <c r="H526" s="460"/>
      <c r="I526" s="447"/>
    </row>
    <row r="527" spans="1:9" s="444" customFormat="1" ht="12.3" outlineLevel="1" x14ac:dyDescent="0.4">
      <c r="A527" s="447"/>
      <c r="B527" s="460" t="s">
        <v>106</v>
      </c>
      <c r="C527" s="485">
        <f>ATAN(C526)</f>
        <v>0</v>
      </c>
      <c r="D527" s="489"/>
      <c r="E527" s="148"/>
      <c r="F527" s="485"/>
      <c r="G527" s="460"/>
      <c r="H527" s="460"/>
      <c r="I527" s="447"/>
    </row>
    <row r="528" spans="1:9" s="444" customFormat="1" ht="12.3" outlineLevel="1" x14ac:dyDescent="0.4">
      <c r="A528" s="447"/>
      <c r="B528" s="460" t="s">
        <v>167</v>
      </c>
      <c r="C528" s="485">
        <f>SIN(C527)</f>
        <v>0</v>
      </c>
      <c r="D528" s="489"/>
      <c r="E528" s="148"/>
      <c r="F528" s="485"/>
      <c r="G528" s="460"/>
      <c r="H528" s="460"/>
      <c r="I528" s="447"/>
    </row>
    <row r="529" spans="1:9" s="444" customFormat="1" ht="12.3" outlineLevel="1" x14ac:dyDescent="0.4">
      <c r="A529" s="447"/>
      <c r="B529" s="460" t="s">
        <v>166</v>
      </c>
      <c r="C529" s="485">
        <f>COS(C527)</f>
        <v>1</v>
      </c>
      <c r="D529" s="489"/>
      <c r="E529" s="460"/>
      <c r="F529" s="485"/>
      <c r="G529" s="460"/>
      <c r="H529" s="460"/>
      <c r="I529" s="447"/>
    </row>
    <row r="530" spans="1:9" s="444" customFormat="1" ht="12.3" outlineLevel="1" x14ac:dyDescent="0.4">
      <c r="A530" s="447"/>
      <c r="B530" s="460" t="s">
        <v>165</v>
      </c>
      <c r="C530" s="491">
        <f>(1-C523)*TAN(E518)</f>
        <v>0</v>
      </c>
      <c r="D530" s="489"/>
      <c r="E530" s="460"/>
      <c r="F530" s="485"/>
      <c r="G530" s="460"/>
      <c r="H530" s="460"/>
      <c r="I530" s="447"/>
    </row>
    <row r="531" spans="1:9" s="444" customFormat="1" ht="12.3" outlineLevel="1" x14ac:dyDescent="0.4">
      <c r="A531" s="447"/>
      <c r="B531" s="460" t="s">
        <v>164</v>
      </c>
      <c r="C531" s="485">
        <f>ATAN(C530)</f>
        <v>0</v>
      </c>
      <c r="D531" s="489"/>
      <c r="E531" s="460"/>
      <c r="F531" s="485"/>
      <c r="G531" s="460"/>
      <c r="H531" s="460"/>
      <c r="I531" s="447"/>
    </row>
    <row r="532" spans="1:9" s="444" customFormat="1" ht="12.3" outlineLevel="1" x14ac:dyDescent="0.4">
      <c r="A532" s="447"/>
      <c r="B532" s="460" t="s">
        <v>163</v>
      </c>
      <c r="C532" s="485">
        <f>SIN(C531)</f>
        <v>0</v>
      </c>
      <c r="D532" s="489"/>
      <c r="E532" s="460"/>
      <c r="F532" s="485"/>
      <c r="G532" s="460"/>
      <c r="H532" s="460"/>
      <c r="I532" s="447"/>
    </row>
    <row r="533" spans="1:9" s="444" customFormat="1" ht="12.3" outlineLevel="1" x14ac:dyDescent="0.4">
      <c r="A533" s="447"/>
      <c r="B533" s="460" t="s">
        <v>162</v>
      </c>
      <c r="C533" s="485">
        <f>COS(C531)</f>
        <v>1</v>
      </c>
      <c r="D533" s="489"/>
      <c r="E533" s="460"/>
      <c r="F533" s="485"/>
      <c r="G533" s="460"/>
      <c r="H533" s="460"/>
      <c r="I533" s="447"/>
    </row>
    <row r="534" spans="1:9" s="444" customFormat="1" ht="12.3" outlineLevel="1" x14ac:dyDescent="0.4">
      <c r="A534" s="447"/>
      <c r="B534" s="147" t="s">
        <v>161</v>
      </c>
      <c r="C534" s="485"/>
      <c r="D534" s="489"/>
      <c r="E534" s="460"/>
      <c r="F534" s="485"/>
      <c r="G534" s="460"/>
      <c r="H534" s="460"/>
      <c r="I534" s="447"/>
    </row>
    <row r="535" spans="1:9" s="444" customFormat="1" ht="12.3" outlineLevel="1" x14ac:dyDescent="0.4">
      <c r="A535" s="447"/>
      <c r="B535" s="148" t="s">
        <v>144</v>
      </c>
      <c r="C535" s="485">
        <f>C524</f>
        <v>0</v>
      </c>
      <c r="D535" s="489"/>
      <c r="E535" s="485">
        <f ca="1">E558</f>
        <v>0</v>
      </c>
      <c r="F535" s="485"/>
      <c r="G535" s="460"/>
      <c r="H535" s="460"/>
      <c r="I535" s="447"/>
    </row>
    <row r="536" spans="1:9" s="444" customFormat="1" ht="12.3" outlineLevel="1" x14ac:dyDescent="0.4">
      <c r="A536" s="447"/>
      <c r="B536" s="147" t="s">
        <v>160</v>
      </c>
      <c r="C536" s="485"/>
      <c r="D536" s="489"/>
      <c r="E536" s="460"/>
      <c r="F536" s="485"/>
      <c r="G536" s="460"/>
      <c r="H536" s="460"/>
      <c r="I536" s="447"/>
    </row>
    <row r="537" spans="1:9" s="444" customFormat="1" ht="13.8" outlineLevel="1" x14ac:dyDescent="0.4">
      <c r="A537" s="447"/>
      <c r="B537" s="460" t="s">
        <v>159</v>
      </c>
      <c r="C537" s="485">
        <f>(C533*SIN(C535)*C533*SIN(C535))+(C529*C532-C528*C533*COS(C535))*(C529*C532-C528*C533*COS(C535))</f>
        <v>0</v>
      </c>
      <c r="D537" s="489"/>
      <c r="E537" s="485">
        <f ca="1">(C533*SIN(E535)*C533*SIN(E535))+(C529*C532-C528*C533*COS(E535))*(C529*C532-C528*C533*COS(E535))</f>
        <v>0</v>
      </c>
      <c r="F537" s="485"/>
      <c r="G537" s="460"/>
      <c r="H537" s="460"/>
      <c r="I537" s="447"/>
    </row>
    <row r="538" spans="1:9" s="444" customFormat="1" ht="12.3" outlineLevel="1" x14ac:dyDescent="0.4">
      <c r="A538" s="447"/>
      <c r="B538" s="154" t="s">
        <v>158</v>
      </c>
      <c r="C538" s="485"/>
      <c r="D538" s="489"/>
      <c r="E538" s="489"/>
      <c r="F538" s="485"/>
      <c r="G538" s="460"/>
      <c r="H538" s="460"/>
      <c r="I538" s="447"/>
    </row>
    <row r="539" spans="1:9" s="444" customFormat="1" ht="12.3" outlineLevel="1" x14ac:dyDescent="0.4">
      <c r="A539" s="447"/>
      <c r="B539" s="447" t="s">
        <v>157</v>
      </c>
      <c r="C539" s="447">
        <f>(C528*C532)+(C529*C533*COS(C535))</f>
        <v>1</v>
      </c>
      <c r="D539" s="447"/>
      <c r="E539" s="447">
        <f ca="1">(C528*C532)+(C529*C533*COS(E535))</f>
        <v>1</v>
      </c>
      <c r="F539" s="447"/>
      <c r="G539" s="460"/>
      <c r="H539" s="460"/>
      <c r="I539" s="447"/>
    </row>
    <row r="540" spans="1:9" s="444" customFormat="1" ht="12.3" outlineLevel="1" x14ac:dyDescent="0.4">
      <c r="A540" s="447"/>
      <c r="B540" s="153" t="s">
        <v>156</v>
      </c>
      <c r="C540" s="489"/>
      <c r="D540" s="489"/>
      <c r="E540" s="489"/>
      <c r="F540" s="460"/>
      <c r="G540" s="460"/>
      <c r="H540" s="460"/>
      <c r="I540" s="447"/>
    </row>
    <row r="541" spans="1:9" s="444" customFormat="1" ht="12.3" outlineLevel="1" x14ac:dyDescent="0.4">
      <c r="A541" s="447"/>
      <c r="B541" s="460" t="s">
        <v>155</v>
      </c>
      <c r="C541" s="485">
        <f>SQRT(C537)/C539</f>
        <v>0</v>
      </c>
      <c r="D541" s="489"/>
      <c r="E541" s="485">
        <f ca="1">SQRT(E537)/E539</f>
        <v>0</v>
      </c>
      <c r="F541" s="485"/>
      <c r="G541" s="447"/>
      <c r="H541" s="447"/>
      <c r="I541" s="492"/>
    </row>
    <row r="542" spans="1:9" s="444" customFormat="1" ht="12.3" outlineLevel="1" x14ac:dyDescent="0.4">
      <c r="A542" s="447"/>
      <c r="B542" s="148" t="s">
        <v>142</v>
      </c>
      <c r="C542" s="485">
        <f>ATAN(C541)</f>
        <v>0</v>
      </c>
      <c r="D542" s="489"/>
      <c r="E542" s="485">
        <f ca="1">IF(ATAN(E541)&lt;0,ATAN(E541)+PI(),ATAN(E541))</f>
        <v>0</v>
      </c>
      <c r="F542" s="485"/>
      <c r="G542" s="447"/>
      <c r="H542" s="447"/>
      <c r="I542" s="492"/>
    </row>
    <row r="543" spans="1:9" s="444" customFormat="1" ht="12.3" outlineLevel="1" x14ac:dyDescent="0.4">
      <c r="A543" s="447"/>
      <c r="B543" s="147" t="s">
        <v>154</v>
      </c>
      <c r="C543" s="485"/>
      <c r="D543" s="489"/>
      <c r="E543" s="460"/>
      <c r="F543" s="485"/>
      <c r="G543" s="447"/>
      <c r="H543" s="447"/>
      <c r="I543" s="492"/>
    </row>
    <row r="544" spans="1:9" s="444" customFormat="1" ht="12.3" outlineLevel="1" x14ac:dyDescent="0.4">
      <c r="A544" s="447"/>
      <c r="B544" s="460" t="s">
        <v>153</v>
      </c>
      <c r="C544" s="485">
        <f>IF(C537=0,0,C529*C533*SIN(C535)/SQRT(C537))</f>
        <v>0</v>
      </c>
      <c r="D544" s="489"/>
      <c r="E544" s="485">
        <f ca="1">IF(E537=0,0,C529*C533*SIN(E535)/SQRT(E537))</f>
        <v>0</v>
      </c>
      <c r="F544" s="485"/>
      <c r="G544" s="460"/>
      <c r="H544" s="460"/>
      <c r="I544" s="492"/>
    </row>
    <row r="545" spans="1:9" s="444" customFormat="1" ht="12.3" outlineLevel="1" x14ac:dyDescent="0.4">
      <c r="A545" s="447"/>
      <c r="B545" s="147" t="s">
        <v>152</v>
      </c>
      <c r="C545" s="485"/>
      <c r="D545" s="489"/>
      <c r="E545" s="489"/>
      <c r="F545" s="485"/>
      <c r="G545" s="460"/>
      <c r="H545" s="460"/>
      <c r="I545" s="447"/>
    </row>
    <row r="546" spans="1:9" s="444" customFormat="1" ht="16.2" outlineLevel="1" x14ac:dyDescent="0.65">
      <c r="A546" s="447"/>
      <c r="B546" s="447" t="s">
        <v>416</v>
      </c>
      <c r="C546" s="447">
        <f>IF((COS(ASIN(C544))*COS(ASIN(C544)))=0,0,C539-2*C528*C532/(COS(ASIN(C544))*COS(ASIN(C544))))</f>
        <v>1</v>
      </c>
      <c r="D546" s="489"/>
      <c r="E546" s="447">
        <f ca="1">E539-2*C528*C532/(COS(ASIN(E544))*COS(ASIN(E544)))</f>
        <v>1</v>
      </c>
      <c r="F546" s="460"/>
      <c r="G546" s="460"/>
      <c r="H546" s="460"/>
      <c r="I546" s="447"/>
    </row>
    <row r="547" spans="1:9" s="444" customFormat="1" ht="15.9" outlineLevel="1" x14ac:dyDescent="0.45">
      <c r="A547" s="447"/>
      <c r="B547" s="447" t="s">
        <v>151</v>
      </c>
      <c r="C547" s="487">
        <f>COS(ASIN(C544))*COS(ASIN(C544))*(C521*C521-C522*C522)/(C522*C522)</f>
        <v>6.7394967422764341E-3</v>
      </c>
      <c r="D547" s="489"/>
      <c r="E547" s="487">
        <f ca="1">COS(ASIN(E544))*COS(ASIN(E544))*(C521*C521-C522*C522)/(C522*C522)</f>
        <v>6.7394967422764341E-3</v>
      </c>
      <c r="F547" s="447"/>
      <c r="G547" s="460"/>
      <c r="H547" s="460"/>
      <c r="I547" s="447"/>
    </row>
    <row r="548" spans="1:9" s="444" customFormat="1" ht="12.3" outlineLevel="1" x14ac:dyDescent="0.4">
      <c r="A548" s="447"/>
      <c r="B548" s="152" t="s">
        <v>150</v>
      </c>
      <c r="C548" s="485"/>
      <c r="D548" s="489"/>
      <c r="E548" s="460"/>
      <c r="F548" s="485"/>
      <c r="G548" s="460"/>
      <c r="H548" s="460"/>
      <c r="I548" s="447"/>
    </row>
    <row r="549" spans="1:9" s="444" customFormat="1" ht="12.3" outlineLevel="1" x14ac:dyDescent="0.4">
      <c r="A549" s="447"/>
      <c r="B549" s="460" t="s">
        <v>9</v>
      </c>
      <c r="C549" s="485">
        <f>1+C547/16384*(4096+C547*(-768+C547*(320-175*C547)))</f>
        <v>1.0016827510415456</v>
      </c>
      <c r="D549" s="489"/>
      <c r="E549" s="485">
        <f ca="1">1+E547/16384*(4096+E547*(-768+E547*(320-175*E547)))</f>
        <v>1.0016827510415456</v>
      </c>
      <c r="F549" s="485"/>
      <c r="G549" s="460"/>
      <c r="H549" s="460"/>
      <c r="I549" s="447"/>
    </row>
    <row r="550" spans="1:9" s="444" customFormat="1" ht="12.3" outlineLevel="1" x14ac:dyDescent="0.4">
      <c r="A550" s="447"/>
      <c r="B550" s="147" t="s">
        <v>149</v>
      </c>
      <c r="C550" s="485"/>
      <c r="D550" s="489"/>
      <c r="E550" s="460"/>
      <c r="F550" s="485"/>
      <c r="G550" s="460"/>
      <c r="H550" s="460"/>
      <c r="I550" s="490"/>
    </row>
    <row r="551" spans="1:9" s="444" customFormat="1" ht="12.3" outlineLevel="1" x14ac:dyDescent="0.4">
      <c r="A551" s="447"/>
      <c r="B551" s="460" t="s">
        <v>10</v>
      </c>
      <c r="C551" s="485">
        <f>C547/1024*(256+C547*(-128+C547*(74-47*C547)))</f>
        <v>1.6792186103152505E-3</v>
      </c>
      <c r="D551" s="489"/>
      <c r="E551" s="485">
        <f ca="1">E547/1024*(256+E547*(-128+E547*(74-47*E547)))</f>
        <v>1.6792186103152505E-3</v>
      </c>
      <c r="F551" s="485"/>
      <c r="G551" s="460"/>
      <c r="H551" s="460"/>
      <c r="I551" s="447"/>
    </row>
    <row r="552" spans="1:9" s="444" customFormat="1" ht="12.3" outlineLevel="1" x14ac:dyDescent="0.4">
      <c r="A552" s="447"/>
      <c r="B552" s="147" t="s">
        <v>148</v>
      </c>
      <c r="C552" s="485"/>
      <c r="D552" s="489"/>
      <c r="E552" s="460"/>
      <c r="F552" s="485"/>
      <c r="G552" s="460"/>
      <c r="H552" s="460"/>
      <c r="I552" s="447"/>
    </row>
    <row r="553" spans="1:9" s="444" customFormat="1" ht="12.3" outlineLevel="1" x14ac:dyDescent="0.4">
      <c r="A553" s="447"/>
      <c r="B553" s="148" t="s">
        <v>147</v>
      </c>
      <c r="C553" s="485">
        <f>C551*SQRT(C537)*(C546+C551/4*(C539*(-1+2*C546*C546)-C551/6*C546*(-3+4*C537)*(-3+4*C546*C546)))</f>
        <v>0</v>
      </c>
      <c r="D553" s="489"/>
      <c r="E553" s="485">
        <f ca="1">E551*SQRT(E537)*(E546+E551/4*(E539*(-1+2*E546*E546)-E551/6*E546*(-3+4*E537)*(-3+4*E546*E546)))</f>
        <v>0</v>
      </c>
      <c r="F553" s="485"/>
      <c r="G553" s="460"/>
      <c r="H553" s="460"/>
      <c r="I553" s="447"/>
    </row>
    <row r="554" spans="1:9" s="444" customFormat="1" ht="12.3" outlineLevel="1" x14ac:dyDescent="0.4">
      <c r="A554" s="447"/>
      <c r="B554" s="460"/>
      <c r="C554" s="485"/>
      <c r="D554" s="489"/>
      <c r="E554" s="460"/>
      <c r="F554" s="485"/>
      <c r="G554" s="460"/>
      <c r="H554" s="460"/>
      <c r="I554" s="447"/>
    </row>
    <row r="555" spans="1:9" s="444" customFormat="1" ht="12.3" outlineLevel="1" x14ac:dyDescent="0.4">
      <c r="A555" s="447"/>
      <c r="B555" s="147" t="s">
        <v>146</v>
      </c>
      <c r="C555" s="485"/>
      <c r="D555" s="494"/>
      <c r="E555" s="460"/>
      <c r="F555" s="485"/>
      <c r="G555" s="460"/>
      <c r="H555" s="460"/>
      <c r="I555" s="150"/>
    </row>
    <row r="556" spans="1:9" s="444" customFormat="1" ht="12.3" outlineLevel="1" x14ac:dyDescent="0.4">
      <c r="A556" s="447"/>
      <c r="B556" s="460" t="s">
        <v>11</v>
      </c>
      <c r="C556" s="485">
        <f>C523/16*COS(ASIN(C544))*COS(ASIN(C544))*(4+C523*(4-3*COS(ASIN(C544))*COS(ASIN(C544))))</f>
        <v>8.389052498964728E-4</v>
      </c>
      <c r="D556" s="494"/>
      <c r="E556" s="485">
        <f ca="1">C523/16*COS(ASIN(E544))*COS(ASIN(E544))*(4+C523*(4-3*COS(ASIN(E544))*COS(ASIN(E544))))</f>
        <v>8.389052498964728E-4</v>
      </c>
      <c r="F556" s="485"/>
      <c r="G556" s="460"/>
      <c r="H556" s="460"/>
      <c r="I556" s="150"/>
    </row>
    <row r="557" spans="1:9" s="444" customFormat="1" ht="12.3" outlineLevel="1" x14ac:dyDescent="0.4">
      <c r="A557" s="447"/>
      <c r="B557" s="147" t="s">
        <v>145</v>
      </c>
      <c r="C557" s="485"/>
      <c r="D557" s="494"/>
      <c r="E557" s="460"/>
      <c r="F557" s="485"/>
      <c r="G557" s="460"/>
      <c r="H557" s="460"/>
      <c r="I557" s="150"/>
    </row>
    <row r="558" spans="1:9" s="444" customFormat="1" ht="12.3" outlineLevel="1" x14ac:dyDescent="0.4">
      <c r="A558" s="447"/>
      <c r="B558" s="151" t="s">
        <v>144</v>
      </c>
      <c r="C558" s="485">
        <f>C524+(1-C556)*C523*C544*(ACOS(C539)+C556*SIN(ACOS(C539))*(C546+C556*C539*(-1+2*C546*C546)))</f>
        <v>0</v>
      </c>
      <c r="D558" s="494"/>
      <c r="E558" s="495">
        <f ca="1">C524+(1-E556)*C523*E544*(ACOS(E539)+E556*SIN(ACOS(E539))*(E546+E556*E539*(-1+2*E546*E546)))</f>
        <v>0</v>
      </c>
      <c r="F558" s="485"/>
      <c r="G558" s="460"/>
      <c r="H558" s="460"/>
      <c r="I558" s="150"/>
    </row>
    <row r="559" spans="1:9" s="444" customFormat="1" ht="12.3" outlineLevel="1" x14ac:dyDescent="0.4">
      <c r="A559" s="447"/>
      <c r="B559" s="149" t="s">
        <v>143</v>
      </c>
      <c r="C559" s="485"/>
      <c r="D559" s="494"/>
      <c r="E559" s="148"/>
      <c r="F559" s="485"/>
      <c r="G559" s="460"/>
      <c r="H559" s="460"/>
      <c r="I559" s="496"/>
    </row>
    <row r="560" spans="1:9" s="444" customFormat="1" ht="12.3" outlineLevel="1" x14ac:dyDescent="0.4">
      <c r="A560" s="447"/>
      <c r="B560" s="460" t="s">
        <v>142</v>
      </c>
      <c r="C560" s="485">
        <f>IF(B575="samepoint",0,C522*C549*(ATAN(C541)-C553))</f>
        <v>0</v>
      </c>
      <c r="D560" s="494"/>
      <c r="E560" s="485">
        <f>IF(B575="samepoint",0,C522*E549*(E542-E553))</f>
        <v>0</v>
      </c>
      <c r="F560" s="460"/>
      <c r="G560" s="460"/>
      <c r="H560" s="460"/>
      <c r="I560" s="496"/>
    </row>
    <row r="561" spans="1:10" s="444" customFormat="1" ht="12.3" outlineLevel="1" x14ac:dyDescent="0.4">
      <c r="A561" s="447"/>
      <c r="B561" s="147" t="s">
        <v>141</v>
      </c>
      <c r="C561" s="485"/>
      <c r="D561" s="494"/>
      <c r="E561" s="485"/>
      <c r="F561" s="460"/>
      <c r="G561" s="460"/>
      <c r="H561" s="460"/>
      <c r="I561" s="496"/>
    </row>
    <row r="562" spans="1:10" s="444" customFormat="1" ht="16.2" outlineLevel="1" x14ac:dyDescent="0.65">
      <c r="A562" s="447"/>
      <c r="B562" s="460" t="s">
        <v>140</v>
      </c>
      <c r="C562" s="485"/>
      <c r="D562" s="494"/>
      <c r="E562" s="485" t="e">
        <f ca="1">C533*SIN(E558)/(C529*C532-C528*C533*COS(E558))</f>
        <v>#DIV/0!</v>
      </c>
      <c r="F562" s="460"/>
      <c r="G562" s="460"/>
      <c r="H562" s="460"/>
      <c r="I562" s="496"/>
    </row>
    <row r="563" spans="1:10" s="444" customFormat="1" ht="12.3" outlineLevel="1" x14ac:dyDescent="0.4">
      <c r="A563" s="447"/>
      <c r="B563" s="147" t="s">
        <v>139</v>
      </c>
      <c r="C563" s="485"/>
      <c r="D563" s="494"/>
      <c r="E563" s="485"/>
      <c r="F563" s="460"/>
      <c r="G563" s="460"/>
      <c r="H563" s="460"/>
      <c r="I563" s="496"/>
    </row>
    <row r="564" spans="1:10" s="444" customFormat="1" ht="16.8" outlineLevel="1" x14ac:dyDescent="0.7">
      <c r="A564" s="447"/>
      <c r="B564" s="460" t="s">
        <v>138</v>
      </c>
      <c r="C564" s="485"/>
      <c r="D564" s="494"/>
      <c r="E564" s="485" t="e">
        <f>C529*SIN(C558)/(-C528*C533+C529*C532*COS(C558))</f>
        <v>#DIV/0!</v>
      </c>
      <c r="F564" s="460"/>
      <c r="G564" s="460"/>
      <c r="H564" s="460"/>
      <c r="I564" s="496"/>
    </row>
    <row r="565" spans="1:10" s="444" customFormat="1" ht="12.3" outlineLevel="1" x14ac:dyDescent="0.4">
      <c r="A565" s="447"/>
      <c r="B565" s="460"/>
      <c r="C565" s="485"/>
      <c r="D565" s="494"/>
      <c r="E565" s="460"/>
      <c r="F565" s="485"/>
      <c r="G565" s="460"/>
      <c r="H565" s="460"/>
      <c r="I565" s="496"/>
    </row>
    <row r="566" spans="1:10" s="444" customFormat="1" ht="12.3" outlineLevel="1" x14ac:dyDescent="0.4">
      <c r="A566" s="447"/>
      <c r="B566" s="460"/>
      <c r="C566" s="497"/>
      <c r="D566" s="447"/>
      <c r="E566" s="460"/>
      <c r="F566" s="485"/>
      <c r="G566" s="460"/>
      <c r="H566" s="460"/>
      <c r="I566" s="496"/>
    </row>
    <row r="567" spans="1:10" s="444" customFormat="1" ht="12.3" outlineLevel="1" x14ac:dyDescent="0.4">
      <c r="A567" s="447"/>
      <c r="B567" s="460"/>
      <c r="C567" s="460"/>
      <c r="D567" s="447"/>
      <c r="E567" s="489"/>
      <c r="F567" s="494"/>
      <c r="G567" s="460"/>
      <c r="H567" s="460"/>
      <c r="I567" s="496"/>
    </row>
    <row r="568" spans="1:10" s="444" customFormat="1" ht="12.3" outlineLevel="1" x14ac:dyDescent="0.4">
      <c r="A568" s="447"/>
      <c r="B568" s="146" t="s">
        <v>137</v>
      </c>
      <c r="C568" s="146"/>
      <c r="D568" s="489"/>
      <c r="E568" s="146" t="s">
        <v>136</v>
      </c>
      <c r="F568" s="146"/>
      <c r="G568" s="460"/>
      <c r="H568" s="460"/>
      <c r="I568" s="496"/>
    </row>
    <row r="569" spans="1:10" s="444" customFormat="1" ht="14.7" outlineLevel="1" x14ac:dyDescent="0.6">
      <c r="A569" s="447"/>
      <c r="B569" s="145" t="s">
        <v>417</v>
      </c>
      <c r="C569" s="485" t="e">
        <f ca="1">ATAN(E562)</f>
        <v>#DIV/0!</v>
      </c>
      <c r="D569" s="447"/>
      <c r="E569" s="145" t="s">
        <v>418</v>
      </c>
      <c r="F569" s="485" t="e">
        <f>ATAN(E564)</f>
        <v>#DIV/0!</v>
      </c>
      <c r="G569" s="460"/>
      <c r="H569" s="460"/>
      <c r="I569" s="496" t="e">
        <f>ATAN2(E518-E516,E519-E517)*180/PI()</f>
        <v>#DIV/0!</v>
      </c>
      <c r="J569" s="496" t="e">
        <f>ATAN2(E516-E518,E517-E519)*180/PI()</f>
        <v>#DIV/0!</v>
      </c>
    </row>
    <row r="570" spans="1:10" s="444" customFormat="1" ht="14.7" outlineLevel="1" x14ac:dyDescent="0.6">
      <c r="A570" s="447"/>
      <c r="B570" s="145" t="s">
        <v>419</v>
      </c>
      <c r="C570" s="485" t="e">
        <f ca="1">(C569/PI())*180+360</f>
        <v>#DIV/0!</v>
      </c>
      <c r="D570" s="447"/>
      <c r="E570" s="145" t="s">
        <v>420</v>
      </c>
      <c r="F570" s="485" t="e">
        <f>(F569/PI())*180+180</f>
        <v>#DIV/0!</v>
      </c>
      <c r="G570" s="460"/>
      <c r="H570" s="460"/>
      <c r="I570" s="496" t="e">
        <f>IF(I569&lt;0,C569*180/PI()+360,C569*180/PI())</f>
        <v>#DIV/0!</v>
      </c>
      <c r="J570" s="498" t="e">
        <f>IF(J569&gt;0,F569*180/PI()+180,F569*180/PI())</f>
        <v>#DIV/0!</v>
      </c>
    </row>
    <row r="571" spans="1:10" s="444" customFormat="1" ht="14.7" outlineLevel="1" x14ac:dyDescent="0.6">
      <c r="A571" s="447"/>
      <c r="B571" s="145" t="s">
        <v>419</v>
      </c>
      <c r="C571" s="485" t="e">
        <f ca="1">IF(C570&gt;=360,C570-360,C570)</f>
        <v>#DIV/0!</v>
      </c>
      <c r="D571" s="447"/>
      <c r="E571" s="145" t="s">
        <v>420</v>
      </c>
      <c r="F571" s="485" t="e">
        <f>IF(F570&gt;=360,F570-360,F570)</f>
        <v>#DIV/0!</v>
      </c>
      <c r="G571" s="460"/>
      <c r="H571" s="460"/>
      <c r="I571" s="496" t="e">
        <f ca="1">ATAN2((C529*C532-C528*C533*COS(E558)),C533*SIN(E558))</f>
        <v>#DIV/0!</v>
      </c>
      <c r="J571" s="485" t="e">
        <f ca="1">ATAN2((-C528*C533+C529*C532*COS(E558)),C529*SIN(E558))</f>
        <v>#DIV/0!</v>
      </c>
    </row>
    <row r="572" spans="1:10" s="444" customFormat="1" ht="14.7" outlineLevel="1" x14ac:dyDescent="0.6">
      <c r="A572" s="447"/>
      <c r="B572" s="145" t="s">
        <v>419</v>
      </c>
      <c r="C572" s="485">
        <f>IF(B575="samepoint",0,IF(B576="northsouth",0,IF(B577="southnorth",180,C571)))</f>
        <v>0</v>
      </c>
      <c r="D572" s="447"/>
      <c r="E572" s="145" t="s">
        <v>420</v>
      </c>
      <c r="F572" s="485">
        <f>IF(B575="samepoint",0,IF(B576="northsouth",180,IF(B577="southnorth",0,F571)))</f>
        <v>0</v>
      </c>
      <c r="G572" s="447"/>
      <c r="H572" s="447"/>
      <c r="I572" s="485">
        <f>IF(B575="samepoint",0,IF(B576="northsouth",0,IF(B577="southnorth",180,IF(I571&lt;0,I571*180/PI()+360,I571*180/PI()))))</f>
        <v>0</v>
      </c>
      <c r="J572" s="485">
        <f>IF(B575="samepoint",0,IF(B576="northsouth",180,IF(B577="southnorth",0,J571*180/PI()+180)))</f>
        <v>0</v>
      </c>
    </row>
    <row r="573" spans="1:10" s="444" customFormat="1" ht="12.3" outlineLevel="1" x14ac:dyDescent="0.4">
      <c r="A573" s="447"/>
      <c r="B573" s="145"/>
      <c r="C573" s="447"/>
      <c r="D573" s="447"/>
      <c r="E573" s="145"/>
      <c r="F573" s="447"/>
      <c r="G573" s="447"/>
      <c r="H573" s="447"/>
      <c r="I573" s="447"/>
    </row>
    <row r="574" spans="1:10" s="444" customFormat="1" ht="12.3" outlineLevel="1" x14ac:dyDescent="0.4">
      <c r="A574" s="447"/>
      <c r="B574" s="144" t="s">
        <v>135</v>
      </c>
      <c r="C574" s="144"/>
      <c r="D574" s="447"/>
      <c r="E574" s="447"/>
      <c r="F574" s="447"/>
      <c r="G574" s="447"/>
      <c r="H574" s="447"/>
      <c r="I574" s="447"/>
    </row>
    <row r="575" spans="1:10" s="444" customFormat="1" ht="12.3" outlineLevel="1" x14ac:dyDescent="0.4">
      <c r="A575" s="447"/>
      <c r="B575" s="447" t="str">
        <f>IF(AND(C516=C518,C517=C519),"samepoint","N.A. " )</f>
        <v>samepoint</v>
      </c>
      <c r="C575" s="447" t="s">
        <v>134</v>
      </c>
      <c r="D575" s="447"/>
      <c r="E575" s="447"/>
      <c r="F575" s="447"/>
      <c r="G575" s="447"/>
      <c r="H575" s="447"/>
      <c r="I575" s="447"/>
    </row>
    <row r="576" spans="1:10" s="444" customFormat="1" ht="12.3" outlineLevel="1" x14ac:dyDescent="0.4">
      <c r="A576" s="447"/>
      <c r="B576" s="447" t="str">
        <f>IF(AND(C517=C519,C518&gt;C516),"northsouth","N.A. ")</f>
        <v xml:space="preserve">N.A. </v>
      </c>
      <c r="C576" s="447" t="s">
        <v>133</v>
      </c>
      <c r="D576" s="447"/>
      <c r="E576" s="447"/>
      <c r="F576" s="447"/>
      <c r="G576" s="447"/>
      <c r="H576" s="447"/>
      <c r="I576" s="447"/>
    </row>
    <row r="577" spans="1:10" s="444" customFormat="1" ht="12.3" outlineLevel="1" x14ac:dyDescent="0.4">
      <c r="A577" s="447"/>
      <c r="B577" s="447" t="str">
        <f>IF(AND(C517=C519,C516&gt;C518),"southnorth","N.A. ")</f>
        <v xml:space="preserve">N.A. </v>
      </c>
      <c r="C577" s="447" t="s">
        <v>132</v>
      </c>
      <c r="D577" s="447"/>
      <c r="E577" s="447"/>
      <c r="F577" s="447"/>
      <c r="G577" s="447"/>
      <c r="H577" s="447"/>
      <c r="I577" s="447"/>
    </row>
    <row r="578" spans="1:10" s="444" customFormat="1" ht="12.3" x14ac:dyDescent="0.4">
      <c r="A578" s="447"/>
      <c r="B578" s="447"/>
      <c r="C578" s="447"/>
      <c r="D578" s="447"/>
      <c r="E578" s="447"/>
      <c r="F578" s="447"/>
      <c r="G578" s="447"/>
      <c r="H578" s="447"/>
      <c r="I578" s="447"/>
    </row>
    <row r="579" spans="1:10" s="444" customFormat="1" ht="15" x14ac:dyDescent="0.5">
      <c r="A579" s="447"/>
      <c r="B579" s="448" t="s">
        <v>187</v>
      </c>
      <c r="C579" s="448" t="s">
        <v>186</v>
      </c>
      <c r="D579" s="447"/>
      <c r="E579" s="447"/>
      <c r="F579" s="447"/>
      <c r="G579" s="447"/>
      <c r="H579" s="447"/>
      <c r="I579" s="447"/>
    </row>
    <row r="580" spans="1:10" s="444" customFormat="1" ht="17.399999999999999" x14ac:dyDescent="0.55000000000000004">
      <c r="A580" s="447"/>
      <c r="B580" s="449" t="s">
        <v>185</v>
      </c>
      <c r="C580" s="450" t="s">
        <v>390</v>
      </c>
      <c r="D580" s="451"/>
      <c r="E580" s="452"/>
      <c r="F580" s="453" t="s">
        <v>183</v>
      </c>
      <c r="G580" s="1074" t="s">
        <v>392</v>
      </c>
      <c r="H580" s="1074"/>
      <c r="I580" s="1075"/>
      <c r="J580" s="455"/>
    </row>
    <row r="581" spans="1:10" s="444" customFormat="1" ht="14.7" x14ac:dyDescent="0.6">
      <c r="A581" s="447"/>
      <c r="B581" s="158" t="s">
        <v>405</v>
      </c>
      <c r="C581" s="456">
        <f>C$437</f>
        <v>0</v>
      </c>
      <c r="D581" s="457">
        <f>D$437</f>
        <v>0</v>
      </c>
      <c r="E581" s="458"/>
      <c r="F581" s="157" t="s">
        <v>406</v>
      </c>
      <c r="G581" s="459">
        <f>G$509</f>
        <v>0</v>
      </c>
      <c r="H581" s="457">
        <f>H$509</f>
        <v>0</v>
      </c>
      <c r="I581" s="458"/>
      <c r="J581" s="460"/>
    </row>
    <row r="582" spans="1:10" s="444" customFormat="1" ht="14.7" x14ac:dyDescent="0.6">
      <c r="A582" s="447"/>
      <c r="B582" s="158" t="s">
        <v>407</v>
      </c>
      <c r="C582" s="461">
        <f>C$438</f>
        <v>0</v>
      </c>
      <c r="D582" s="462">
        <f>D$438</f>
        <v>0</v>
      </c>
      <c r="E582" s="463"/>
      <c r="F582" s="157" t="s">
        <v>408</v>
      </c>
      <c r="G582" s="459">
        <f>G$510</f>
        <v>0</v>
      </c>
      <c r="H582" s="457">
        <f>H$510</f>
        <v>0</v>
      </c>
      <c r="I582" s="458"/>
    </row>
    <row r="583" spans="1:10" s="444" customFormat="1" ht="12.3" x14ac:dyDescent="0.4">
      <c r="A583" s="447"/>
      <c r="B583" s="464" t="s">
        <v>180</v>
      </c>
      <c r="C583" s="465">
        <f>E632</f>
        <v>0</v>
      </c>
      <c r="D583" s="466"/>
      <c r="E583" s="467"/>
      <c r="F583" s="500"/>
      <c r="G583" s="468"/>
      <c r="H583" s="468"/>
      <c r="I583" s="156" t="s">
        <v>179</v>
      </c>
      <c r="J583" s="447"/>
    </row>
    <row r="584" spans="1:10" s="444" customFormat="1" ht="14.7" x14ac:dyDescent="0.6">
      <c r="A584" s="447"/>
      <c r="B584" s="464" t="s">
        <v>409</v>
      </c>
      <c r="C584" s="469">
        <f>I644</f>
        <v>0</v>
      </c>
      <c r="D584" s="470"/>
      <c r="E584" s="471"/>
      <c r="F584" s="501"/>
      <c r="G584" s="472"/>
      <c r="H584" s="473"/>
      <c r="J584" s="474"/>
    </row>
    <row r="585" spans="1:10" s="444" customFormat="1" ht="14.7" x14ac:dyDescent="0.6">
      <c r="A585" s="447"/>
      <c r="B585" s="475" t="s">
        <v>410</v>
      </c>
      <c r="C585" s="476">
        <f>J644</f>
        <v>0</v>
      </c>
      <c r="D585" s="477"/>
      <c r="E585" s="478"/>
      <c r="F585" s="506">
        <f>IF(AND(C581=0=FALSE,G581=0=FALSE),C583/1000,0)</f>
        <v>0</v>
      </c>
      <c r="G585" s="447" t="s">
        <v>178</v>
      </c>
      <c r="H585" s="447"/>
    </row>
    <row r="586" spans="1:10" s="444" customFormat="1" ht="12.3" x14ac:dyDescent="0.4">
      <c r="A586" s="447"/>
      <c r="B586" s="460"/>
      <c r="C586" s="487"/>
      <c r="D586" s="489"/>
      <c r="E586" s="489"/>
      <c r="F586" s="447"/>
      <c r="G586" s="460"/>
      <c r="H586" s="460"/>
    </row>
    <row r="587" spans="1:10" s="444" customFormat="1" ht="12.3" outlineLevel="1" x14ac:dyDescent="0.4">
      <c r="A587" s="447"/>
      <c r="B587" s="447"/>
      <c r="C587" s="503" t="s">
        <v>177</v>
      </c>
      <c r="D587" s="504"/>
      <c r="E587" s="503" t="s">
        <v>85</v>
      </c>
      <c r="F587" s="447"/>
      <c r="G587" s="460"/>
      <c r="H587" s="460"/>
      <c r="I587" s="447"/>
    </row>
    <row r="588" spans="1:10" s="444" customFormat="1" ht="14.7" outlineLevel="1" x14ac:dyDescent="0.6">
      <c r="A588" s="447"/>
      <c r="B588" s="460" t="s">
        <v>411</v>
      </c>
      <c r="C588" s="485">
        <f>C581+D581/60</f>
        <v>0</v>
      </c>
      <c r="D588" s="447"/>
      <c r="E588" s="485">
        <f>C588*PI()/180</f>
        <v>0</v>
      </c>
      <c r="F588" s="447"/>
      <c r="G588" s="460"/>
      <c r="H588" s="460"/>
      <c r="I588" s="447"/>
    </row>
    <row r="589" spans="1:10" s="444" customFormat="1" ht="14.7" outlineLevel="1" x14ac:dyDescent="0.6">
      <c r="A589" s="447"/>
      <c r="B589" s="460" t="s">
        <v>412</v>
      </c>
      <c r="C589" s="485">
        <f>C582+D582/60</f>
        <v>0</v>
      </c>
      <c r="D589" s="447"/>
      <c r="E589" s="485">
        <f>C589*PI()/180</f>
        <v>0</v>
      </c>
      <c r="F589" s="447"/>
      <c r="G589" s="460"/>
      <c r="H589" s="485"/>
      <c r="I589" s="447"/>
    </row>
    <row r="590" spans="1:10" s="444" customFormat="1" ht="14.7" outlineLevel="1" x14ac:dyDescent="0.6">
      <c r="A590" s="447"/>
      <c r="B590" s="460" t="s">
        <v>413</v>
      </c>
      <c r="C590" s="485">
        <f>G581+H581/60</f>
        <v>0</v>
      </c>
      <c r="D590" s="447"/>
      <c r="E590" s="485">
        <f>C590*PI()/180</f>
        <v>0</v>
      </c>
      <c r="F590" s="447"/>
      <c r="G590" s="460"/>
      <c r="H590" s="460"/>
      <c r="I590" s="447"/>
    </row>
    <row r="591" spans="1:10" s="444" customFormat="1" ht="14.7" outlineLevel="1" x14ac:dyDescent="0.6">
      <c r="A591" s="447"/>
      <c r="B591" s="460" t="s">
        <v>414</v>
      </c>
      <c r="C591" s="485">
        <f>G582+H582/60</f>
        <v>0</v>
      </c>
      <c r="D591" s="447"/>
      <c r="E591" s="485">
        <f>C591*PI()/180</f>
        <v>0</v>
      </c>
      <c r="F591" s="447"/>
      <c r="G591" s="460"/>
      <c r="H591" s="485"/>
      <c r="I591" s="447"/>
    </row>
    <row r="592" spans="1:10" s="444" customFormat="1" ht="12.3" outlineLevel="1" x14ac:dyDescent="0.4">
      <c r="A592" s="447"/>
      <c r="B592" s="485"/>
      <c r="C592" s="485"/>
      <c r="D592" s="485"/>
      <c r="E592" s="485"/>
      <c r="F592" s="447"/>
      <c r="G592" s="460"/>
      <c r="H592" s="485"/>
      <c r="I592" s="447"/>
    </row>
    <row r="593" spans="2:8" s="447" customFormat="1" ht="12.3" outlineLevel="1" x14ac:dyDescent="0.4">
      <c r="B593" s="460" t="s">
        <v>176</v>
      </c>
      <c r="C593" s="487">
        <v>6378137</v>
      </c>
      <c r="D593" s="488"/>
      <c r="E593" s="489" t="s">
        <v>175</v>
      </c>
      <c r="F593" s="485">
        <f>C595+C595*C595</f>
        <v>3.3640520041011246E-3</v>
      </c>
      <c r="G593" s="460"/>
      <c r="H593" s="460"/>
    </row>
    <row r="594" spans="2:8" s="447" customFormat="1" ht="12.3" outlineLevel="1" x14ac:dyDescent="0.4">
      <c r="B594" s="489" t="s">
        <v>174</v>
      </c>
      <c r="C594" s="487">
        <v>6356752.3142451793</v>
      </c>
      <c r="D594" s="488"/>
      <c r="E594" s="489" t="s">
        <v>173</v>
      </c>
      <c r="F594" s="485">
        <f>F593/2</f>
        <v>1.6820260020505623E-3</v>
      </c>
      <c r="G594" s="460"/>
      <c r="H594" s="460"/>
    </row>
    <row r="595" spans="2:8" s="447" customFormat="1" ht="12.3" outlineLevel="1" x14ac:dyDescent="0.4">
      <c r="B595" s="489" t="s">
        <v>172</v>
      </c>
      <c r="C595" s="485">
        <v>3.3528106647474801E-3</v>
      </c>
      <c r="D595" s="489"/>
      <c r="E595" s="489" t="s">
        <v>171</v>
      </c>
      <c r="F595" s="485">
        <f>C595*C595/2</f>
        <v>5.6206696768222199E-6</v>
      </c>
      <c r="G595" s="460"/>
      <c r="H595" s="460"/>
    </row>
    <row r="596" spans="2:8" s="447" customFormat="1" ht="12.3" outlineLevel="1" x14ac:dyDescent="0.4">
      <c r="B596" s="460" t="s">
        <v>415</v>
      </c>
      <c r="C596" s="485">
        <f>E591-E589</f>
        <v>0</v>
      </c>
      <c r="E596" s="447" t="s">
        <v>170</v>
      </c>
      <c r="F596" s="485">
        <f>C595*C595/8</f>
        <v>1.405167419205555E-6</v>
      </c>
      <c r="G596" s="460"/>
      <c r="H596" s="460"/>
    </row>
    <row r="597" spans="2:8" s="447" customFormat="1" ht="12.3" outlineLevel="1" x14ac:dyDescent="0.4">
      <c r="E597" s="489" t="s">
        <v>169</v>
      </c>
      <c r="F597" s="485">
        <f>C595*C595/16</f>
        <v>7.0258370960277749E-7</v>
      </c>
      <c r="G597" s="460"/>
      <c r="H597" s="460"/>
    </row>
    <row r="598" spans="2:8" s="447" customFormat="1" ht="12.3" outlineLevel="1" x14ac:dyDescent="0.4">
      <c r="B598" s="447" t="s">
        <v>168</v>
      </c>
      <c r="C598" s="490">
        <f>(1-C595)*TAN(E588)</f>
        <v>0</v>
      </c>
      <c r="E598" s="489"/>
      <c r="F598" s="460"/>
      <c r="G598" s="460"/>
      <c r="H598" s="460"/>
    </row>
    <row r="599" spans="2:8" s="447" customFormat="1" ht="12.3" outlineLevel="1" x14ac:dyDescent="0.4">
      <c r="B599" s="460" t="s">
        <v>106</v>
      </c>
      <c r="C599" s="485">
        <f>ATAN(C598)</f>
        <v>0</v>
      </c>
      <c r="D599" s="489"/>
      <c r="E599" s="148"/>
      <c r="F599" s="485"/>
      <c r="G599" s="460"/>
      <c r="H599" s="460"/>
    </row>
    <row r="600" spans="2:8" s="447" customFormat="1" ht="12.3" outlineLevel="1" x14ac:dyDescent="0.4">
      <c r="B600" s="460" t="s">
        <v>167</v>
      </c>
      <c r="C600" s="485">
        <f>SIN(C599)</f>
        <v>0</v>
      </c>
      <c r="D600" s="489"/>
      <c r="E600" s="148"/>
      <c r="F600" s="485"/>
      <c r="G600" s="460"/>
      <c r="H600" s="460"/>
    </row>
    <row r="601" spans="2:8" s="447" customFormat="1" ht="12.3" outlineLevel="1" x14ac:dyDescent="0.4">
      <c r="B601" s="460" t="s">
        <v>166</v>
      </c>
      <c r="C601" s="485">
        <f>COS(C599)</f>
        <v>1</v>
      </c>
      <c r="D601" s="489"/>
      <c r="E601" s="460"/>
      <c r="F601" s="485"/>
      <c r="G601" s="460"/>
      <c r="H601" s="460"/>
    </row>
    <row r="602" spans="2:8" s="447" customFormat="1" ht="12.3" outlineLevel="1" x14ac:dyDescent="0.4">
      <c r="B602" s="460" t="s">
        <v>165</v>
      </c>
      <c r="C602" s="491">
        <f>(1-C595)*TAN(E590)</f>
        <v>0</v>
      </c>
      <c r="D602" s="489"/>
      <c r="E602" s="460"/>
      <c r="F602" s="485"/>
      <c r="G602" s="460"/>
      <c r="H602" s="460"/>
    </row>
    <row r="603" spans="2:8" s="447" customFormat="1" ht="12.3" outlineLevel="1" x14ac:dyDescent="0.4">
      <c r="B603" s="460" t="s">
        <v>164</v>
      </c>
      <c r="C603" s="485">
        <f>ATAN(C602)</f>
        <v>0</v>
      </c>
      <c r="D603" s="489"/>
      <c r="E603" s="460"/>
      <c r="F603" s="485"/>
      <c r="G603" s="460"/>
      <c r="H603" s="460"/>
    </row>
    <row r="604" spans="2:8" s="447" customFormat="1" ht="12.3" outlineLevel="1" x14ac:dyDescent="0.4">
      <c r="B604" s="460" t="s">
        <v>163</v>
      </c>
      <c r="C604" s="485">
        <f>SIN(C603)</f>
        <v>0</v>
      </c>
      <c r="D604" s="489"/>
      <c r="E604" s="460"/>
      <c r="F604" s="485"/>
      <c r="G604" s="460"/>
      <c r="H604" s="460"/>
    </row>
    <row r="605" spans="2:8" s="447" customFormat="1" ht="12.3" outlineLevel="1" x14ac:dyDescent="0.4">
      <c r="B605" s="460" t="s">
        <v>162</v>
      </c>
      <c r="C605" s="485">
        <f>COS(C603)</f>
        <v>1</v>
      </c>
      <c r="D605" s="489"/>
      <c r="E605" s="460"/>
      <c r="F605" s="485"/>
      <c r="G605" s="460"/>
      <c r="H605" s="460"/>
    </row>
    <row r="606" spans="2:8" s="447" customFormat="1" ht="12.3" outlineLevel="1" x14ac:dyDescent="0.4">
      <c r="B606" s="147" t="s">
        <v>161</v>
      </c>
      <c r="C606" s="485"/>
      <c r="D606" s="489"/>
      <c r="E606" s="460"/>
      <c r="F606" s="485"/>
      <c r="G606" s="460"/>
      <c r="H606" s="460"/>
    </row>
    <row r="607" spans="2:8" s="447" customFormat="1" ht="12.3" outlineLevel="1" x14ac:dyDescent="0.4">
      <c r="B607" s="148" t="s">
        <v>144</v>
      </c>
      <c r="C607" s="485">
        <f>C596</f>
        <v>0</v>
      </c>
      <c r="D607" s="489"/>
      <c r="E607" s="485">
        <f ca="1">E630</f>
        <v>0</v>
      </c>
      <c r="F607" s="485"/>
      <c r="G607" s="460"/>
      <c r="H607" s="460"/>
    </row>
    <row r="608" spans="2:8" s="447" customFormat="1" ht="12.3" outlineLevel="1" x14ac:dyDescent="0.4">
      <c r="B608" s="147" t="s">
        <v>160</v>
      </c>
      <c r="C608" s="485"/>
      <c r="D608" s="489"/>
      <c r="E608" s="460"/>
      <c r="F608" s="485"/>
      <c r="G608" s="460"/>
      <c r="H608" s="460"/>
    </row>
    <row r="609" spans="1:9" s="444" customFormat="1" ht="13.8" outlineLevel="1" x14ac:dyDescent="0.4">
      <c r="A609" s="447"/>
      <c r="B609" s="460" t="s">
        <v>159</v>
      </c>
      <c r="C609" s="485">
        <f>(C605*SIN(C607)*C605*SIN(C607))+(C601*C604-C600*C605*COS(C607))*(C601*C604-C600*C605*COS(C607))</f>
        <v>0</v>
      </c>
      <c r="D609" s="489"/>
      <c r="E609" s="485">
        <f ca="1">(C605*SIN(E607)*C605*SIN(E607))+(C601*C604-C600*C605*COS(E607))*(C601*C604-C600*C605*COS(E607))</f>
        <v>0</v>
      </c>
      <c r="F609" s="485"/>
      <c r="G609" s="460"/>
      <c r="H609" s="460"/>
      <c r="I609" s="447"/>
    </row>
    <row r="610" spans="1:9" s="444" customFormat="1" ht="12.3" outlineLevel="1" x14ac:dyDescent="0.4">
      <c r="A610" s="447"/>
      <c r="B610" s="154" t="s">
        <v>158</v>
      </c>
      <c r="C610" s="485"/>
      <c r="D610" s="489"/>
      <c r="E610" s="489"/>
      <c r="F610" s="485"/>
      <c r="G610" s="460"/>
      <c r="H610" s="460"/>
      <c r="I610" s="447"/>
    </row>
    <row r="611" spans="1:9" s="444" customFormat="1" ht="12.3" outlineLevel="1" x14ac:dyDescent="0.4">
      <c r="A611" s="447"/>
      <c r="B611" s="447" t="s">
        <v>157</v>
      </c>
      <c r="C611" s="447">
        <f>(C600*C604)+(C601*C605*COS(C607))</f>
        <v>1</v>
      </c>
      <c r="D611" s="447"/>
      <c r="E611" s="447">
        <f ca="1">(C600*C604)+(C601*C605*COS(E607))</f>
        <v>1</v>
      </c>
      <c r="F611" s="447"/>
      <c r="G611" s="460"/>
      <c r="H611" s="460"/>
      <c r="I611" s="447"/>
    </row>
    <row r="612" spans="1:9" s="444" customFormat="1" ht="12.3" outlineLevel="1" x14ac:dyDescent="0.4">
      <c r="A612" s="447"/>
      <c r="B612" s="153" t="s">
        <v>156</v>
      </c>
      <c r="C612" s="489"/>
      <c r="D612" s="489"/>
      <c r="E612" s="489"/>
      <c r="F612" s="460"/>
      <c r="G612" s="460"/>
      <c r="H612" s="460"/>
      <c r="I612" s="447"/>
    </row>
    <row r="613" spans="1:9" s="444" customFormat="1" ht="12.3" outlineLevel="1" x14ac:dyDescent="0.4">
      <c r="A613" s="447"/>
      <c r="B613" s="460" t="s">
        <v>155</v>
      </c>
      <c r="C613" s="485">
        <f>SQRT(C609)/C611</f>
        <v>0</v>
      </c>
      <c r="D613" s="489"/>
      <c r="E613" s="485">
        <f ca="1">SQRT(E609)/E611</f>
        <v>0</v>
      </c>
      <c r="F613" s="485"/>
      <c r="G613" s="447"/>
      <c r="H613" s="447"/>
      <c r="I613" s="492"/>
    </row>
    <row r="614" spans="1:9" s="444" customFormat="1" ht="12.3" outlineLevel="1" x14ac:dyDescent="0.4">
      <c r="A614" s="447"/>
      <c r="B614" s="148" t="s">
        <v>142</v>
      </c>
      <c r="C614" s="485">
        <f>ATAN(C613)</f>
        <v>0</v>
      </c>
      <c r="D614" s="489"/>
      <c r="E614" s="485">
        <f ca="1">IF(ATAN(E613)&lt;0,ATAN(E613)+PI(),ATAN(E613))</f>
        <v>0</v>
      </c>
      <c r="F614" s="485"/>
      <c r="G614" s="447"/>
      <c r="H614" s="447"/>
      <c r="I614" s="492"/>
    </row>
    <row r="615" spans="1:9" s="444" customFormat="1" ht="12.3" outlineLevel="1" x14ac:dyDescent="0.4">
      <c r="A615" s="447"/>
      <c r="B615" s="147" t="s">
        <v>154</v>
      </c>
      <c r="C615" s="485"/>
      <c r="D615" s="489"/>
      <c r="E615" s="460"/>
      <c r="F615" s="485"/>
      <c r="G615" s="447"/>
      <c r="H615" s="447"/>
      <c r="I615" s="492"/>
    </row>
    <row r="616" spans="1:9" s="444" customFormat="1" ht="12.3" outlineLevel="1" x14ac:dyDescent="0.4">
      <c r="A616" s="447"/>
      <c r="B616" s="460" t="s">
        <v>153</v>
      </c>
      <c r="C616" s="485">
        <f>IF(C609=0,0,C601*C605*SIN(C607)/SQRT(C609))</f>
        <v>0</v>
      </c>
      <c r="D616" s="489"/>
      <c r="E616" s="485">
        <f ca="1">IF(E609=0,0,C601*C605*SIN(E607)/SQRT(E609))</f>
        <v>0</v>
      </c>
      <c r="F616" s="485"/>
      <c r="G616" s="460"/>
      <c r="H616" s="460"/>
      <c r="I616" s="492"/>
    </row>
    <row r="617" spans="1:9" s="444" customFormat="1" ht="12.3" outlineLevel="1" x14ac:dyDescent="0.4">
      <c r="A617" s="447"/>
      <c r="B617" s="147" t="s">
        <v>152</v>
      </c>
      <c r="C617" s="485"/>
      <c r="D617" s="489"/>
      <c r="E617" s="489"/>
      <c r="F617" s="485"/>
      <c r="G617" s="460"/>
      <c r="H617" s="460"/>
      <c r="I617" s="447"/>
    </row>
    <row r="618" spans="1:9" s="444" customFormat="1" ht="16.2" outlineLevel="1" x14ac:dyDescent="0.65">
      <c r="A618" s="447"/>
      <c r="B618" s="447" t="s">
        <v>416</v>
      </c>
      <c r="C618" s="447">
        <f>IF((COS(ASIN(C616))*COS(ASIN(C616)))=0,0,C611-2*C600*C604/(COS(ASIN(C616))*COS(ASIN(C616))))</f>
        <v>1</v>
      </c>
      <c r="D618" s="489"/>
      <c r="E618" s="447">
        <f ca="1">E611-2*C600*C604/(COS(ASIN(E616))*COS(ASIN(E616)))</f>
        <v>1</v>
      </c>
      <c r="F618" s="460"/>
      <c r="G618" s="460"/>
      <c r="H618" s="460"/>
      <c r="I618" s="447"/>
    </row>
    <row r="619" spans="1:9" s="444" customFormat="1" ht="15.9" outlineLevel="1" x14ac:dyDescent="0.45">
      <c r="A619" s="447"/>
      <c r="B619" s="447" t="s">
        <v>151</v>
      </c>
      <c r="C619" s="487">
        <f>COS(ASIN(C616))*COS(ASIN(C616))*(C593*C593-C594*C594)/(C594*C594)</f>
        <v>6.7394967422764341E-3</v>
      </c>
      <c r="D619" s="489"/>
      <c r="E619" s="487">
        <f ca="1">COS(ASIN(E616))*COS(ASIN(E616))*(C593*C593-C594*C594)/(C594*C594)</f>
        <v>6.7394967422764341E-3</v>
      </c>
      <c r="F619" s="447"/>
      <c r="G619" s="460"/>
      <c r="H619" s="460"/>
      <c r="I619" s="447"/>
    </row>
    <row r="620" spans="1:9" s="444" customFormat="1" ht="12.3" outlineLevel="1" x14ac:dyDescent="0.4">
      <c r="A620" s="447"/>
      <c r="B620" s="152" t="s">
        <v>150</v>
      </c>
      <c r="C620" s="485"/>
      <c r="D620" s="489"/>
      <c r="E620" s="460"/>
      <c r="F620" s="485"/>
      <c r="G620" s="460"/>
      <c r="H620" s="460"/>
      <c r="I620" s="447"/>
    </row>
    <row r="621" spans="1:9" s="444" customFormat="1" ht="12.3" outlineLevel="1" x14ac:dyDescent="0.4">
      <c r="A621" s="447"/>
      <c r="B621" s="460" t="s">
        <v>9</v>
      </c>
      <c r="C621" s="485">
        <f>1+C619/16384*(4096+C619*(-768+C619*(320-175*C619)))</f>
        <v>1.0016827510415456</v>
      </c>
      <c r="D621" s="489"/>
      <c r="E621" s="485">
        <f ca="1">1+E619/16384*(4096+E619*(-768+E619*(320-175*E619)))</f>
        <v>1.0016827510415456</v>
      </c>
      <c r="F621" s="485"/>
      <c r="G621" s="460"/>
      <c r="H621" s="460"/>
      <c r="I621" s="447"/>
    </row>
    <row r="622" spans="1:9" s="444" customFormat="1" ht="12.3" outlineLevel="1" x14ac:dyDescent="0.4">
      <c r="A622" s="447"/>
      <c r="B622" s="147" t="s">
        <v>149</v>
      </c>
      <c r="C622" s="485"/>
      <c r="D622" s="489"/>
      <c r="E622" s="460"/>
      <c r="F622" s="485"/>
      <c r="G622" s="460"/>
      <c r="H622" s="460"/>
      <c r="I622" s="490"/>
    </row>
    <row r="623" spans="1:9" s="444" customFormat="1" ht="12.3" outlineLevel="1" x14ac:dyDescent="0.4">
      <c r="A623" s="447"/>
      <c r="B623" s="460" t="s">
        <v>10</v>
      </c>
      <c r="C623" s="485">
        <f>C619/1024*(256+C619*(-128+C619*(74-47*C619)))</f>
        <v>1.6792186103152505E-3</v>
      </c>
      <c r="D623" s="489"/>
      <c r="E623" s="485">
        <f ca="1">E619/1024*(256+E619*(-128+E619*(74-47*E619)))</f>
        <v>1.6792186103152505E-3</v>
      </c>
      <c r="F623" s="485"/>
      <c r="G623" s="460"/>
      <c r="H623" s="460"/>
      <c r="I623" s="447"/>
    </row>
    <row r="624" spans="1:9" s="444" customFormat="1" ht="12.3" outlineLevel="1" x14ac:dyDescent="0.4">
      <c r="A624" s="447"/>
      <c r="B624" s="147" t="s">
        <v>148</v>
      </c>
      <c r="C624" s="485"/>
      <c r="D624" s="489"/>
      <c r="E624" s="460"/>
      <c r="F624" s="485"/>
      <c r="G624" s="460"/>
      <c r="H624" s="460"/>
      <c r="I624" s="447"/>
    </row>
    <row r="625" spans="1:9" s="444" customFormat="1" ht="12.3" outlineLevel="1" x14ac:dyDescent="0.4">
      <c r="A625" s="447"/>
      <c r="B625" s="148" t="s">
        <v>147</v>
      </c>
      <c r="C625" s="485">
        <f>C623*SQRT(C609)*(C618+C623/4*(C611*(-1+2*C618*C618)-C623/6*C618*(-3+4*C609)*(-3+4*C618*C618)))</f>
        <v>0</v>
      </c>
      <c r="D625" s="489"/>
      <c r="E625" s="485">
        <f ca="1">E623*SQRT(E609)*(E618+E623/4*(E611*(-1+2*E618*E618)-E623/6*E618*(-3+4*E609)*(-3+4*E618*E618)))</f>
        <v>0</v>
      </c>
      <c r="F625" s="485"/>
      <c r="G625" s="460"/>
      <c r="H625" s="460"/>
      <c r="I625" s="447"/>
    </row>
    <row r="626" spans="1:9" s="444" customFormat="1" ht="12.3" outlineLevel="1" x14ac:dyDescent="0.4">
      <c r="A626" s="447"/>
      <c r="B626" s="460"/>
      <c r="C626" s="485"/>
      <c r="D626" s="489"/>
      <c r="E626" s="460"/>
      <c r="F626" s="485"/>
      <c r="G626" s="460"/>
      <c r="H626" s="460"/>
      <c r="I626" s="447"/>
    </row>
    <row r="627" spans="1:9" s="444" customFormat="1" ht="12.3" outlineLevel="1" x14ac:dyDescent="0.4">
      <c r="A627" s="447"/>
      <c r="B627" s="147" t="s">
        <v>146</v>
      </c>
      <c r="C627" s="485"/>
      <c r="D627" s="494"/>
      <c r="E627" s="460"/>
      <c r="F627" s="485"/>
      <c r="G627" s="460"/>
      <c r="H627" s="460"/>
      <c r="I627" s="150"/>
    </row>
    <row r="628" spans="1:9" s="444" customFormat="1" ht="12.3" outlineLevel="1" x14ac:dyDescent="0.4">
      <c r="A628" s="447"/>
      <c r="B628" s="460" t="s">
        <v>11</v>
      </c>
      <c r="C628" s="485">
        <f>C595/16*COS(ASIN(C616))*COS(ASIN(C616))*(4+C595*(4-3*COS(ASIN(C616))*COS(ASIN(C616))))</f>
        <v>8.389052498964728E-4</v>
      </c>
      <c r="D628" s="494"/>
      <c r="E628" s="485">
        <f ca="1">C595/16*COS(ASIN(E616))*COS(ASIN(E616))*(4+C595*(4-3*COS(ASIN(E616))*COS(ASIN(E616))))</f>
        <v>8.389052498964728E-4</v>
      </c>
      <c r="F628" s="485"/>
      <c r="G628" s="460"/>
      <c r="H628" s="460"/>
      <c r="I628" s="150"/>
    </row>
    <row r="629" spans="1:9" s="444" customFormat="1" ht="12.3" outlineLevel="1" x14ac:dyDescent="0.4">
      <c r="A629" s="447"/>
      <c r="B629" s="147" t="s">
        <v>145</v>
      </c>
      <c r="C629" s="485"/>
      <c r="D629" s="494"/>
      <c r="E629" s="460"/>
      <c r="F629" s="485"/>
      <c r="G629" s="460"/>
      <c r="H629" s="460"/>
      <c r="I629" s="150"/>
    </row>
    <row r="630" spans="1:9" s="444" customFormat="1" ht="12.3" outlineLevel="1" x14ac:dyDescent="0.4">
      <c r="A630" s="447"/>
      <c r="B630" s="151" t="s">
        <v>144</v>
      </c>
      <c r="C630" s="485">
        <f>C596+(1-C628)*C595*C616*(ACOS(C611)+C628*SIN(ACOS(C611))*(C618+C628*C611*(-1+2*C618*C618)))</f>
        <v>0</v>
      </c>
      <c r="D630" s="494"/>
      <c r="E630" s="495">
        <f ca="1">C596+(1-E628)*C595*E616*(ACOS(E611)+E628*SIN(ACOS(E611))*(E618+E628*E611*(-1+2*E618*E618)))</f>
        <v>0</v>
      </c>
      <c r="F630" s="485"/>
      <c r="G630" s="460"/>
      <c r="H630" s="460"/>
      <c r="I630" s="150"/>
    </row>
    <row r="631" spans="1:9" s="444" customFormat="1" ht="12.3" outlineLevel="1" x14ac:dyDescent="0.4">
      <c r="A631" s="447"/>
      <c r="B631" s="149" t="s">
        <v>143</v>
      </c>
      <c r="C631" s="485"/>
      <c r="D631" s="494"/>
      <c r="E631" s="148"/>
      <c r="F631" s="485"/>
      <c r="G631" s="460"/>
      <c r="H631" s="460"/>
      <c r="I631" s="496"/>
    </row>
    <row r="632" spans="1:9" s="444" customFormat="1" ht="12.3" outlineLevel="1" x14ac:dyDescent="0.4">
      <c r="A632" s="447"/>
      <c r="B632" s="460" t="s">
        <v>142</v>
      </c>
      <c r="C632" s="485">
        <f>IF(B647="samepoint",0,C594*C621*(ATAN(C613)-C625))</f>
        <v>0</v>
      </c>
      <c r="D632" s="494"/>
      <c r="E632" s="485">
        <f>IF(B647="samepoint",0,C594*E621*(E614-E625))</f>
        <v>0</v>
      </c>
      <c r="F632" s="460"/>
      <c r="G632" s="460"/>
      <c r="H632" s="460"/>
      <c r="I632" s="496"/>
    </row>
    <row r="633" spans="1:9" s="444" customFormat="1" ht="12.3" outlineLevel="1" x14ac:dyDescent="0.4">
      <c r="A633" s="447"/>
      <c r="B633" s="147" t="s">
        <v>141</v>
      </c>
      <c r="C633" s="485"/>
      <c r="D633" s="494"/>
      <c r="E633" s="485"/>
      <c r="F633" s="460"/>
      <c r="G633" s="460"/>
      <c r="H633" s="460"/>
      <c r="I633" s="496"/>
    </row>
    <row r="634" spans="1:9" s="444" customFormat="1" ht="16.2" outlineLevel="1" x14ac:dyDescent="0.65">
      <c r="A634" s="447"/>
      <c r="B634" s="460" t="s">
        <v>140</v>
      </c>
      <c r="C634" s="485"/>
      <c r="D634" s="494"/>
      <c r="E634" s="485" t="e">
        <f ca="1">C605*SIN(E630)/(C601*C604-C600*C605*COS(E630))</f>
        <v>#DIV/0!</v>
      </c>
      <c r="F634" s="460"/>
      <c r="G634" s="460"/>
      <c r="H634" s="460"/>
      <c r="I634" s="496"/>
    </row>
    <row r="635" spans="1:9" s="444" customFormat="1" ht="12.3" outlineLevel="1" x14ac:dyDescent="0.4">
      <c r="A635" s="447"/>
      <c r="B635" s="147" t="s">
        <v>139</v>
      </c>
      <c r="C635" s="485"/>
      <c r="D635" s="494"/>
      <c r="E635" s="485"/>
      <c r="F635" s="460"/>
      <c r="G635" s="460"/>
      <c r="H635" s="460"/>
      <c r="I635" s="496"/>
    </row>
    <row r="636" spans="1:9" s="444" customFormat="1" ht="16.8" outlineLevel="1" x14ac:dyDescent="0.7">
      <c r="A636" s="447"/>
      <c r="B636" s="460" t="s">
        <v>138</v>
      </c>
      <c r="C636" s="485"/>
      <c r="D636" s="494"/>
      <c r="E636" s="485" t="e">
        <f>C601*SIN(C630)/(-C600*C605+C601*C604*COS(C630))</f>
        <v>#DIV/0!</v>
      </c>
      <c r="F636" s="460"/>
      <c r="G636" s="460"/>
      <c r="H636" s="460"/>
      <c r="I636" s="496"/>
    </row>
    <row r="637" spans="1:9" s="444" customFormat="1" ht="12.3" outlineLevel="1" x14ac:dyDescent="0.4">
      <c r="A637" s="447"/>
      <c r="B637" s="460"/>
      <c r="C637" s="485"/>
      <c r="D637" s="494"/>
      <c r="E637" s="460"/>
      <c r="F637" s="485"/>
      <c r="G637" s="460"/>
      <c r="H637" s="460"/>
      <c r="I637" s="496"/>
    </row>
    <row r="638" spans="1:9" s="444" customFormat="1" ht="12.3" outlineLevel="1" x14ac:dyDescent="0.4">
      <c r="A638" s="447"/>
      <c r="B638" s="460"/>
      <c r="C638" s="497"/>
      <c r="D638" s="447"/>
      <c r="E638" s="460"/>
      <c r="F638" s="485"/>
      <c r="G638" s="460"/>
      <c r="H638" s="460"/>
      <c r="I638" s="496"/>
    </row>
    <row r="639" spans="1:9" s="444" customFormat="1" ht="12.3" outlineLevel="1" x14ac:dyDescent="0.4">
      <c r="A639" s="447"/>
      <c r="B639" s="460"/>
      <c r="C639" s="460"/>
      <c r="D639" s="447"/>
      <c r="E639" s="489"/>
      <c r="F639" s="494"/>
      <c r="G639" s="460"/>
      <c r="H639" s="460"/>
      <c r="I639" s="496"/>
    </row>
    <row r="640" spans="1:9" s="444" customFormat="1" ht="12.3" outlineLevel="1" x14ac:dyDescent="0.4">
      <c r="A640" s="447"/>
      <c r="B640" s="146" t="s">
        <v>137</v>
      </c>
      <c r="C640" s="146"/>
      <c r="D640" s="489"/>
      <c r="E640" s="146" t="s">
        <v>136</v>
      </c>
      <c r="F640" s="146"/>
      <c r="G640" s="460"/>
      <c r="H640" s="460"/>
      <c r="I640" s="496"/>
    </row>
    <row r="641" spans="1:10" s="444" customFormat="1" ht="14.7" outlineLevel="1" x14ac:dyDescent="0.6">
      <c r="A641" s="447"/>
      <c r="B641" s="145" t="s">
        <v>417</v>
      </c>
      <c r="C641" s="485" t="e">
        <f ca="1">ATAN(E634)</f>
        <v>#DIV/0!</v>
      </c>
      <c r="D641" s="447"/>
      <c r="E641" s="145" t="s">
        <v>418</v>
      </c>
      <c r="F641" s="485" t="e">
        <f>ATAN(E636)</f>
        <v>#DIV/0!</v>
      </c>
      <c r="G641" s="460"/>
      <c r="H641" s="460"/>
      <c r="I641" s="496" t="e">
        <f>ATAN2(E590-E588,E591-E589)*180/PI()</f>
        <v>#DIV/0!</v>
      </c>
      <c r="J641" s="496" t="e">
        <f>ATAN2(E588-E590,E589-E591)*180/PI()</f>
        <v>#DIV/0!</v>
      </c>
    </row>
    <row r="642" spans="1:10" s="444" customFormat="1" ht="14.7" outlineLevel="1" x14ac:dyDescent="0.6">
      <c r="A642" s="447"/>
      <c r="B642" s="145" t="s">
        <v>419</v>
      </c>
      <c r="C642" s="485" t="e">
        <f ca="1">(C641/PI())*180+360</f>
        <v>#DIV/0!</v>
      </c>
      <c r="D642" s="447"/>
      <c r="E642" s="145" t="s">
        <v>420</v>
      </c>
      <c r="F642" s="485" t="e">
        <f>(F641/PI())*180+180</f>
        <v>#DIV/0!</v>
      </c>
      <c r="G642" s="460"/>
      <c r="H642" s="460"/>
      <c r="I642" s="496" t="e">
        <f>IF(I641&lt;0,C641*180/PI()+360,C641*180/PI())</f>
        <v>#DIV/0!</v>
      </c>
      <c r="J642" s="498" t="e">
        <f>IF(J641&gt;0,F641*180/PI()+180,F641*180/PI())</f>
        <v>#DIV/0!</v>
      </c>
    </row>
    <row r="643" spans="1:10" s="444" customFormat="1" ht="14.7" outlineLevel="1" x14ac:dyDescent="0.6">
      <c r="A643" s="447"/>
      <c r="B643" s="145" t="s">
        <v>419</v>
      </c>
      <c r="C643" s="485" t="e">
        <f ca="1">IF(C642&gt;=360,C642-360,C642)</f>
        <v>#DIV/0!</v>
      </c>
      <c r="D643" s="447"/>
      <c r="E643" s="145" t="s">
        <v>420</v>
      </c>
      <c r="F643" s="485" t="e">
        <f>IF(F642&gt;=360,F642-360,F642)</f>
        <v>#DIV/0!</v>
      </c>
      <c r="G643" s="460"/>
      <c r="H643" s="460"/>
      <c r="I643" s="496" t="e">
        <f ca="1">ATAN2((C601*C604-C600*C605*COS(E630)),C605*SIN(E630))</f>
        <v>#DIV/0!</v>
      </c>
      <c r="J643" s="485" t="e">
        <f ca="1">ATAN2((-C600*C605+C601*C604*COS(E630)),C601*SIN(E630))</f>
        <v>#DIV/0!</v>
      </c>
    </row>
    <row r="644" spans="1:10" s="444" customFormat="1" ht="14.7" outlineLevel="1" x14ac:dyDescent="0.6">
      <c r="A644" s="447"/>
      <c r="B644" s="145" t="s">
        <v>419</v>
      </c>
      <c r="C644" s="485">
        <f>IF(B647="samepoint",0,IF(B648="northsouth",0,IF(B649="southnorth",180,C643)))</f>
        <v>0</v>
      </c>
      <c r="D644" s="447"/>
      <c r="E644" s="145" t="s">
        <v>420</v>
      </c>
      <c r="F644" s="485">
        <f>IF(B647="samepoint",0,IF(B648="northsouth",180,IF(B649="southnorth",0,F643)))</f>
        <v>0</v>
      </c>
      <c r="G644" s="447"/>
      <c r="H644" s="447"/>
      <c r="I644" s="485">
        <f>IF(B647="samepoint",0,IF(B648="northsouth",0,IF(B649="southnorth",180,IF(I643&lt;0,I643*180/PI()+360,I643*180/PI()))))</f>
        <v>0</v>
      </c>
      <c r="J644" s="485">
        <f>IF(B647="samepoint",0,IF(B648="northsouth",180,IF(B649="southnorth",0,J643*180/PI()+180)))</f>
        <v>0</v>
      </c>
    </row>
    <row r="645" spans="1:10" s="444" customFormat="1" ht="12.3" outlineLevel="1" x14ac:dyDescent="0.4">
      <c r="A645" s="447"/>
      <c r="B645" s="145"/>
      <c r="C645" s="447"/>
      <c r="D645" s="447"/>
      <c r="E645" s="145"/>
      <c r="F645" s="447"/>
      <c r="G645" s="447"/>
      <c r="H645" s="447"/>
      <c r="I645" s="447"/>
    </row>
    <row r="646" spans="1:10" s="444" customFormat="1" ht="12.3" outlineLevel="1" x14ac:dyDescent="0.4">
      <c r="A646" s="447"/>
      <c r="B646" s="144" t="s">
        <v>135</v>
      </c>
      <c r="C646" s="144"/>
      <c r="D646" s="447"/>
      <c r="E646" s="447"/>
      <c r="F646" s="447"/>
      <c r="G646" s="447"/>
      <c r="H646" s="447"/>
      <c r="I646" s="447"/>
    </row>
    <row r="647" spans="1:10" s="444" customFormat="1" ht="12.3" outlineLevel="1" x14ac:dyDescent="0.4">
      <c r="A647" s="447"/>
      <c r="B647" s="447" t="str">
        <f>IF(AND(C588=C590,C589=C591),"samepoint","N.A. " )</f>
        <v>samepoint</v>
      </c>
      <c r="C647" s="447" t="s">
        <v>134</v>
      </c>
      <c r="D647" s="447"/>
      <c r="E647" s="447"/>
      <c r="F647" s="447"/>
      <c r="G647" s="447"/>
      <c r="H647" s="447"/>
      <c r="I647" s="447"/>
    </row>
    <row r="648" spans="1:10" s="444" customFormat="1" ht="12.3" outlineLevel="1" x14ac:dyDescent="0.4">
      <c r="A648" s="447"/>
      <c r="B648" s="447" t="str">
        <f>IF(AND(C589=C591,C590&gt;C588),"northsouth","N.A. ")</f>
        <v xml:space="preserve">N.A. </v>
      </c>
      <c r="C648" s="447" t="s">
        <v>133</v>
      </c>
      <c r="D648" s="447"/>
      <c r="E648" s="447"/>
      <c r="F648" s="447"/>
      <c r="G648" s="447"/>
      <c r="H648" s="447"/>
      <c r="I648" s="447"/>
    </row>
    <row r="649" spans="1:10" s="444" customFormat="1" ht="12.3" outlineLevel="1" x14ac:dyDescent="0.4">
      <c r="A649" s="447"/>
      <c r="B649" s="447" t="str">
        <f>IF(AND(C589=C591,C588&gt;C590),"southnorth","N.A. ")</f>
        <v xml:space="preserve">N.A. </v>
      </c>
      <c r="C649" s="447" t="s">
        <v>132</v>
      </c>
      <c r="D649" s="447"/>
      <c r="E649" s="447"/>
      <c r="F649" s="447"/>
      <c r="G649" s="447"/>
      <c r="H649" s="447"/>
      <c r="I649" s="447"/>
    </row>
    <row r="650" spans="1:10" s="444" customFormat="1" ht="12.3" x14ac:dyDescent="0.4">
      <c r="A650" s="447"/>
      <c r="B650" s="447"/>
      <c r="C650" s="447"/>
      <c r="D650" s="447"/>
      <c r="E650" s="447"/>
      <c r="F650" s="447"/>
      <c r="G650" s="447"/>
      <c r="H650" s="447"/>
      <c r="I650" s="447"/>
    </row>
    <row r="651" spans="1:10" s="444" customFormat="1" ht="15" x14ac:dyDescent="0.5">
      <c r="A651" s="447"/>
      <c r="B651" s="448" t="s">
        <v>187</v>
      </c>
      <c r="C651" s="448" t="s">
        <v>186</v>
      </c>
      <c r="D651" s="447"/>
      <c r="E651" s="447"/>
      <c r="F651" s="447"/>
      <c r="G651" s="447"/>
      <c r="H651" s="447"/>
      <c r="I651" s="447"/>
    </row>
    <row r="652" spans="1:10" s="444" customFormat="1" ht="17.399999999999999" x14ac:dyDescent="0.55000000000000004">
      <c r="A652" s="447"/>
      <c r="B652" s="449" t="s">
        <v>185</v>
      </c>
      <c r="C652" s="450" t="s">
        <v>209</v>
      </c>
      <c r="D652" s="451"/>
      <c r="E652" s="452"/>
      <c r="F652" s="453" t="s">
        <v>183</v>
      </c>
      <c r="G652" s="507" t="s">
        <v>189</v>
      </c>
      <c r="H652" s="507"/>
      <c r="I652" s="508"/>
      <c r="J652" s="455"/>
    </row>
    <row r="653" spans="1:10" s="444" customFormat="1" ht="14.7" x14ac:dyDescent="0.6">
      <c r="A653" s="447"/>
      <c r="B653" s="158" t="s">
        <v>405</v>
      </c>
      <c r="C653" s="456">
        <f>IF(OR(SUMMARY!B20="NO",SUMMARY!H30=0,SUMMARY!H31=0),0,IF(TPOrder!CI1=MAX(TPOrder!CI1,TPOrder!CY1,TPOrder!DO1),SUMMARY!$D$18,IF(TPOrder!CY1=MAX(TPOrder!CI1,TPOrder!CY1,TPOrder!DO1),SUMMARY!$D$24,IF(TPOrder!DO1=MAX(TPOrder!CI1,TPOrder!CY1,TPOrder!DO1),SUMMARY!$D$30,""))))</f>
        <v>0</v>
      </c>
      <c r="D653" s="457">
        <f>IF(OR(SUMMARY!B20="NO",SUMMARY!H30=0,SUMMARY!H31=0),0,IF(TPOrder!CI1=MAX(TPOrder!CI1,TPOrder!CY1,TPOrder!DO1),SUMMARY!$E$18,IF(TPOrder!CY1=MAX(TPOrder!CI1,TPOrder!CY1,TPOrder!DO1),SUMMARY!$E$24,IF(TPOrder!DO1=MAX(TPOrder!CI1,TPOrder!CY1,TPOrder!DO1),SUMMARY!$E$30,""))))</f>
        <v>0</v>
      </c>
      <c r="E653" s="458"/>
      <c r="F653" s="157" t="s">
        <v>406</v>
      </c>
      <c r="G653" s="459">
        <f>G150</f>
        <v>0</v>
      </c>
      <c r="H653" s="457">
        <f>H150</f>
        <v>0</v>
      </c>
      <c r="I653" s="458"/>
      <c r="J653" s="460"/>
    </row>
    <row r="654" spans="1:10" s="444" customFormat="1" ht="14.7" x14ac:dyDescent="0.6">
      <c r="A654" s="447"/>
      <c r="B654" s="158" t="s">
        <v>407</v>
      </c>
      <c r="C654" s="461">
        <f>IF(OR(SUMMARY!B20="NO",SUMMARY!H30=0,SUMMARY!H31=0),0,IF(TPOrder!CI1=MAX(TPOrder!CI1,TPOrder!CY1,TPOrder!DO1),SUMMARY!$D$20,IF(TPOrder!CY1=MAX(TPOrder!CI1,TPOrder!CY1,TPOrder!DO1),SUMMARY!$D$26,IF(TPOrder!DO1=MAX(TPOrder!CI1,TPOrder!CY1,TPOrder!DO1),SUMMARY!$D$32,""))))</f>
        <v>0</v>
      </c>
      <c r="D654" s="462">
        <f>IF(OR(SUMMARY!B20="NO",SUMMARY!H30=0,SUMMARY!H31=0),0,IF(TPOrder!CI1=MAX(TPOrder!CI1,TPOrder!CY1,TPOrder!DO1),SUMMARY!$E$20,IF(TPOrder!CY1=MAX(TPOrder!CI1,TPOrder!CY1,TPOrder!DO1),SUMMARY!$E$26,IF(TPOrder!DO1=MAX(TPOrder!CI1,TPOrder!CY1,TPOrder!DO1),SUMMARY!$E$32,""))))</f>
        <v>0</v>
      </c>
      <c r="E654" s="463"/>
      <c r="F654" s="157" t="s">
        <v>408</v>
      </c>
      <c r="G654" s="459">
        <f>G151</f>
        <v>0</v>
      </c>
      <c r="H654" s="457">
        <f>H151</f>
        <v>0</v>
      </c>
      <c r="I654" s="458"/>
    </row>
    <row r="655" spans="1:10" s="444" customFormat="1" ht="12.3" x14ac:dyDescent="0.4">
      <c r="A655" s="447"/>
      <c r="B655" s="464" t="s">
        <v>180</v>
      </c>
      <c r="C655" s="465">
        <f>E704</f>
        <v>0</v>
      </c>
      <c r="D655" s="466"/>
      <c r="E655" s="467"/>
      <c r="F655" s="500"/>
      <c r="G655" s="468"/>
      <c r="H655" s="468"/>
      <c r="I655" s="156" t="s">
        <v>179</v>
      </c>
      <c r="J655" s="447"/>
    </row>
    <row r="656" spans="1:10" s="444" customFormat="1" ht="14.7" x14ac:dyDescent="0.6">
      <c r="A656" s="447"/>
      <c r="B656" s="464" t="s">
        <v>409</v>
      </c>
      <c r="C656" s="469">
        <f>I716</f>
        <v>0</v>
      </c>
      <c r="D656" s="470"/>
      <c r="E656" s="471"/>
      <c r="F656" s="501"/>
      <c r="G656" s="472"/>
      <c r="H656" s="473"/>
      <c r="J656" s="474"/>
    </row>
    <row r="657" spans="1:11" s="444" customFormat="1" ht="14.7" x14ac:dyDescent="0.6">
      <c r="A657" s="447"/>
      <c r="B657" s="475" t="s">
        <v>410</v>
      </c>
      <c r="C657" s="476">
        <f>J716</f>
        <v>0</v>
      </c>
      <c r="D657" s="477"/>
      <c r="E657" s="478"/>
      <c r="F657" s="502">
        <f>IF(AND(C653=0=FALSE,G653=0=FALSE),C655/1000,0)</f>
        <v>0</v>
      </c>
      <c r="G657" s="447" t="s">
        <v>178</v>
      </c>
      <c r="H657" s="447"/>
      <c r="K657" s="505"/>
    </row>
    <row r="658" spans="1:11" s="444" customFormat="1" ht="12.3" x14ac:dyDescent="0.4">
      <c r="A658" s="447"/>
      <c r="B658" s="460"/>
      <c r="C658" s="487"/>
      <c r="D658" s="489"/>
      <c r="E658" s="489"/>
      <c r="F658" s="447"/>
      <c r="G658" s="460"/>
      <c r="K658" s="505"/>
    </row>
    <row r="659" spans="1:11" s="444" customFormat="1" ht="12.3" outlineLevel="1" x14ac:dyDescent="0.4">
      <c r="A659" s="447"/>
      <c r="B659" s="447"/>
      <c r="C659" s="503" t="s">
        <v>177</v>
      </c>
      <c r="D659" s="504"/>
      <c r="E659" s="503" t="s">
        <v>85</v>
      </c>
      <c r="F659" s="447"/>
      <c r="G659" s="460"/>
      <c r="H659" s="460"/>
      <c r="I659" s="447"/>
    </row>
    <row r="660" spans="1:11" s="444" customFormat="1" ht="14.7" outlineLevel="1" x14ac:dyDescent="0.6">
      <c r="A660" s="447"/>
      <c r="B660" s="460" t="s">
        <v>411</v>
      </c>
      <c r="C660" s="485">
        <f>C653+D653/60</f>
        <v>0</v>
      </c>
      <c r="D660" s="447"/>
      <c r="E660" s="485">
        <f>C660*PI()/180</f>
        <v>0</v>
      </c>
      <c r="F660" s="447"/>
      <c r="G660" s="460"/>
      <c r="H660" s="460"/>
      <c r="I660" s="447"/>
    </row>
    <row r="661" spans="1:11" s="444" customFormat="1" ht="14.7" outlineLevel="1" x14ac:dyDescent="0.6">
      <c r="A661" s="447"/>
      <c r="B661" s="460" t="s">
        <v>412</v>
      </c>
      <c r="C661" s="485">
        <f>C654+D654/60</f>
        <v>0</v>
      </c>
      <c r="D661" s="447"/>
      <c r="E661" s="485">
        <f>C661*PI()/180</f>
        <v>0</v>
      </c>
      <c r="F661" s="447"/>
      <c r="G661" s="460"/>
      <c r="H661" s="485"/>
      <c r="I661" s="447"/>
    </row>
    <row r="662" spans="1:11" s="444" customFormat="1" ht="14.7" outlineLevel="1" x14ac:dyDescent="0.6">
      <c r="A662" s="447"/>
      <c r="B662" s="460" t="s">
        <v>413</v>
      </c>
      <c r="C662" s="485">
        <f>G653+H653/60</f>
        <v>0</v>
      </c>
      <c r="D662" s="447"/>
      <c r="E662" s="485">
        <f>C662*PI()/180</f>
        <v>0</v>
      </c>
      <c r="F662" s="447"/>
      <c r="G662" s="460"/>
      <c r="H662" s="460"/>
      <c r="I662" s="447"/>
    </row>
    <row r="663" spans="1:11" s="444" customFormat="1" ht="14.7" outlineLevel="1" x14ac:dyDescent="0.6">
      <c r="A663" s="447"/>
      <c r="B663" s="460" t="s">
        <v>414</v>
      </c>
      <c r="C663" s="485">
        <f>G654+H654/60</f>
        <v>0</v>
      </c>
      <c r="D663" s="447"/>
      <c r="E663" s="485">
        <f>C663*PI()/180</f>
        <v>0</v>
      </c>
      <c r="F663" s="447"/>
      <c r="G663" s="460"/>
      <c r="H663" s="485"/>
      <c r="I663" s="447"/>
    </row>
    <row r="664" spans="1:11" s="444" customFormat="1" ht="12.3" outlineLevel="1" x14ac:dyDescent="0.4">
      <c r="A664" s="447"/>
      <c r="B664" s="485"/>
      <c r="C664" s="485"/>
      <c r="D664" s="485"/>
      <c r="E664" s="485"/>
      <c r="F664" s="447"/>
      <c r="G664" s="460"/>
      <c r="H664" s="485"/>
      <c r="I664" s="447"/>
    </row>
    <row r="665" spans="1:11" s="444" customFormat="1" ht="12.3" outlineLevel="1" x14ac:dyDescent="0.4">
      <c r="A665" s="447"/>
      <c r="B665" s="460" t="s">
        <v>176</v>
      </c>
      <c r="C665" s="487">
        <v>6378137</v>
      </c>
      <c r="D665" s="488"/>
      <c r="E665" s="489" t="s">
        <v>175</v>
      </c>
      <c r="F665" s="485">
        <f>C667+C667*C667</f>
        <v>3.3640520041011246E-3</v>
      </c>
      <c r="G665" s="460"/>
      <c r="H665" s="460"/>
      <c r="I665" s="447"/>
    </row>
    <row r="666" spans="1:11" s="444" customFormat="1" ht="12.3" outlineLevel="1" x14ac:dyDescent="0.4">
      <c r="A666" s="447"/>
      <c r="B666" s="489" t="s">
        <v>174</v>
      </c>
      <c r="C666" s="487">
        <v>6356752.3142451793</v>
      </c>
      <c r="D666" s="488"/>
      <c r="E666" s="489" t="s">
        <v>173</v>
      </c>
      <c r="F666" s="485">
        <f>F665/2</f>
        <v>1.6820260020505623E-3</v>
      </c>
      <c r="G666" s="460"/>
      <c r="H666" s="460"/>
      <c r="I666" s="447"/>
    </row>
    <row r="667" spans="1:11" s="444" customFormat="1" ht="12.3" outlineLevel="1" x14ac:dyDescent="0.4">
      <c r="A667" s="447"/>
      <c r="B667" s="489" t="s">
        <v>172</v>
      </c>
      <c r="C667" s="485">
        <v>3.3528106647474801E-3</v>
      </c>
      <c r="D667" s="489"/>
      <c r="E667" s="489" t="s">
        <v>171</v>
      </c>
      <c r="F667" s="485">
        <f>C667*C667/2</f>
        <v>5.6206696768222199E-6</v>
      </c>
      <c r="G667" s="460"/>
      <c r="H667" s="460"/>
      <c r="I667" s="447"/>
    </row>
    <row r="668" spans="1:11" s="444" customFormat="1" ht="12.3" outlineLevel="1" x14ac:dyDescent="0.4">
      <c r="A668" s="447"/>
      <c r="B668" s="460" t="s">
        <v>415</v>
      </c>
      <c r="C668" s="485">
        <f>E663-E661</f>
        <v>0</v>
      </c>
      <c r="D668" s="447"/>
      <c r="E668" s="447" t="s">
        <v>170</v>
      </c>
      <c r="F668" s="485">
        <f>C667*C667/8</f>
        <v>1.405167419205555E-6</v>
      </c>
      <c r="G668" s="460"/>
      <c r="H668" s="460"/>
      <c r="I668" s="447"/>
    </row>
    <row r="669" spans="1:11" s="444" customFormat="1" ht="12.3" outlineLevel="1" x14ac:dyDescent="0.4">
      <c r="A669" s="447"/>
      <c r="B669" s="447"/>
      <c r="C669" s="447"/>
      <c r="D669" s="447"/>
      <c r="E669" s="489" t="s">
        <v>169</v>
      </c>
      <c r="F669" s="485">
        <f>C667*C667/16</f>
        <v>7.0258370960277749E-7</v>
      </c>
      <c r="G669" s="460"/>
      <c r="H669" s="460"/>
      <c r="I669" s="447"/>
    </row>
    <row r="670" spans="1:11" s="444" customFormat="1" ht="12.3" outlineLevel="1" x14ac:dyDescent="0.4">
      <c r="A670" s="447"/>
      <c r="B670" s="447" t="s">
        <v>168</v>
      </c>
      <c r="C670" s="490">
        <f>(1-C667)*TAN(E660)</f>
        <v>0</v>
      </c>
      <c r="D670" s="447"/>
      <c r="E670" s="489"/>
      <c r="F670" s="460"/>
      <c r="G670" s="460"/>
      <c r="H670" s="460"/>
      <c r="I670" s="447"/>
    </row>
    <row r="671" spans="1:11" s="444" customFormat="1" ht="12.3" outlineLevel="1" x14ac:dyDescent="0.4">
      <c r="A671" s="447"/>
      <c r="B671" s="460" t="s">
        <v>106</v>
      </c>
      <c r="C671" s="485">
        <f>ATAN(C670)</f>
        <v>0</v>
      </c>
      <c r="D671" s="489"/>
      <c r="E671" s="148"/>
      <c r="F671" s="485"/>
      <c r="G671" s="460"/>
      <c r="H671" s="460"/>
      <c r="I671" s="447"/>
    </row>
    <row r="672" spans="1:11" s="444" customFormat="1" ht="12.3" outlineLevel="1" x14ac:dyDescent="0.4">
      <c r="A672" s="447"/>
      <c r="B672" s="460" t="s">
        <v>167</v>
      </c>
      <c r="C672" s="485">
        <f>SIN(C671)</f>
        <v>0</v>
      </c>
      <c r="D672" s="489"/>
      <c r="E672" s="148"/>
      <c r="F672" s="485"/>
      <c r="G672" s="460"/>
      <c r="H672" s="460"/>
      <c r="I672" s="447"/>
    </row>
    <row r="673" spans="1:9" s="444" customFormat="1" ht="12.3" outlineLevel="1" x14ac:dyDescent="0.4">
      <c r="A673" s="447"/>
      <c r="B673" s="460" t="s">
        <v>166</v>
      </c>
      <c r="C673" s="485">
        <f>COS(C671)</f>
        <v>1</v>
      </c>
      <c r="D673" s="489"/>
      <c r="E673" s="460"/>
      <c r="F673" s="485"/>
      <c r="G673" s="460"/>
      <c r="H673" s="460"/>
      <c r="I673" s="447"/>
    </row>
    <row r="674" spans="1:9" s="444" customFormat="1" ht="12.3" outlineLevel="1" x14ac:dyDescent="0.4">
      <c r="A674" s="447"/>
      <c r="B674" s="460" t="s">
        <v>165</v>
      </c>
      <c r="C674" s="491">
        <f>(1-C667)*TAN(E662)</f>
        <v>0</v>
      </c>
      <c r="D674" s="489"/>
      <c r="E674" s="460"/>
      <c r="F674" s="485"/>
      <c r="G674" s="460"/>
      <c r="H674" s="460"/>
      <c r="I674" s="447"/>
    </row>
    <row r="675" spans="1:9" s="444" customFormat="1" ht="12.3" outlineLevel="1" x14ac:dyDescent="0.4">
      <c r="A675" s="447"/>
      <c r="B675" s="460" t="s">
        <v>164</v>
      </c>
      <c r="C675" s="485">
        <f>ATAN(C674)</f>
        <v>0</v>
      </c>
      <c r="D675" s="489"/>
      <c r="E675" s="460"/>
      <c r="F675" s="485"/>
      <c r="G675" s="460"/>
      <c r="H675" s="460"/>
      <c r="I675" s="447"/>
    </row>
    <row r="676" spans="1:9" s="444" customFormat="1" ht="12.3" outlineLevel="1" x14ac:dyDescent="0.4">
      <c r="A676" s="447"/>
      <c r="B676" s="460" t="s">
        <v>163</v>
      </c>
      <c r="C676" s="485">
        <f>SIN(C675)</f>
        <v>0</v>
      </c>
      <c r="D676" s="489"/>
      <c r="E676" s="460"/>
      <c r="F676" s="485"/>
      <c r="G676" s="460"/>
      <c r="H676" s="460"/>
      <c r="I676" s="447"/>
    </row>
    <row r="677" spans="1:9" s="444" customFormat="1" ht="12.3" outlineLevel="1" x14ac:dyDescent="0.4">
      <c r="A677" s="447"/>
      <c r="B677" s="460" t="s">
        <v>162</v>
      </c>
      <c r="C677" s="485">
        <f>COS(C675)</f>
        <v>1</v>
      </c>
      <c r="D677" s="489"/>
      <c r="E677" s="460"/>
      <c r="F677" s="485"/>
      <c r="G677" s="460"/>
      <c r="H677" s="460"/>
      <c r="I677" s="447"/>
    </row>
    <row r="678" spans="1:9" s="444" customFormat="1" ht="12.3" outlineLevel="1" x14ac:dyDescent="0.4">
      <c r="A678" s="447"/>
      <c r="B678" s="147" t="s">
        <v>161</v>
      </c>
      <c r="C678" s="485"/>
      <c r="D678" s="489"/>
      <c r="E678" s="460"/>
      <c r="F678" s="485"/>
      <c r="G678" s="460"/>
      <c r="H678" s="460"/>
      <c r="I678" s="447"/>
    </row>
    <row r="679" spans="1:9" s="444" customFormat="1" ht="12.3" outlineLevel="1" x14ac:dyDescent="0.4">
      <c r="A679" s="447"/>
      <c r="B679" s="148" t="s">
        <v>144</v>
      </c>
      <c r="C679" s="485">
        <f>C668</f>
        <v>0</v>
      </c>
      <c r="D679" s="489"/>
      <c r="E679" s="485">
        <f ca="1">E702</f>
        <v>0</v>
      </c>
      <c r="F679" s="485"/>
      <c r="G679" s="460"/>
      <c r="H679" s="460"/>
      <c r="I679" s="447"/>
    </row>
    <row r="680" spans="1:9" s="444" customFormat="1" ht="12.3" outlineLevel="1" x14ac:dyDescent="0.4">
      <c r="A680" s="447"/>
      <c r="B680" s="147" t="s">
        <v>160</v>
      </c>
      <c r="C680" s="485"/>
      <c r="D680" s="489"/>
      <c r="E680" s="460"/>
      <c r="F680" s="485"/>
      <c r="G680" s="460"/>
      <c r="H680" s="460"/>
      <c r="I680" s="447"/>
    </row>
    <row r="681" spans="1:9" s="444" customFormat="1" ht="13.8" outlineLevel="1" x14ac:dyDescent="0.4">
      <c r="A681" s="447"/>
      <c r="B681" s="460" t="s">
        <v>159</v>
      </c>
      <c r="C681" s="485">
        <f>(C677*SIN(C679)*C677*SIN(C679))+(C673*C676-C672*C677*COS(C679))*(C673*C676-C672*C677*COS(C679))</f>
        <v>0</v>
      </c>
      <c r="D681" s="489"/>
      <c r="E681" s="485">
        <f ca="1">(C677*SIN(E679)*C677*SIN(E679))+(C673*C676-C672*C677*COS(E679))*(C673*C676-C672*C677*COS(E679))</f>
        <v>0</v>
      </c>
      <c r="F681" s="485"/>
      <c r="G681" s="460"/>
      <c r="H681" s="460"/>
      <c r="I681" s="447"/>
    </row>
    <row r="682" spans="1:9" s="444" customFormat="1" ht="12.3" outlineLevel="1" x14ac:dyDescent="0.4">
      <c r="A682" s="447"/>
      <c r="B682" s="154" t="s">
        <v>158</v>
      </c>
      <c r="C682" s="485"/>
      <c r="D682" s="489"/>
      <c r="E682" s="489"/>
      <c r="F682" s="485"/>
      <c r="G682" s="460"/>
      <c r="H682" s="460"/>
      <c r="I682" s="447"/>
    </row>
    <row r="683" spans="1:9" s="444" customFormat="1" ht="12.3" outlineLevel="1" x14ac:dyDescent="0.4">
      <c r="A683" s="447"/>
      <c r="B683" s="447" t="s">
        <v>157</v>
      </c>
      <c r="C683" s="447">
        <f>(C672*C676)+(C673*C677*COS(C679))</f>
        <v>1</v>
      </c>
      <c r="D683" s="447"/>
      <c r="E683" s="447">
        <f ca="1">(C672*C676)+(C673*C677*COS(E679))</f>
        <v>1</v>
      </c>
      <c r="F683" s="447"/>
      <c r="G683" s="460"/>
      <c r="H683" s="460"/>
      <c r="I683" s="447"/>
    </row>
    <row r="684" spans="1:9" s="444" customFormat="1" ht="12.3" outlineLevel="1" x14ac:dyDescent="0.4">
      <c r="A684" s="447"/>
      <c r="B684" s="153" t="s">
        <v>156</v>
      </c>
      <c r="C684" s="489"/>
      <c r="D684" s="489"/>
      <c r="E684" s="489"/>
      <c r="F684" s="460"/>
      <c r="G684" s="460"/>
      <c r="H684" s="460"/>
      <c r="I684" s="447"/>
    </row>
    <row r="685" spans="1:9" s="444" customFormat="1" ht="12.3" outlineLevel="1" x14ac:dyDescent="0.4">
      <c r="A685" s="447"/>
      <c r="B685" s="460" t="s">
        <v>155</v>
      </c>
      <c r="C685" s="485">
        <f>SQRT(C681)/C683</f>
        <v>0</v>
      </c>
      <c r="D685" s="489"/>
      <c r="E685" s="485">
        <f ca="1">SQRT(E681)/E683</f>
        <v>0</v>
      </c>
      <c r="F685" s="485"/>
      <c r="G685" s="447"/>
      <c r="H685" s="447"/>
      <c r="I685" s="492"/>
    </row>
    <row r="686" spans="1:9" s="444" customFormat="1" ht="12.3" outlineLevel="1" x14ac:dyDescent="0.4">
      <c r="A686" s="447"/>
      <c r="B686" s="148" t="s">
        <v>142</v>
      </c>
      <c r="C686" s="485">
        <f>ATAN(C685)</f>
        <v>0</v>
      </c>
      <c r="D686" s="489"/>
      <c r="E686" s="485">
        <f ca="1">IF(ATAN(E685)&lt;0,ATAN(E685)+PI(),ATAN(E685))</f>
        <v>0</v>
      </c>
      <c r="F686" s="485"/>
      <c r="G686" s="447"/>
      <c r="H686" s="447"/>
      <c r="I686" s="492"/>
    </row>
    <row r="687" spans="1:9" s="444" customFormat="1" ht="12.3" outlineLevel="1" x14ac:dyDescent="0.4">
      <c r="A687" s="447"/>
      <c r="B687" s="147" t="s">
        <v>154</v>
      </c>
      <c r="C687" s="485"/>
      <c r="D687" s="489"/>
      <c r="E687" s="460"/>
      <c r="F687" s="485"/>
      <c r="G687" s="447"/>
      <c r="H687" s="447"/>
      <c r="I687" s="492"/>
    </row>
    <row r="688" spans="1:9" s="444" customFormat="1" ht="12.3" outlineLevel="1" x14ac:dyDescent="0.4">
      <c r="A688" s="447"/>
      <c r="B688" s="460" t="s">
        <v>153</v>
      </c>
      <c r="C688" s="485">
        <f>IF(C681=0,0,C673*C677*SIN(C679)/SQRT(C681))</f>
        <v>0</v>
      </c>
      <c r="D688" s="489"/>
      <c r="E688" s="485">
        <f ca="1">IF(E681=0,0,C673*C677*SIN(E679)/SQRT(E681))</f>
        <v>0</v>
      </c>
      <c r="F688" s="485"/>
      <c r="G688" s="460"/>
      <c r="H688" s="460"/>
      <c r="I688" s="492"/>
    </row>
    <row r="689" spans="1:9" s="444" customFormat="1" ht="12.3" outlineLevel="1" x14ac:dyDescent="0.4">
      <c r="A689" s="447"/>
      <c r="B689" s="147" t="s">
        <v>152</v>
      </c>
      <c r="C689" s="485"/>
      <c r="D689" s="489"/>
      <c r="E689" s="489"/>
      <c r="F689" s="485"/>
      <c r="G689" s="460"/>
      <c r="H689" s="460"/>
      <c r="I689" s="447"/>
    </row>
    <row r="690" spans="1:9" s="444" customFormat="1" ht="16.2" outlineLevel="1" x14ac:dyDescent="0.65">
      <c r="A690" s="447"/>
      <c r="B690" s="447" t="s">
        <v>416</v>
      </c>
      <c r="C690" s="447">
        <f>IF((COS(ASIN(C688))*COS(ASIN(C688)))=0,0,C683-2*C672*C676/(COS(ASIN(C688))*COS(ASIN(C688))))</f>
        <v>1</v>
      </c>
      <c r="D690" s="489"/>
      <c r="E690" s="447">
        <f ca="1">E683-2*C672*C676/(COS(ASIN(E688))*COS(ASIN(E688)))</f>
        <v>1</v>
      </c>
      <c r="F690" s="460"/>
      <c r="G690" s="460"/>
      <c r="H690" s="460"/>
      <c r="I690" s="447"/>
    </row>
    <row r="691" spans="1:9" s="444" customFormat="1" ht="15.9" outlineLevel="1" x14ac:dyDescent="0.45">
      <c r="A691" s="447"/>
      <c r="B691" s="447" t="s">
        <v>151</v>
      </c>
      <c r="C691" s="487">
        <f>COS(ASIN(C688))*COS(ASIN(C688))*(C665*C665-C666*C666)/(C666*C666)</f>
        <v>6.7394967422764341E-3</v>
      </c>
      <c r="D691" s="489"/>
      <c r="E691" s="487">
        <f ca="1">COS(ASIN(E688))*COS(ASIN(E688))*(C665*C665-C666*C666)/(C666*C666)</f>
        <v>6.7394967422764341E-3</v>
      </c>
      <c r="F691" s="447"/>
      <c r="G691" s="460"/>
      <c r="H691" s="460"/>
      <c r="I691" s="447"/>
    </row>
    <row r="692" spans="1:9" s="444" customFormat="1" ht="12.3" outlineLevel="1" x14ac:dyDescent="0.4">
      <c r="A692" s="447"/>
      <c r="B692" s="152" t="s">
        <v>150</v>
      </c>
      <c r="C692" s="485"/>
      <c r="D692" s="489"/>
      <c r="E692" s="460"/>
      <c r="F692" s="485"/>
      <c r="G692" s="460"/>
      <c r="H692" s="460"/>
      <c r="I692" s="447"/>
    </row>
    <row r="693" spans="1:9" s="444" customFormat="1" ht="12.3" outlineLevel="1" x14ac:dyDescent="0.4">
      <c r="A693" s="447"/>
      <c r="B693" s="460" t="s">
        <v>9</v>
      </c>
      <c r="C693" s="485">
        <f>1+C691/16384*(4096+C691*(-768+C691*(320-175*C691)))</f>
        <v>1.0016827510415456</v>
      </c>
      <c r="D693" s="489"/>
      <c r="E693" s="485">
        <f ca="1">1+E691/16384*(4096+E691*(-768+E691*(320-175*E691)))</f>
        <v>1.0016827510415456</v>
      </c>
      <c r="F693" s="485"/>
      <c r="G693" s="460"/>
      <c r="H693" s="460"/>
      <c r="I693" s="447"/>
    </row>
    <row r="694" spans="1:9" s="444" customFormat="1" ht="12.3" outlineLevel="1" x14ac:dyDescent="0.4">
      <c r="A694" s="447"/>
      <c r="B694" s="147" t="s">
        <v>149</v>
      </c>
      <c r="C694" s="485"/>
      <c r="D694" s="489"/>
      <c r="E694" s="460"/>
      <c r="F694" s="485"/>
      <c r="G694" s="460"/>
      <c r="H694" s="460"/>
      <c r="I694" s="490"/>
    </row>
    <row r="695" spans="1:9" s="444" customFormat="1" ht="12.3" outlineLevel="1" x14ac:dyDescent="0.4">
      <c r="A695" s="447"/>
      <c r="B695" s="460" t="s">
        <v>10</v>
      </c>
      <c r="C695" s="485">
        <f>C691/1024*(256+C691*(-128+C691*(74-47*C691)))</f>
        <v>1.6792186103152505E-3</v>
      </c>
      <c r="D695" s="489"/>
      <c r="E695" s="485">
        <f ca="1">E691/1024*(256+E691*(-128+E691*(74-47*E691)))</f>
        <v>1.6792186103152505E-3</v>
      </c>
      <c r="F695" s="485"/>
      <c r="G695" s="460"/>
      <c r="H695" s="460"/>
      <c r="I695" s="447"/>
    </row>
    <row r="696" spans="1:9" s="444" customFormat="1" ht="12.3" outlineLevel="1" x14ac:dyDescent="0.4">
      <c r="A696" s="447"/>
      <c r="B696" s="147" t="s">
        <v>148</v>
      </c>
      <c r="C696" s="485"/>
      <c r="D696" s="489"/>
      <c r="E696" s="460"/>
      <c r="F696" s="485"/>
      <c r="G696" s="460"/>
      <c r="H696" s="460"/>
      <c r="I696" s="447"/>
    </row>
    <row r="697" spans="1:9" s="444" customFormat="1" ht="12.3" outlineLevel="1" x14ac:dyDescent="0.4">
      <c r="A697" s="447"/>
      <c r="B697" s="148" t="s">
        <v>147</v>
      </c>
      <c r="C697" s="485">
        <f>C695*SQRT(C681)*(C690+C695/4*(C683*(-1+2*C690*C690)-C695/6*C690*(-3+4*C681)*(-3+4*C690*C690)))</f>
        <v>0</v>
      </c>
      <c r="D697" s="489"/>
      <c r="E697" s="485">
        <f ca="1">E695*SQRT(E681)*(E690+E695/4*(E683*(-1+2*E690*E690)-E695/6*E690*(-3+4*E681)*(-3+4*E690*E690)))</f>
        <v>0</v>
      </c>
      <c r="F697" s="485"/>
      <c r="G697" s="460"/>
      <c r="H697" s="460"/>
      <c r="I697" s="447"/>
    </row>
    <row r="698" spans="1:9" s="444" customFormat="1" ht="12.3" outlineLevel="1" x14ac:dyDescent="0.4">
      <c r="A698" s="447"/>
      <c r="B698" s="460"/>
      <c r="C698" s="485"/>
      <c r="D698" s="489"/>
      <c r="E698" s="460"/>
      <c r="F698" s="485"/>
      <c r="G698" s="460"/>
      <c r="H698" s="460"/>
      <c r="I698" s="447"/>
    </row>
    <row r="699" spans="1:9" s="444" customFormat="1" ht="12.3" outlineLevel="1" x14ac:dyDescent="0.4">
      <c r="A699" s="447"/>
      <c r="B699" s="147" t="s">
        <v>146</v>
      </c>
      <c r="C699" s="485"/>
      <c r="D699" s="494"/>
      <c r="E699" s="460"/>
      <c r="F699" s="485"/>
      <c r="G699" s="460"/>
      <c r="H699" s="460"/>
      <c r="I699" s="150"/>
    </row>
    <row r="700" spans="1:9" s="444" customFormat="1" ht="12.3" outlineLevel="1" x14ac:dyDescent="0.4">
      <c r="A700" s="447"/>
      <c r="B700" s="460" t="s">
        <v>11</v>
      </c>
      <c r="C700" s="485">
        <f>C667/16*COS(ASIN(C688))*COS(ASIN(C688))*(4+C667*(4-3*COS(ASIN(C688))*COS(ASIN(C688))))</f>
        <v>8.389052498964728E-4</v>
      </c>
      <c r="D700" s="494"/>
      <c r="E700" s="485">
        <f ca="1">C667/16*COS(ASIN(E688))*COS(ASIN(E688))*(4+C667*(4-3*COS(ASIN(E688))*COS(ASIN(E688))))</f>
        <v>8.389052498964728E-4</v>
      </c>
      <c r="F700" s="485"/>
      <c r="G700" s="460"/>
      <c r="H700" s="460"/>
      <c r="I700" s="150"/>
    </row>
    <row r="701" spans="1:9" s="444" customFormat="1" ht="12.3" outlineLevel="1" x14ac:dyDescent="0.4">
      <c r="A701" s="447"/>
      <c r="B701" s="147" t="s">
        <v>145</v>
      </c>
      <c r="C701" s="485"/>
      <c r="D701" s="494"/>
      <c r="E701" s="460"/>
      <c r="F701" s="485"/>
      <c r="G701" s="460"/>
      <c r="H701" s="460"/>
      <c r="I701" s="150"/>
    </row>
    <row r="702" spans="1:9" s="444" customFormat="1" ht="12.3" outlineLevel="1" x14ac:dyDescent="0.4">
      <c r="A702" s="447"/>
      <c r="B702" s="151" t="s">
        <v>144</v>
      </c>
      <c r="C702" s="485">
        <f>C668+(1-C700)*C667*C688*(ACOS(C683)+C700*SIN(ACOS(C683))*(C690+C700*C683*(-1+2*C690*C690)))</f>
        <v>0</v>
      </c>
      <c r="D702" s="494"/>
      <c r="E702" s="495">
        <f ca="1">C668+(1-E700)*C667*E688*(ACOS(E683)+E700*SIN(ACOS(E683))*(E690+E700*E683*(-1+2*E690*E690)))</f>
        <v>0</v>
      </c>
      <c r="F702" s="485"/>
      <c r="G702" s="460"/>
      <c r="H702" s="460"/>
      <c r="I702" s="150"/>
    </row>
    <row r="703" spans="1:9" s="444" customFormat="1" ht="12.3" outlineLevel="1" x14ac:dyDescent="0.4">
      <c r="A703" s="447"/>
      <c r="B703" s="149" t="s">
        <v>143</v>
      </c>
      <c r="C703" s="485"/>
      <c r="D703" s="494"/>
      <c r="E703" s="148"/>
      <c r="F703" s="485"/>
      <c r="G703" s="460"/>
      <c r="H703" s="460"/>
      <c r="I703" s="496"/>
    </row>
    <row r="704" spans="1:9" s="444" customFormat="1" ht="12.3" outlineLevel="1" x14ac:dyDescent="0.4">
      <c r="A704" s="447"/>
      <c r="B704" s="460" t="s">
        <v>142</v>
      </c>
      <c r="C704" s="485">
        <f>IF(B719="samepoint",0,C666*C693*(ATAN(C685)-C697))</f>
        <v>0</v>
      </c>
      <c r="D704" s="494"/>
      <c r="E704" s="485">
        <f>IF(B719="samepoint",0,C666*E693*(E686-E697))</f>
        <v>0</v>
      </c>
      <c r="F704" s="460"/>
      <c r="G704" s="460"/>
      <c r="H704" s="460"/>
      <c r="I704" s="496"/>
    </row>
    <row r="705" spans="1:10" s="444" customFormat="1" ht="12.3" outlineLevel="1" x14ac:dyDescent="0.4">
      <c r="A705" s="447"/>
      <c r="B705" s="147" t="s">
        <v>141</v>
      </c>
      <c r="C705" s="485"/>
      <c r="D705" s="494"/>
      <c r="E705" s="485"/>
      <c r="F705" s="460"/>
      <c r="G705" s="460"/>
      <c r="H705" s="460"/>
      <c r="I705" s="496"/>
    </row>
    <row r="706" spans="1:10" s="444" customFormat="1" ht="16.2" outlineLevel="1" x14ac:dyDescent="0.65">
      <c r="A706" s="447"/>
      <c r="B706" s="460" t="s">
        <v>140</v>
      </c>
      <c r="C706" s="485"/>
      <c r="D706" s="494"/>
      <c r="E706" s="485" t="e">
        <f ca="1">C677*SIN(E702)/(C673*C676-C672*C677*COS(E702))</f>
        <v>#DIV/0!</v>
      </c>
      <c r="F706" s="460"/>
      <c r="G706" s="460"/>
      <c r="H706" s="460"/>
      <c r="I706" s="496"/>
    </row>
    <row r="707" spans="1:10" s="444" customFormat="1" ht="12.3" outlineLevel="1" x14ac:dyDescent="0.4">
      <c r="A707" s="447"/>
      <c r="B707" s="147" t="s">
        <v>139</v>
      </c>
      <c r="C707" s="485"/>
      <c r="D707" s="494"/>
      <c r="E707" s="485"/>
      <c r="F707" s="460"/>
      <c r="G707" s="460"/>
      <c r="H707" s="460"/>
      <c r="I707" s="496"/>
    </row>
    <row r="708" spans="1:10" s="444" customFormat="1" ht="16.8" outlineLevel="1" x14ac:dyDescent="0.7">
      <c r="A708" s="447"/>
      <c r="B708" s="460" t="s">
        <v>138</v>
      </c>
      <c r="C708" s="485"/>
      <c r="D708" s="494"/>
      <c r="E708" s="485" t="e">
        <f>C673*SIN(C702)/(-C672*C677+C673*C676*COS(C702))</f>
        <v>#DIV/0!</v>
      </c>
      <c r="F708" s="460"/>
      <c r="G708" s="460"/>
      <c r="H708" s="460"/>
      <c r="I708" s="496"/>
    </row>
    <row r="709" spans="1:10" s="444" customFormat="1" ht="12.3" outlineLevel="1" x14ac:dyDescent="0.4">
      <c r="A709" s="447"/>
      <c r="B709" s="460"/>
      <c r="C709" s="485"/>
      <c r="D709" s="494"/>
      <c r="E709" s="460"/>
      <c r="F709" s="485"/>
      <c r="G709" s="460"/>
      <c r="H709" s="460"/>
      <c r="I709" s="496"/>
    </row>
    <row r="710" spans="1:10" s="444" customFormat="1" ht="12.3" outlineLevel="1" x14ac:dyDescent="0.4">
      <c r="A710" s="447"/>
      <c r="B710" s="460"/>
      <c r="C710" s="497"/>
      <c r="D710" s="447"/>
      <c r="E710" s="460"/>
      <c r="F710" s="485"/>
      <c r="G710" s="460"/>
      <c r="H710" s="460"/>
      <c r="I710" s="496"/>
    </row>
    <row r="711" spans="1:10" s="444" customFormat="1" ht="12.3" outlineLevel="1" x14ac:dyDescent="0.4">
      <c r="A711" s="447"/>
      <c r="B711" s="460"/>
      <c r="C711" s="460"/>
      <c r="D711" s="447"/>
      <c r="E711" s="489"/>
      <c r="F711" s="494"/>
      <c r="G711" s="460"/>
      <c r="H711" s="460"/>
      <c r="I711" s="496"/>
    </row>
    <row r="712" spans="1:10" s="444" customFormat="1" ht="12.3" outlineLevel="1" x14ac:dyDescent="0.4">
      <c r="A712" s="447"/>
      <c r="B712" s="146" t="s">
        <v>137</v>
      </c>
      <c r="C712" s="146"/>
      <c r="D712" s="489"/>
      <c r="E712" s="146" t="s">
        <v>136</v>
      </c>
      <c r="F712" s="146"/>
      <c r="G712" s="460"/>
      <c r="H712" s="460"/>
      <c r="I712" s="496"/>
    </row>
    <row r="713" spans="1:10" s="444" customFormat="1" ht="14.7" outlineLevel="1" x14ac:dyDescent="0.6">
      <c r="A713" s="447"/>
      <c r="B713" s="145" t="s">
        <v>417</v>
      </c>
      <c r="C713" s="485" t="e">
        <f ca="1">ATAN(E706)</f>
        <v>#DIV/0!</v>
      </c>
      <c r="D713" s="447"/>
      <c r="E713" s="145" t="s">
        <v>418</v>
      </c>
      <c r="F713" s="485" t="e">
        <f>ATAN(E708)</f>
        <v>#DIV/0!</v>
      </c>
      <c r="G713" s="460"/>
      <c r="H713" s="460"/>
      <c r="I713" s="496" t="e">
        <f>ATAN2(E662-E660,E663-E661)*180/PI()</f>
        <v>#DIV/0!</v>
      </c>
      <c r="J713" s="496" t="e">
        <f>ATAN2(E660-E662,E661-E663)*180/PI()</f>
        <v>#DIV/0!</v>
      </c>
    </row>
    <row r="714" spans="1:10" s="444" customFormat="1" ht="14.7" outlineLevel="1" x14ac:dyDescent="0.6">
      <c r="A714" s="447"/>
      <c r="B714" s="145" t="s">
        <v>419</v>
      </c>
      <c r="C714" s="485" t="e">
        <f ca="1">(C713/PI())*180+360</f>
        <v>#DIV/0!</v>
      </c>
      <c r="D714" s="447"/>
      <c r="E714" s="145" t="s">
        <v>420</v>
      </c>
      <c r="F714" s="485" t="e">
        <f>(F713/PI())*180+180</f>
        <v>#DIV/0!</v>
      </c>
      <c r="G714" s="460"/>
      <c r="H714" s="460"/>
      <c r="I714" s="496" t="e">
        <f>IF(I713&lt;0,C713*180/PI()+360,C713*180/PI())</f>
        <v>#DIV/0!</v>
      </c>
      <c r="J714" s="498" t="e">
        <f>IF(J713&gt;0,F713*180/PI()+180,F713*180/PI())</f>
        <v>#DIV/0!</v>
      </c>
    </row>
    <row r="715" spans="1:10" s="444" customFormat="1" ht="14.7" outlineLevel="1" x14ac:dyDescent="0.6">
      <c r="A715" s="447"/>
      <c r="B715" s="145" t="s">
        <v>419</v>
      </c>
      <c r="C715" s="485" t="e">
        <f ca="1">IF(C714&gt;=360,C714-360,C714)</f>
        <v>#DIV/0!</v>
      </c>
      <c r="D715" s="447"/>
      <c r="E715" s="145" t="s">
        <v>420</v>
      </c>
      <c r="F715" s="485" t="e">
        <f>IF(F714&gt;=360,F714-360,F714)</f>
        <v>#DIV/0!</v>
      </c>
      <c r="G715" s="460"/>
      <c r="H715" s="460"/>
      <c r="I715" s="496" t="e">
        <f ca="1">ATAN2((C673*C676-C672*C677*COS(E702)),C677*SIN(E702))</f>
        <v>#DIV/0!</v>
      </c>
      <c r="J715" s="485" t="e">
        <f ca="1">ATAN2((-C672*C677+C673*C676*COS(E702)),C673*SIN(E702))</f>
        <v>#DIV/0!</v>
      </c>
    </row>
    <row r="716" spans="1:10" s="444" customFormat="1" ht="14.7" outlineLevel="1" x14ac:dyDescent="0.6">
      <c r="A716" s="447"/>
      <c r="B716" s="145" t="s">
        <v>419</v>
      </c>
      <c r="C716" s="485">
        <f>IF(B719="samepoint",0,IF(B720="northsouth",0,IF(B721="southnorth",180,C715)))</f>
        <v>0</v>
      </c>
      <c r="D716" s="447"/>
      <c r="E716" s="145" t="s">
        <v>420</v>
      </c>
      <c r="F716" s="485">
        <f>IF(B719="samepoint",0,IF(B720="northsouth",180,IF(B721="southnorth",0,F715)))</f>
        <v>0</v>
      </c>
      <c r="G716" s="447"/>
      <c r="H716" s="447"/>
      <c r="I716" s="485">
        <f>IF(B719="samepoint",0,IF(B720="northsouth",0,IF(B721="southnorth",180,IF(I715&lt;0,I715*180/PI()+360,I715*180/PI()))))</f>
        <v>0</v>
      </c>
      <c r="J716" s="485">
        <f>IF(B719="samepoint",0,IF(B720="northsouth",180,IF(B721="southnorth",0,J715*180/PI()+180)))</f>
        <v>0</v>
      </c>
    </row>
    <row r="717" spans="1:10" s="444" customFormat="1" ht="12.3" outlineLevel="1" x14ac:dyDescent="0.4">
      <c r="A717" s="447"/>
      <c r="B717" s="145"/>
      <c r="C717" s="447"/>
      <c r="D717" s="447"/>
      <c r="E717" s="145"/>
      <c r="F717" s="447"/>
      <c r="G717" s="447"/>
      <c r="H717" s="447"/>
      <c r="I717" s="447"/>
    </row>
    <row r="718" spans="1:10" s="444" customFormat="1" ht="12.3" outlineLevel="1" x14ac:dyDescent="0.4">
      <c r="A718" s="447"/>
      <c r="B718" s="144" t="s">
        <v>135</v>
      </c>
      <c r="C718" s="144"/>
      <c r="D718" s="447"/>
      <c r="E718" s="447"/>
      <c r="F718" s="447"/>
      <c r="G718" s="447"/>
      <c r="H718" s="447"/>
      <c r="I718" s="447"/>
    </row>
    <row r="719" spans="1:10" s="444" customFormat="1" ht="12.3" outlineLevel="1" x14ac:dyDescent="0.4">
      <c r="A719" s="447"/>
      <c r="B719" s="447" t="str">
        <f>IF(AND(C660=C662,C661=C663),"samepoint","N.A. " )</f>
        <v>samepoint</v>
      </c>
      <c r="C719" s="447" t="s">
        <v>134</v>
      </c>
      <c r="D719" s="447"/>
      <c r="E719" s="447"/>
      <c r="F719" s="447"/>
      <c r="G719" s="447"/>
      <c r="H719" s="447"/>
      <c r="I719" s="447"/>
    </row>
    <row r="720" spans="1:10" s="444" customFormat="1" ht="12.3" outlineLevel="1" x14ac:dyDescent="0.4">
      <c r="A720" s="447"/>
      <c r="B720" s="447" t="str">
        <f>IF(AND(C661=C663,C662&gt;C660),"northsouth","N.A. ")</f>
        <v xml:space="preserve">N.A. </v>
      </c>
      <c r="C720" s="447" t="s">
        <v>133</v>
      </c>
      <c r="D720" s="447"/>
      <c r="E720" s="447"/>
      <c r="F720" s="447"/>
      <c r="G720" s="447"/>
      <c r="H720" s="447"/>
      <c r="I720" s="447"/>
    </row>
    <row r="721" spans="1:10" s="444" customFormat="1" ht="12.3" outlineLevel="1" x14ac:dyDescent="0.4">
      <c r="A721" s="447"/>
      <c r="B721" s="447" t="str">
        <f>IF(AND(C661=C663,C660&gt;C662),"southnorth","N.A. ")</f>
        <v xml:space="preserve">N.A. </v>
      </c>
      <c r="C721" s="447" t="s">
        <v>132</v>
      </c>
      <c r="D721" s="447"/>
      <c r="E721" s="447"/>
      <c r="F721" s="447"/>
      <c r="G721" s="447"/>
      <c r="H721" s="447"/>
      <c r="I721" s="447"/>
    </row>
    <row r="722" spans="1:10" s="444" customFormat="1" ht="12.3" x14ac:dyDescent="0.4">
      <c r="A722" s="447"/>
      <c r="B722" s="447"/>
      <c r="C722" s="447"/>
      <c r="D722" s="447"/>
      <c r="E722" s="447"/>
      <c r="F722" s="447"/>
      <c r="G722" s="447"/>
      <c r="H722" s="447"/>
      <c r="I722" s="447"/>
    </row>
    <row r="723" spans="1:10" s="444" customFormat="1" ht="15" x14ac:dyDescent="0.5">
      <c r="A723" s="447"/>
      <c r="B723" s="448" t="s">
        <v>187</v>
      </c>
      <c r="C723" s="448" t="s">
        <v>186</v>
      </c>
      <c r="D723" s="447"/>
      <c r="E723" s="447"/>
      <c r="F723" s="447"/>
      <c r="G723" s="447"/>
      <c r="H723" s="447"/>
      <c r="I723" s="447"/>
    </row>
    <row r="724" spans="1:10" s="444" customFormat="1" ht="17.399999999999999" x14ac:dyDescent="0.55000000000000004">
      <c r="A724" s="447"/>
      <c r="B724" s="449" t="s">
        <v>185</v>
      </c>
      <c r="C724" s="450" t="s">
        <v>209</v>
      </c>
      <c r="D724" s="451"/>
      <c r="E724" s="452"/>
      <c r="F724" s="453" t="s">
        <v>183</v>
      </c>
      <c r="G724" s="1074" t="str">
        <f>SUMMARY!H14</f>
        <v>Landing</v>
      </c>
      <c r="H724" s="1074"/>
      <c r="I724" s="454"/>
      <c r="J724" s="455"/>
    </row>
    <row r="725" spans="1:10" s="444" customFormat="1" ht="14.7" x14ac:dyDescent="0.6">
      <c r="A725" s="447"/>
      <c r="B725" s="158" t="s">
        <v>405</v>
      </c>
      <c r="C725" s="456">
        <f>C$653</f>
        <v>0</v>
      </c>
      <c r="D725" s="457">
        <f>D$653</f>
        <v>0</v>
      </c>
      <c r="E725" s="458"/>
      <c r="F725" s="157" t="s">
        <v>406</v>
      </c>
      <c r="G725" s="459">
        <f>G7</f>
        <v>0</v>
      </c>
      <c r="H725" s="457">
        <f>H7</f>
        <v>0</v>
      </c>
      <c r="I725" s="458"/>
      <c r="J725" s="460"/>
    </row>
    <row r="726" spans="1:10" s="444" customFormat="1" ht="14.7" x14ac:dyDescent="0.6">
      <c r="A726" s="447"/>
      <c r="B726" s="158" t="s">
        <v>407</v>
      </c>
      <c r="C726" s="461">
        <f>C$654</f>
        <v>0</v>
      </c>
      <c r="D726" s="462">
        <f>D$654</f>
        <v>0</v>
      </c>
      <c r="E726" s="463"/>
      <c r="F726" s="157" t="s">
        <v>408</v>
      </c>
      <c r="G726" s="459">
        <f>G8</f>
        <v>0</v>
      </c>
      <c r="H726" s="457">
        <f>H8</f>
        <v>0</v>
      </c>
      <c r="I726" s="458"/>
    </row>
    <row r="727" spans="1:10" s="444" customFormat="1" ht="12.3" x14ac:dyDescent="0.4">
      <c r="A727" s="447"/>
      <c r="B727" s="464" t="s">
        <v>180</v>
      </c>
      <c r="C727" s="465">
        <f>E776</f>
        <v>0</v>
      </c>
      <c r="D727" s="466"/>
      <c r="E727" s="467"/>
      <c r="F727" s="500"/>
      <c r="G727" s="468"/>
      <c r="H727" s="468"/>
      <c r="I727" s="156" t="s">
        <v>179</v>
      </c>
      <c r="J727" s="447"/>
    </row>
    <row r="728" spans="1:10" s="444" customFormat="1" ht="14.7" x14ac:dyDescent="0.6">
      <c r="A728" s="447"/>
      <c r="B728" s="464" t="s">
        <v>409</v>
      </c>
      <c r="C728" s="469">
        <f>I788</f>
        <v>0</v>
      </c>
      <c r="D728" s="470"/>
      <c r="E728" s="471"/>
      <c r="F728" s="501"/>
      <c r="G728" s="472"/>
      <c r="H728" s="473"/>
      <c r="J728" s="474"/>
    </row>
    <row r="729" spans="1:10" s="444" customFormat="1" ht="14.7" x14ac:dyDescent="0.6">
      <c r="A729" s="447"/>
      <c r="B729" s="475" t="s">
        <v>410</v>
      </c>
      <c r="C729" s="476">
        <f>J788</f>
        <v>0</v>
      </c>
      <c r="D729" s="477"/>
      <c r="E729" s="478"/>
      <c r="F729" s="502">
        <f>IF(C725=0=FALSE,C727/1000,0)</f>
        <v>0</v>
      </c>
      <c r="G729" s="447" t="s">
        <v>178</v>
      </c>
      <c r="H729" s="447"/>
    </row>
    <row r="730" spans="1:10" s="444" customFormat="1" ht="12.3" x14ac:dyDescent="0.4">
      <c r="A730" s="447"/>
      <c r="B730" s="460"/>
      <c r="C730" s="487"/>
      <c r="D730" s="489"/>
      <c r="E730" s="489"/>
      <c r="F730" s="447"/>
      <c r="G730" s="460"/>
    </row>
    <row r="731" spans="1:10" s="444" customFormat="1" ht="12.3" outlineLevel="1" x14ac:dyDescent="0.4">
      <c r="A731" s="447"/>
      <c r="B731" s="447"/>
      <c r="C731" s="503" t="s">
        <v>177</v>
      </c>
      <c r="D731" s="504"/>
      <c r="E731" s="503" t="s">
        <v>85</v>
      </c>
      <c r="F731" s="447"/>
      <c r="G731" s="460"/>
      <c r="H731" s="460"/>
      <c r="I731" s="447"/>
    </row>
    <row r="732" spans="1:10" s="444" customFormat="1" ht="14.7" outlineLevel="1" x14ac:dyDescent="0.6">
      <c r="A732" s="447"/>
      <c r="B732" s="460" t="s">
        <v>411</v>
      </c>
      <c r="C732" s="485">
        <f>C725+D725/60</f>
        <v>0</v>
      </c>
      <c r="D732" s="447"/>
      <c r="E732" s="485">
        <f>C732*PI()/180</f>
        <v>0</v>
      </c>
      <c r="F732" s="447"/>
      <c r="G732" s="460"/>
      <c r="H732" s="460"/>
      <c r="I732" s="447"/>
    </row>
    <row r="733" spans="1:10" s="444" customFormat="1" ht="14.7" outlineLevel="1" x14ac:dyDescent="0.6">
      <c r="A733" s="447"/>
      <c r="B733" s="460" t="s">
        <v>412</v>
      </c>
      <c r="C733" s="485">
        <f>C726+D726/60</f>
        <v>0</v>
      </c>
      <c r="D733" s="447"/>
      <c r="E733" s="485">
        <f>C733*PI()/180</f>
        <v>0</v>
      </c>
      <c r="F733" s="447"/>
      <c r="G733" s="460"/>
      <c r="H733" s="485"/>
      <c r="I733" s="447"/>
    </row>
    <row r="734" spans="1:10" s="444" customFormat="1" ht="14.7" outlineLevel="1" x14ac:dyDescent="0.6">
      <c r="A734" s="447"/>
      <c r="B734" s="460" t="s">
        <v>413</v>
      </c>
      <c r="C734" s="485">
        <f>G725+H725/60</f>
        <v>0</v>
      </c>
      <c r="D734" s="447"/>
      <c r="E734" s="485">
        <f>C734*PI()/180</f>
        <v>0</v>
      </c>
      <c r="F734" s="447"/>
      <c r="G734" s="460"/>
      <c r="H734" s="460"/>
      <c r="I734" s="447"/>
    </row>
    <row r="735" spans="1:10" s="444" customFormat="1" ht="14.7" outlineLevel="1" x14ac:dyDescent="0.6">
      <c r="A735" s="447"/>
      <c r="B735" s="460" t="s">
        <v>414</v>
      </c>
      <c r="C735" s="485">
        <f>G726+H726/60</f>
        <v>0</v>
      </c>
      <c r="D735" s="447"/>
      <c r="E735" s="485">
        <f>C735*PI()/180</f>
        <v>0</v>
      </c>
      <c r="F735" s="447"/>
      <c r="G735" s="460"/>
      <c r="H735" s="485"/>
      <c r="I735" s="447"/>
    </row>
    <row r="736" spans="1:10" s="444" customFormat="1" ht="12.3" outlineLevel="1" x14ac:dyDescent="0.4">
      <c r="A736" s="447"/>
      <c r="B736" s="485"/>
      <c r="C736" s="485"/>
      <c r="D736" s="485"/>
      <c r="E736" s="485"/>
      <c r="F736" s="447"/>
      <c r="G736" s="460"/>
      <c r="H736" s="485"/>
      <c r="I736" s="447"/>
    </row>
    <row r="737" spans="2:8" s="447" customFormat="1" ht="12.3" outlineLevel="1" x14ac:dyDescent="0.4">
      <c r="B737" s="460" t="s">
        <v>176</v>
      </c>
      <c r="C737" s="487">
        <v>6378137</v>
      </c>
      <c r="D737" s="488"/>
      <c r="E737" s="489" t="s">
        <v>175</v>
      </c>
      <c r="F737" s="485">
        <f>C739+C739*C739</f>
        <v>3.3640520041011246E-3</v>
      </c>
      <c r="G737" s="460"/>
      <c r="H737" s="460"/>
    </row>
    <row r="738" spans="2:8" s="447" customFormat="1" ht="12.3" outlineLevel="1" x14ac:dyDescent="0.4">
      <c r="B738" s="489" t="s">
        <v>174</v>
      </c>
      <c r="C738" s="487">
        <v>6356752.3142451793</v>
      </c>
      <c r="D738" s="488"/>
      <c r="E738" s="489" t="s">
        <v>173</v>
      </c>
      <c r="F738" s="485">
        <f>F737/2</f>
        <v>1.6820260020505623E-3</v>
      </c>
      <c r="G738" s="460"/>
      <c r="H738" s="460"/>
    </row>
    <row r="739" spans="2:8" s="447" customFormat="1" ht="12.3" outlineLevel="1" x14ac:dyDescent="0.4">
      <c r="B739" s="489" t="s">
        <v>172</v>
      </c>
      <c r="C739" s="485">
        <v>3.3528106647474801E-3</v>
      </c>
      <c r="D739" s="489"/>
      <c r="E739" s="489" t="s">
        <v>171</v>
      </c>
      <c r="F739" s="485">
        <f>C739*C739/2</f>
        <v>5.6206696768222199E-6</v>
      </c>
      <c r="G739" s="460"/>
      <c r="H739" s="460"/>
    </row>
    <row r="740" spans="2:8" s="447" customFormat="1" ht="12.3" outlineLevel="1" x14ac:dyDescent="0.4">
      <c r="B740" s="460" t="s">
        <v>415</v>
      </c>
      <c r="C740" s="485">
        <f>E735-E733</f>
        <v>0</v>
      </c>
      <c r="E740" s="447" t="s">
        <v>170</v>
      </c>
      <c r="F740" s="485">
        <f>C739*C739/8</f>
        <v>1.405167419205555E-6</v>
      </c>
      <c r="G740" s="460"/>
      <c r="H740" s="460"/>
    </row>
    <row r="741" spans="2:8" s="447" customFormat="1" ht="12.3" outlineLevel="1" x14ac:dyDescent="0.4">
      <c r="E741" s="489" t="s">
        <v>169</v>
      </c>
      <c r="F741" s="485">
        <f>C739*C739/16</f>
        <v>7.0258370960277749E-7</v>
      </c>
      <c r="G741" s="460"/>
      <c r="H741" s="460"/>
    </row>
    <row r="742" spans="2:8" s="447" customFormat="1" ht="12.3" outlineLevel="1" x14ac:dyDescent="0.4">
      <c r="B742" s="447" t="s">
        <v>168</v>
      </c>
      <c r="C742" s="490">
        <f>(1-C739)*TAN(E732)</f>
        <v>0</v>
      </c>
      <c r="E742" s="489"/>
      <c r="F742" s="460"/>
      <c r="G742" s="460"/>
      <c r="H742" s="460"/>
    </row>
    <row r="743" spans="2:8" s="447" customFormat="1" ht="12.3" outlineLevel="1" x14ac:dyDescent="0.4">
      <c r="B743" s="460" t="s">
        <v>106</v>
      </c>
      <c r="C743" s="485">
        <f>ATAN(C742)</f>
        <v>0</v>
      </c>
      <c r="D743" s="489"/>
      <c r="E743" s="148"/>
      <c r="F743" s="485"/>
      <c r="G743" s="460"/>
      <c r="H743" s="460"/>
    </row>
    <row r="744" spans="2:8" s="447" customFormat="1" ht="12.3" outlineLevel="1" x14ac:dyDescent="0.4">
      <c r="B744" s="460" t="s">
        <v>167</v>
      </c>
      <c r="C744" s="485">
        <f>SIN(C743)</f>
        <v>0</v>
      </c>
      <c r="D744" s="489"/>
      <c r="E744" s="148"/>
      <c r="F744" s="485"/>
      <c r="G744" s="460"/>
      <c r="H744" s="460"/>
    </row>
    <row r="745" spans="2:8" s="447" customFormat="1" ht="12.3" outlineLevel="1" x14ac:dyDescent="0.4">
      <c r="B745" s="460" t="s">
        <v>166</v>
      </c>
      <c r="C745" s="485">
        <f>COS(C743)</f>
        <v>1</v>
      </c>
      <c r="D745" s="489"/>
      <c r="E745" s="460"/>
      <c r="F745" s="485"/>
      <c r="G745" s="460"/>
      <c r="H745" s="460"/>
    </row>
    <row r="746" spans="2:8" s="447" customFormat="1" ht="12.3" outlineLevel="1" x14ac:dyDescent="0.4">
      <c r="B746" s="460" t="s">
        <v>165</v>
      </c>
      <c r="C746" s="491">
        <f>(1-C739)*TAN(E734)</f>
        <v>0</v>
      </c>
      <c r="D746" s="489"/>
      <c r="E746" s="460"/>
      <c r="F746" s="485"/>
      <c r="G746" s="460"/>
      <c r="H746" s="460"/>
    </row>
    <row r="747" spans="2:8" s="447" customFormat="1" ht="12.3" outlineLevel="1" x14ac:dyDescent="0.4">
      <c r="B747" s="460" t="s">
        <v>164</v>
      </c>
      <c r="C747" s="485">
        <f>ATAN(C746)</f>
        <v>0</v>
      </c>
      <c r="D747" s="489"/>
      <c r="E747" s="460"/>
      <c r="F747" s="485"/>
      <c r="G747" s="460"/>
      <c r="H747" s="460"/>
    </row>
    <row r="748" spans="2:8" s="447" customFormat="1" ht="12.3" outlineLevel="1" x14ac:dyDescent="0.4">
      <c r="B748" s="460" t="s">
        <v>163</v>
      </c>
      <c r="C748" s="485">
        <f>SIN(C747)</f>
        <v>0</v>
      </c>
      <c r="D748" s="489"/>
      <c r="E748" s="460"/>
      <c r="F748" s="485"/>
      <c r="G748" s="460"/>
      <c r="H748" s="460"/>
    </row>
    <row r="749" spans="2:8" s="447" customFormat="1" ht="12.3" outlineLevel="1" x14ac:dyDescent="0.4">
      <c r="B749" s="460" t="s">
        <v>162</v>
      </c>
      <c r="C749" s="485">
        <f>COS(C747)</f>
        <v>1</v>
      </c>
      <c r="D749" s="489"/>
      <c r="E749" s="460"/>
      <c r="F749" s="485"/>
      <c r="G749" s="460"/>
      <c r="H749" s="460"/>
    </row>
    <row r="750" spans="2:8" s="447" customFormat="1" ht="12.3" outlineLevel="1" x14ac:dyDescent="0.4">
      <c r="B750" s="147" t="s">
        <v>161</v>
      </c>
      <c r="C750" s="485"/>
      <c r="D750" s="489"/>
      <c r="E750" s="460"/>
      <c r="F750" s="485"/>
      <c r="G750" s="460"/>
      <c r="H750" s="460"/>
    </row>
    <row r="751" spans="2:8" s="447" customFormat="1" ht="12.3" outlineLevel="1" x14ac:dyDescent="0.4">
      <c r="B751" s="148" t="s">
        <v>144</v>
      </c>
      <c r="C751" s="485">
        <f>C740</f>
        <v>0</v>
      </c>
      <c r="D751" s="489"/>
      <c r="E751" s="485">
        <f ca="1">E774</f>
        <v>0</v>
      </c>
      <c r="F751" s="485"/>
      <c r="G751" s="460"/>
      <c r="H751" s="460"/>
    </row>
    <row r="752" spans="2:8" s="447" customFormat="1" ht="12.3" outlineLevel="1" x14ac:dyDescent="0.4">
      <c r="B752" s="147" t="s">
        <v>160</v>
      </c>
      <c r="C752" s="485"/>
      <c r="D752" s="489"/>
      <c r="E752" s="460"/>
      <c r="F752" s="485"/>
      <c r="G752" s="460"/>
      <c r="H752" s="460"/>
    </row>
    <row r="753" spans="1:9" s="444" customFormat="1" ht="13.8" outlineLevel="1" x14ac:dyDescent="0.4">
      <c r="A753" s="447"/>
      <c r="B753" s="460" t="s">
        <v>159</v>
      </c>
      <c r="C753" s="485">
        <f>(C749*SIN(C751)*C749*SIN(C751))+(C745*C748-C744*C749*COS(C751))*(C745*C748-C744*C749*COS(C751))</f>
        <v>0</v>
      </c>
      <c r="D753" s="489"/>
      <c r="E753" s="485">
        <f ca="1">(C749*SIN(E751)*C749*SIN(E751))+(C745*C748-C744*C749*COS(E751))*(C745*C748-C744*C749*COS(E751))</f>
        <v>0</v>
      </c>
      <c r="F753" s="485"/>
      <c r="G753" s="460"/>
      <c r="H753" s="460"/>
      <c r="I753" s="447"/>
    </row>
    <row r="754" spans="1:9" s="444" customFormat="1" ht="12.3" outlineLevel="1" x14ac:dyDescent="0.4">
      <c r="A754" s="447"/>
      <c r="B754" s="154" t="s">
        <v>158</v>
      </c>
      <c r="C754" s="485"/>
      <c r="D754" s="489"/>
      <c r="E754" s="489"/>
      <c r="F754" s="485"/>
      <c r="G754" s="460"/>
      <c r="H754" s="460"/>
      <c r="I754" s="447"/>
    </row>
    <row r="755" spans="1:9" s="444" customFormat="1" ht="12.3" outlineLevel="1" x14ac:dyDescent="0.4">
      <c r="A755" s="447"/>
      <c r="B755" s="447" t="s">
        <v>157</v>
      </c>
      <c r="C755" s="447">
        <f>(C744*C748)+(C745*C749*COS(C751))</f>
        <v>1</v>
      </c>
      <c r="D755" s="447"/>
      <c r="E755" s="447">
        <f ca="1">(C744*C748)+(C745*C749*COS(E751))</f>
        <v>1</v>
      </c>
      <c r="F755" s="447"/>
      <c r="G755" s="460"/>
      <c r="H755" s="460"/>
      <c r="I755" s="447"/>
    </row>
    <row r="756" spans="1:9" s="444" customFormat="1" ht="12.3" outlineLevel="1" x14ac:dyDescent="0.4">
      <c r="A756" s="447"/>
      <c r="B756" s="153" t="s">
        <v>156</v>
      </c>
      <c r="C756" s="489"/>
      <c r="D756" s="489"/>
      <c r="E756" s="489"/>
      <c r="F756" s="460"/>
      <c r="G756" s="460"/>
      <c r="H756" s="460"/>
      <c r="I756" s="447"/>
    </row>
    <row r="757" spans="1:9" s="444" customFormat="1" ht="12.3" outlineLevel="1" x14ac:dyDescent="0.4">
      <c r="A757" s="447"/>
      <c r="B757" s="460" t="s">
        <v>155</v>
      </c>
      <c r="C757" s="485">
        <f>SQRT(C753)/C755</f>
        <v>0</v>
      </c>
      <c r="D757" s="489"/>
      <c r="E757" s="485">
        <f ca="1">SQRT(E753)/E755</f>
        <v>0</v>
      </c>
      <c r="F757" s="485"/>
      <c r="G757" s="447"/>
      <c r="H757" s="447"/>
      <c r="I757" s="492"/>
    </row>
    <row r="758" spans="1:9" s="444" customFormat="1" ht="12.3" outlineLevel="1" x14ac:dyDescent="0.4">
      <c r="A758" s="447"/>
      <c r="B758" s="148" t="s">
        <v>142</v>
      </c>
      <c r="C758" s="485">
        <f>ATAN(C757)</f>
        <v>0</v>
      </c>
      <c r="D758" s="489"/>
      <c r="E758" s="485">
        <f ca="1">IF(ATAN(E757)&lt;0,ATAN(E757)+PI(),ATAN(E757))</f>
        <v>0</v>
      </c>
      <c r="F758" s="485"/>
      <c r="G758" s="447"/>
      <c r="H758" s="447"/>
      <c r="I758" s="492"/>
    </row>
    <row r="759" spans="1:9" s="444" customFormat="1" ht="12.3" outlineLevel="1" x14ac:dyDescent="0.4">
      <c r="A759" s="447"/>
      <c r="B759" s="147" t="s">
        <v>154</v>
      </c>
      <c r="C759" s="485"/>
      <c r="D759" s="489"/>
      <c r="E759" s="460"/>
      <c r="F759" s="485"/>
      <c r="G759" s="447"/>
      <c r="H759" s="447"/>
      <c r="I759" s="492"/>
    </row>
    <row r="760" spans="1:9" s="444" customFormat="1" ht="12.3" outlineLevel="1" x14ac:dyDescent="0.4">
      <c r="A760" s="447"/>
      <c r="B760" s="460" t="s">
        <v>153</v>
      </c>
      <c r="C760" s="485">
        <f>IF(C753=0,0,C745*C749*SIN(C751)/SQRT(C753))</f>
        <v>0</v>
      </c>
      <c r="D760" s="489"/>
      <c r="E760" s="485">
        <f ca="1">IF(E753=0,0,C745*C749*SIN(E751)/SQRT(E753))</f>
        <v>0</v>
      </c>
      <c r="F760" s="485"/>
      <c r="G760" s="460"/>
      <c r="H760" s="460"/>
      <c r="I760" s="492"/>
    </row>
    <row r="761" spans="1:9" s="444" customFormat="1" ht="12.3" outlineLevel="1" x14ac:dyDescent="0.4">
      <c r="A761" s="447"/>
      <c r="B761" s="147" t="s">
        <v>152</v>
      </c>
      <c r="C761" s="485"/>
      <c r="D761" s="489"/>
      <c r="E761" s="489"/>
      <c r="F761" s="485"/>
      <c r="G761" s="460"/>
      <c r="H761" s="460"/>
      <c r="I761" s="447"/>
    </row>
    <row r="762" spans="1:9" s="444" customFormat="1" ht="16.2" outlineLevel="1" x14ac:dyDescent="0.65">
      <c r="A762" s="447"/>
      <c r="B762" s="447" t="s">
        <v>416</v>
      </c>
      <c r="C762" s="447">
        <f>IF((COS(ASIN(C760))*COS(ASIN(C760)))=0,0,C755-2*C744*C748/(COS(ASIN(C760))*COS(ASIN(C760))))</f>
        <v>1</v>
      </c>
      <c r="D762" s="489"/>
      <c r="E762" s="447">
        <f ca="1">E755-2*C744*C748/(COS(ASIN(E760))*COS(ASIN(E760)))</f>
        <v>1</v>
      </c>
      <c r="F762" s="460"/>
      <c r="G762" s="460"/>
      <c r="H762" s="460"/>
      <c r="I762" s="447"/>
    </row>
    <row r="763" spans="1:9" s="444" customFormat="1" ht="15.9" outlineLevel="1" x14ac:dyDescent="0.45">
      <c r="A763" s="447"/>
      <c r="B763" s="447" t="s">
        <v>151</v>
      </c>
      <c r="C763" s="487">
        <f>COS(ASIN(C760))*COS(ASIN(C760))*(C737*C737-C738*C738)/(C738*C738)</f>
        <v>6.7394967422764341E-3</v>
      </c>
      <c r="D763" s="489"/>
      <c r="E763" s="487">
        <f ca="1">COS(ASIN(E760))*COS(ASIN(E760))*(C737*C737-C738*C738)/(C738*C738)</f>
        <v>6.7394967422764341E-3</v>
      </c>
      <c r="F763" s="447"/>
      <c r="G763" s="460"/>
      <c r="H763" s="460"/>
      <c r="I763" s="447"/>
    </row>
    <row r="764" spans="1:9" s="444" customFormat="1" ht="12.3" outlineLevel="1" x14ac:dyDescent="0.4">
      <c r="A764" s="447"/>
      <c r="B764" s="152" t="s">
        <v>150</v>
      </c>
      <c r="C764" s="485"/>
      <c r="D764" s="489"/>
      <c r="E764" s="460"/>
      <c r="F764" s="485"/>
      <c r="G764" s="460"/>
      <c r="H764" s="460"/>
      <c r="I764" s="447"/>
    </row>
    <row r="765" spans="1:9" s="444" customFormat="1" ht="12.3" outlineLevel="1" x14ac:dyDescent="0.4">
      <c r="A765" s="447"/>
      <c r="B765" s="460" t="s">
        <v>9</v>
      </c>
      <c r="C765" s="485">
        <f>1+C763/16384*(4096+C763*(-768+C763*(320-175*C763)))</f>
        <v>1.0016827510415456</v>
      </c>
      <c r="D765" s="489"/>
      <c r="E765" s="485">
        <f ca="1">1+E763/16384*(4096+E763*(-768+E763*(320-175*E763)))</f>
        <v>1.0016827510415456</v>
      </c>
      <c r="F765" s="485"/>
      <c r="G765" s="460"/>
      <c r="H765" s="460"/>
      <c r="I765" s="447"/>
    </row>
    <row r="766" spans="1:9" s="444" customFormat="1" ht="12.3" outlineLevel="1" x14ac:dyDescent="0.4">
      <c r="A766" s="447"/>
      <c r="B766" s="147" t="s">
        <v>149</v>
      </c>
      <c r="C766" s="485"/>
      <c r="D766" s="489"/>
      <c r="E766" s="460"/>
      <c r="F766" s="485"/>
      <c r="G766" s="460"/>
      <c r="H766" s="460"/>
      <c r="I766" s="490"/>
    </row>
    <row r="767" spans="1:9" s="444" customFormat="1" ht="12.3" outlineLevel="1" x14ac:dyDescent="0.4">
      <c r="A767" s="447"/>
      <c r="B767" s="460" t="s">
        <v>10</v>
      </c>
      <c r="C767" s="485">
        <f>C763/1024*(256+C763*(-128+C763*(74-47*C763)))</f>
        <v>1.6792186103152505E-3</v>
      </c>
      <c r="D767" s="489"/>
      <c r="E767" s="485">
        <f ca="1">E763/1024*(256+E763*(-128+E763*(74-47*E763)))</f>
        <v>1.6792186103152505E-3</v>
      </c>
      <c r="F767" s="485"/>
      <c r="G767" s="460"/>
      <c r="H767" s="460"/>
      <c r="I767" s="447"/>
    </row>
    <row r="768" spans="1:9" s="444" customFormat="1" ht="12.3" outlineLevel="1" x14ac:dyDescent="0.4">
      <c r="A768" s="447"/>
      <c r="B768" s="147" t="s">
        <v>148</v>
      </c>
      <c r="C768" s="485"/>
      <c r="D768" s="489"/>
      <c r="E768" s="460"/>
      <c r="F768" s="485"/>
      <c r="G768" s="460"/>
      <c r="H768" s="460"/>
      <c r="I768" s="447"/>
    </row>
    <row r="769" spans="1:9" s="444" customFormat="1" ht="12.3" outlineLevel="1" x14ac:dyDescent="0.4">
      <c r="A769" s="447"/>
      <c r="B769" s="148" t="s">
        <v>147</v>
      </c>
      <c r="C769" s="485">
        <f>C767*SQRT(C753)*(C762+C767/4*(C755*(-1+2*C762*C762)-C767/6*C762*(-3+4*C753)*(-3+4*C762*C762)))</f>
        <v>0</v>
      </c>
      <c r="D769" s="489"/>
      <c r="E769" s="485">
        <f ca="1">E767*SQRT(E753)*(E762+E767/4*(E755*(-1+2*E762*E762)-E767/6*E762*(-3+4*E753)*(-3+4*E762*E762)))</f>
        <v>0</v>
      </c>
      <c r="F769" s="485"/>
      <c r="G769" s="460"/>
      <c r="H769" s="460"/>
      <c r="I769" s="447"/>
    </row>
    <row r="770" spans="1:9" s="444" customFormat="1" ht="12.3" outlineLevel="1" x14ac:dyDescent="0.4">
      <c r="A770" s="447"/>
      <c r="B770" s="460"/>
      <c r="C770" s="485"/>
      <c r="D770" s="489"/>
      <c r="E770" s="460"/>
      <c r="F770" s="485"/>
      <c r="G770" s="460"/>
      <c r="H770" s="460"/>
      <c r="I770" s="447"/>
    </row>
    <row r="771" spans="1:9" s="444" customFormat="1" ht="12.3" outlineLevel="1" x14ac:dyDescent="0.4">
      <c r="A771" s="447"/>
      <c r="B771" s="147" t="s">
        <v>146</v>
      </c>
      <c r="C771" s="485"/>
      <c r="D771" s="494"/>
      <c r="E771" s="460"/>
      <c r="F771" s="485"/>
      <c r="G771" s="460"/>
      <c r="H771" s="460"/>
      <c r="I771" s="150"/>
    </row>
    <row r="772" spans="1:9" s="444" customFormat="1" ht="12.3" outlineLevel="1" x14ac:dyDescent="0.4">
      <c r="A772" s="447"/>
      <c r="B772" s="460" t="s">
        <v>11</v>
      </c>
      <c r="C772" s="485">
        <f>C739/16*COS(ASIN(C760))*COS(ASIN(C760))*(4+C739*(4-3*COS(ASIN(C760))*COS(ASIN(C760))))</f>
        <v>8.389052498964728E-4</v>
      </c>
      <c r="D772" s="494"/>
      <c r="E772" s="485">
        <f ca="1">C739/16*COS(ASIN(E760))*COS(ASIN(E760))*(4+C739*(4-3*COS(ASIN(E760))*COS(ASIN(E760))))</f>
        <v>8.389052498964728E-4</v>
      </c>
      <c r="F772" s="485"/>
      <c r="G772" s="460"/>
      <c r="H772" s="460"/>
      <c r="I772" s="150"/>
    </row>
    <row r="773" spans="1:9" s="444" customFormat="1" ht="12.3" outlineLevel="1" x14ac:dyDescent="0.4">
      <c r="A773" s="447"/>
      <c r="B773" s="147" t="s">
        <v>145</v>
      </c>
      <c r="C773" s="485"/>
      <c r="D773" s="494"/>
      <c r="E773" s="460"/>
      <c r="F773" s="485"/>
      <c r="G773" s="460"/>
      <c r="H773" s="460"/>
      <c r="I773" s="150"/>
    </row>
    <row r="774" spans="1:9" s="444" customFormat="1" ht="12.3" outlineLevel="1" x14ac:dyDescent="0.4">
      <c r="A774" s="447"/>
      <c r="B774" s="151" t="s">
        <v>144</v>
      </c>
      <c r="C774" s="485">
        <f>C740+(1-C772)*C739*C760*(ACOS(C755)+C772*SIN(ACOS(C755))*(C762+C772*C755*(-1+2*C762*C762)))</f>
        <v>0</v>
      </c>
      <c r="D774" s="494"/>
      <c r="E774" s="495">
        <f ca="1">C740+(1-E772)*C739*E760*(ACOS(E755)+E772*SIN(ACOS(E755))*(E762+E772*E755*(-1+2*E762*E762)))</f>
        <v>0</v>
      </c>
      <c r="F774" s="485"/>
      <c r="G774" s="460"/>
      <c r="H774" s="460"/>
      <c r="I774" s="150"/>
    </row>
    <row r="775" spans="1:9" s="444" customFormat="1" ht="12.3" outlineLevel="1" x14ac:dyDescent="0.4">
      <c r="A775" s="447"/>
      <c r="B775" s="149" t="s">
        <v>143</v>
      </c>
      <c r="C775" s="485"/>
      <c r="D775" s="494"/>
      <c r="E775" s="148"/>
      <c r="F775" s="485"/>
      <c r="G775" s="460"/>
      <c r="H775" s="460"/>
      <c r="I775" s="496"/>
    </row>
    <row r="776" spans="1:9" s="444" customFormat="1" ht="12.3" outlineLevel="1" x14ac:dyDescent="0.4">
      <c r="A776" s="447"/>
      <c r="B776" s="460" t="s">
        <v>142</v>
      </c>
      <c r="C776" s="485">
        <f>IF(B791="samepoint",0,C738*C765*(ATAN(C757)-C769))</f>
        <v>0</v>
      </c>
      <c r="D776" s="494"/>
      <c r="E776" s="485">
        <f>IF(B791="samepoint",0,C738*E765*(E758-E769))</f>
        <v>0</v>
      </c>
      <c r="F776" s="460"/>
      <c r="G776" s="460"/>
      <c r="H776" s="460"/>
      <c r="I776" s="496"/>
    </row>
    <row r="777" spans="1:9" s="444" customFormat="1" ht="12.3" outlineLevel="1" x14ac:dyDescent="0.4">
      <c r="A777" s="447"/>
      <c r="B777" s="147" t="s">
        <v>141</v>
      </c>
      <c r="C777" s="485"/>
      <c r="D777" s="494"/>
      <c r="E777" s="485"/>
      <c r="F777" s="460"/>
      <c r="G777" s="460"/>
      <c r="H777" s="460"/>
      <c r="I777" s="496"/>
    </row>
    <row r="778" spans="1:9" s="444" customFormat="1" ht="16.2" outlineLevel="1" x14ac:dyDescent="0.65">
      <c r="A778" s="447"/>
      <c r="B778" s="460" t="s">
        <v>140</v>
      </c>
      <c r="C778" s="485"/>
      <c r="D778" s="494"/>
      <c r="E778" s="485" t="e">
        <f ca="1">C749*SIN(E774)/(C745*C748-C744*C749*COS(E774))</f>
        <v>#DIV/0!</v>
      </c>
      <c r="F778" s="460"/>
      <c r="G778" s="460"/>
      <c r="H778" s="460"/>
      <c r="I778" s="496"/>
    </row>
    <row r="779" spans="1:9" s="444" customFormat="1" ht="12.3" outlineLevel="1" x14ac:dyDescent="0.4">
      <c r="A779" s="447"/>
      <c r="B779" s="147" t="s">
        <v>139</v>
      </c>
      <c r="C779" s="485"/>
      <c r="D779" s="494"/>
      <c r="E779" s="485"/>
      <c r="F779" s="460"/>
      <c r="G779" s="460"/>
      <c r="H779" s="460"/>
      <c r="I779" s="496"/>
    </row>
    <row r="780" spans="1:9" s="444" customFormat="1" ht="16.8" outlineLevel="1" x14ac:dyDescent="0.7">
      <c r="A780" s="447"/>
      <c r="B780" s="460" t="s">
        <v>138</v>
      </c>
      <c r="C780" s="485"/>
      <c r="D780" s="494"/>
      <c r="E780" s="485" t="e">
        <f>C745*SIN(C774)/(-C744*C749+C745*C748*COS(C774))</f>
        <v>#DIV/0!</v>
      </c>
      <c r="F780" s="460"/>
      <c r="G780" s="460"/>
      <c r="H780" s="460"/>
      <c r="I780" s="496"/>
    </row>
    <row r="781" spans="1:9" s="444" customFormat="1" ht="12.3" outlineLevel="1" x14ac:dyDescent="0.4">
      <c r="A781" s="447"/>
      <c r="B781" s="460"/>
      <c r="C781" s="485"/>
      <c r="D781" s="494"/>
      <c r="E781" s="460"/>
      <c r="F781" s="485"/>
      <c r="G781" s="460"/>
      <c r="H781" s="460"/>
      <c r="I781" s="496"/>
    </row>
    <row r="782" spans="1:9" s="444" customFormat="1" ht="12.3" outlineLevel="1" x14ac:dyDescent="0.4">
      <c r="A782" s="447"/>
      <c r="B782" s="460"/>
      <c r="C782" s="497"/>
      <c r="D782" s="447"/>
      <c r="E782" s="460"/>
      <c r="F782" s="485"/>
      <c r="G782" s="460"/>
      <c r="H782" s="460"/>
      <c r="I782" s="496"/>
    </row>
    <row r="783" spans="1:9" s="444" customFormat="1" ht="12.3" outlineLevel="1" x14ac:dyDescent="0.4">
      <c r="A783" s="447"/>
      <c r="B783" s="460"/>
      <c r="C783" s="460"/>
      <c r="D783" s="447"/>
      <c r="E783" s="489"/>
      <c r="F783" s="494"/>
      <c r="G783" s="460"/>
      <c r="H783" s="460"/>
      <c r="I783" s="496"/>
    </row>
    <row r="784" spans="1:9" s="444" customFormat="1" ht="12.3" outlineLevel="1" x14ac:dyDescent="0.4">
      <c r="A784" s="447"/>
      <c r="B784" s="146" t="s">
        <v>137</v>
      </c>
      <c r="C784" s="146"/>
      <c r="D784" s="489"/>
      <c r="E784" s="146" t="s">
        <v>136</v>
      </c>
      <c r="F784" s="146"/>
      <c r="G784" s="460"/>
      <c r="H784" s="460"/>
      <c r="I784" s="496"/>
    </row>
    <row r="785" spans="1:10" s="444" customFormat="1" ht="14.7" outlineLevel="1" x14ac:dyDescent="0.6">
      <c r="A785" s="447"/>
      <c r="B785" s="145" t="s">
        <v>417</v>
      </c>
      <c r="C785" s="485" t="e">
        <f ca="1">ATAN(E778)</f>
        <v>#DIV/0!</v>
      </c>
      <c r="D785" s="447"/>
      <c r="E785" s="145" t="s">
        <v>418</v>
      </c>
      <c r="F785" s="485" t="e">
        <f>ATAN(E780)</f>
        <v>#DIV/0!</v>
      </c>
      <c r="G785" s="460"/>
      <c r="H785" s="460"/>
      <c r="I785" s="496" t="e">
        <f>ATAN2(E734-E732,E735-E733)*180/PI()</f>
        <v>#DIV/0!</v>
      </c>
      <c r="J785" s="496" t="e">
        <f>ATAN2(E732-E734,E733-E735)*180/PI()</f>
        <v>#DIV/0!</v>
      </c>
    </row>
    <row r="786" spans="1:10" s="444" customFormat="1" ht="14.7" outlineLevel="1" x14ac:dyDescent="0.6">
      <c r="A786" s="447"/>
      <c r="B786" s="145" t="s">
        <v>419</v>
      </c>
      <c r="C786" s="485" t="e">
        <f ca="1">(C785/PI())*180+360</f>
        <v>#DIV/0!</v>
      </c>
      <c r="D786" s="447"/>
      <c r="E786" s="145" t="s">
        <v>420</v>
      </c>
      <c r="F786" s="485" t="e">
        <f>(F785/PI())*180+180</f>
        <v>#DIV/0!</v>
      </c>
      <c r="G786" s="460"/>
      <c r="H786" s="460"/>
      <c r="I786" s="496" t="e">
        <f>IF(I785&lt;0,C785*180/PI()+360,C785*180/PI())</f>
        <v>#DIV/0!</v>
      </c>
      <c r="J786" s="498" t="e">
        <f>IF(J785&gt;0,F785*180/PI()+180,F785*180/PI())</f>
        <v>#DIV/0!</v>
      </c>
    </row>
    <row r="787" spans="1:10" s="444" customFormat="1" ht="14.7" outlineLevel="1" x14ac:dyDescent="0.6">
      <c r="A787" s="447"/>
      <c r="B787" s="145" t="s">
        <v>419</v>
      </c>
      <c r="C787" s="485" t="e">
        <f ca="1">IF(C786&gt;=360,C786-360,C786)</f>
        <v>#DIV/0!</v>
      </c>
      <c r="D787" s="447"/>
      <c r="E787" s="145" t="s">
        <v>420</v>
      </c>
      <c r="F787" s="485" t="e">
        <f>IF(F786&gt;=360,F786-360,F786)</f>
        <v>#DIV/0!</v>
      </c>
      <c r="G787" s="460"/>
      <c r="H787" s="460"/>
      <c r="I787" s="496" t="e">
        <f ca="1">ATAN2((C745*C748-C744*C749*COS(E774)),C749*SIN(E774))</f>
        <v>#DIV/0!</v>
      </c>
      <c r="J787" s="485" t="e">
        <f ca="1">ATAN2((-C744*C749+C745*C748*COS(E774)),C745*SIN(E774))</f>
        <v>#DIV/0!</v>
      </c>
    </row>
    <row r="788" spans="1:10" s="444" customFormat="1" ht="14.7" outlineLevel="1" x14ac:dyDescent="0.6">
      <c r="A788" s="447"/>
      <c r="B788" s="145" t="s">
        <v>419</v>
      </c>
      <c r="C788" s="485">
        <f>IF(B791="samepoint",0,IF(B792="northsouth",0,IF(B793="southnorth",180,C787)))</f>
        <v>0</v>
      </c>
      <c r="D788" s="447"/>
      <c r="E788" s="145" t="s">
        <v>420</v>
      </c>
      <c r="F788" s="485">
        <f>IF(B791="samepoint",0,IF(B792="northsouth",180,IF(B793="southnorth",0,F787)))</f>
        <v>0</v>
      </c>
      <c r="G788" s="447"/>
      <c r="H788" s="447"/>
      <c r="I788" s="485">
        <f>IF(B791="samepoint",0,IF(B792="northsouth",0,IF(B793="southnorth",180,IF(I787&lt;0,I787*180/PI()+360,I787*180/PI()))))</f>
        <v>0</v>
      </c>
      <c r="J788" s="485">
        <f>IF(B791="samepoint",0,IF(B792="northsouth",180,IF(B793="southnorth",0,J787*180/PI()+180)))</f>
        <v>0</v>
      </c>
    </row>
    <row r="789" spans="1:10" s="444" customFormat="1" ht="12.3" outlineLevel="1" x14ac:dyDescent="0.4">
      <c r="A789" s="447"/>
      <c r="B789" s="145"/>
      <c r="C789" s="447"/>
      <c r="D789" s="447"/>
      <c r="E789" s="145"/>
      <c r="F789" s="447"/>
      <c r="G789" s="447"/>
      <c r="H789" s="447"/>
      <c r="I789" s="447"/>
    </row>
    <row r="790" spans="1:10" s="444" customFormat="1" ht="12.3" outlineLevel="1" x14ac:dyDescent="0.4">
      <c r="A790" s="447"/>
      <c r="B790" s="144" t="s">
        <v>135</v>
      </c>
      <c r="C790" s="144"/>
      <c r="D790" s="447"/>
      <c r="E790" s="447"/>
      <c r="F790" s="447"/>
      <c r="G790" s="447"/>
      <c r="H790" s="447"/>
      <c r="I790" s="447"/>
    </row>
    <row r="791" spans="1:10" s="444" customFormat="1" ht="12.3" outlineLevel="1" x14ac:dyDescent="0.4">
      <c r="A791" s="447"/>
      <c r="B791" s="447" t="str">
        <f>IF(AND(C732=C734,C733=C735),"samepoint","N.A. " )</f>
        <v>samepoint</v>
      </c>
      <c r="C791" s="447" t="s">
        <v>134</v>
      </c>
      <c r="D791" s="447"/>
      <c r="E791" s="447"/>
      <c r="F791" s="447"/>
      <c r="G791" s="447"/>
      <c r="H791" s="447"/>
      <c r="I791" s="447"/>
    </row>
    <row r="792" spans="1:10" s="444" customFormat="1" ht="12.3" outlineLevel="1" x14ac:dyDescent="0.4">
      <c r="A792" s="447"/>
      <c r="B792" s="447" t="str">
        <f>IF(AND(C733=C735,C734&gt;C732),"northsouth","N.A. ")</f>
        <v xml:space="preserve">N.A. </v>
      </c>
      <c r="C792" s="447" t="s">
        <v>133</v>
      </c>
      <c r="D792" s="447"/>
      <c r="E792" s="447"/>
      <c r="F792" s="447"/>
      <c r="G792" s="447"/>
      <c r="H792" s="447"/>
      <c r="I792" s="447"/>
    </row>
    <row r="793" spans="1:10" s="444" customFormat="1" ht="12.3" outlineLevel="1" x14ac:dyDescent="0.4">
      <c r="A793" s="447"/>
      <c r="B793" s="447" t="str">
        <f>IF(AND(C733=C735,C732&gt;C734),"southnorth","N.A. ")</f>
        <v xml:space="preserve">N.A. </v>
      </c>
      <c r="C793" s="447" t="s">
        <v>132</v>
      </c>
      <c r="D793" s="447"/>
      <c r="E793" s="447"/>
      <c r="F793" s="447"/>
      <c r="G793" s="447"/>
      <c r="H793" s="447"/>
      <c r="I793" s="447"/>
    </row>
    <row r="794" spans="1:10" s="444" customFormat="1" ht="12.3" x14ac:dyDescent="0.4">
      <c r="A794" s="447"/>
      <c r="B794" s="447"/>
      <c r="C794" s="447"/>
      <c r="D794" s="447"/>
      <c r="E794" s="447"/>
      <c r="F794" s="447"/>
      <c r="G794" s="447"/>
      <c r="H794" s="447"/>
      <c r="I794" s="447"/>
    </row>
    <row r="795" spans="1:10" s="444" customFormat="1" ht="12.3" collapsed="1" x14ac:dyDescent="0.4">
      <c r="B795" s="509"/>
      <c r="C795" s="509"/>
    </row>
    <row r="796" spans="1:10" s="444" customFormat="1" ht="12.75" customHeight="1" x14ac:dyDescent="0.4"/>
    <row r="797" spans="1:10" s="444" customFormat="1" ht="15" x14ac:dyDescent="0.5">
      <c r="A797" s="447"/>
      <c r="B797" s="448" t="s">
        <v>187</v>
      </c>
      <c r="C797" s="448" t="s">
        <v>186</v>
      </c>
      <c r="D797" s="447"/>
      <c r="E797" s="447"/>
      <c r="F797" s="447"/>
      <c r="G797" s="447"/>
      <c r="H797" s="447"/>
      <c r="I797" s="447"/>
    </row>
    <row r="798" spans="1:10" s="444" customFormat="1" ht="17.399999999999999" x14ac:dyDescent="0.55000000000000004">
      <c r="A798" s="447"/>
      <c r="B798" s="449" t="s">
        <v>185</v>
      </c>
      <c r="C798" s="450" t="s">
        <v>208</v>
      </c>
      <c r="D798" s="451"/>
      <c r="E798" s="452"/>
      <c r="F798" s="453" t="s">
        <v>183</v>
      </c>
      <c r="G798" s="1074" t="str">
        <f>SUMMARY!H14</f>
        <v>Landing</v>
      </c>
      <c r="H798" s="1074"/>
      <c r="I798" s="454"/>
      <c r="J798" s="455"/>
    </row>
    <row r="799" spans="1:10" s="444" customFormat="1" ht="14.7" x14ac:dyDescent="0.6">
      <c r="A799" s="447"/>
      <c r="B799" s="158" t="s">
        <v>405</v>
      </c>
      <c r="C799" s="456">
        <f>G150</f>
        <v>0</v>
      </c>
      <c r="D799" s="457">
        <f>H150</f>
        <v>0</v>
      </c>
      <c r="E799" s="458"/>
      <c r="F799" s="157" t="s">
        <v>406</v>
      </c>
      <c r="G799" s="459">
        <f>G7</f>
        <v>0</v>
      </c>
      <c r="H799" s="457">
        <f>H7</f>
        <v>0</v>
      </c>
      <c r="I799" s="458"/>
      <c r="J799" s="460"/>
    </row>
    <row r="800" spans="1:10" s="444" customFormat="1" ht="14.7" x14ac:dyDescent="0.6">
      <c r="A800" s="447"/>
      <c r="B800" s="158" t="s">
        <v>407</v>
      </c>
      <c r="C800" s="461">
        <f>G151</f>
        <v>0</v>
      </c>
      <c r="D800" s="462">
        <f>H151</f>
        <v>0</v>
      </c>
      <c r="E800" s="463"/>
      <c r="F800" s="157" t="s">
        <v>408</v>
      </c>
      <c r="G800" s="459">
        <f>G8</f>
        <v>0</v>
      </c>
      <c r="H800" s="457">
        <f>H8</f>
        <v>0</v>
      </c>
      <c r="I800" s="458"/>
    </row>
    <row r="801" spans="1:10" s="444" customFormat="1" ht="12.3" x14ac:dyDescent="0.4">
      <c r="A801" s="447"/>
      <c r="B801" s="464" t="s">
        <v>180</v>
      </c>
      <c r="C801" s="465">
        <f>E850</f>
        <v>0</v>
      </c>
      <c r="D801" s="466"/>
      <c r="E801" s="467"/>
      <c r="F801" s="500"/>
      <c r="G801" s="468"/>
      <c r="H801" s="468"/>
      <c r="I801" s="156" t="s">
        <v>179</v>
      </c>
      <c r="J801" s="447"/>
    </row>
    <row r="802" spans="1:10" s="444" customFormat="1" ht="14.7" x14ac:dyDescent="0.6">
      <c r="A802" s="447"/>
      <c r="B802" s="464" t="s">
        <v>409</v>
      </c>
      <c r="C802" s="469">
        <f>I862</f>
        <v>0</v>
      </c>
      <c r="D802" s="470"/>
      <c r="E802" s="471"/>
      <c r="F802" s="501"/>
      <c r="G802" s="472"/>
      <c r="H802" s="473"/>
      <c r="J802" s="474"/>
    </row>
    <row r="803" spans="1:10" s="444" customFormat="1" ht="14.7" x14ac:dyDescent="0.6">
      <c r="A803" s="447"/>
      <c r="B803" s="475" t="s">
        <v>410</v>
      </c>
      <c r="C803" s="476">
        <f>J862</f>
        <v>0</v>
      </c>
      <c r="D803" s="477"/>
      <c r="E803" s="478"/>
      <c r="F803" s="502">
        <f>IF(C799=0=FALSE,C801/1000,0)</f>
        <v>0</v>
      </c>
      <c r="G803" s="447" t="s">
        <v>178</v>
      </c>
      <c r="H803" s="447"/>
    </row>
    <row r="804" spans="1:10" s="444" customFormat="1" ht="12.3" x14ac:dyDescent="0.4">
      <c r="A804" s="447"/>
      <c r="B804" s="460"/>
      <c r="C804" s="487"/>
      <c r="D804" s="489"/>
      <c r="E804" s="489"/>
      <c r="F804" s="447"/>
      <c r="G804" s="460"/>
    </row>
    <row r="805" spans="1:10" s="444" customFormat="1" ht="12.3" outlineLevel="1" x14ac:dyDescent="0.4">
      <c r="A805" s="447"/>
      <c r="B805" s="447"/>
      <c r="C805" s="503" t="s">
        <v>177</v>
      </c>
      <c r="D805" s="504"/>
      <c r="E805" s="503" t="s">
        <v>85</v>
      </c>
      <c r="F805" s="447"/>
      <c r="G805" s="460"/>
      <c r="H805" s="460"/>
      <c r="I805" s="447"/>
    </row>
    <row r="806" spans="1:10" s="444" customFormat="1" ht="14.7" outlineLevel="1" x14ac:dyDescent="0.6">
      <c r="A806" s="447"/>
      <c r="B806" s="460" t="s">
        <v>411</v>
      </c>
      <c r="C806" s="485">
        <f>C799+D799/60</f>
        <v>0</v>
      </c>
      <c r="D806" s="447"/>
      <c r="E806" s="485">
        <f>C806*PI()/180</f>
        <v>0</v>
      </c>
      <c r="F806" s="447"/>
      <c r="G806" s="460"/>
      <c r="H806" s="460"/>
      <c r="I806" s="447"/>
    </row>
    <row r="807" spans="1:10" s="444" customFormat="1" ht="14.7" outlineLevel="1" x14ac:dyDescent="0.6">
      <c r="A807" s="447"/>
      <c r="B807" s="460" t="s">
        <v>412</v>
      </c>
      <c r="C807" s="485">
        <f>C800+D800/60</f>
        <v>0</v>
      </c>
      <c r="D807" s="447"/>
      <c r="E807" s="485">
        <f>C807*PI()/180</f>
        <v>0</v>
      </c>
      <c r="F807" s="447"/>
      <c r="G807" s="460"/>
      <c r="H807" s="485"/>
      <c r="I807" s="447"/>
    </row>
    <row r="808" spans="1:10" s="444" customFormat="1" ht="14.7" outlineLevel="1" x14ac:dyDescent="0.6">
      <c r="A808" s="447"/>
      <c r="B808" s="460" t="s">
        <v>413</v>
      </c>
      <c r="C808" s="485">
        <f>G799+H799/60</f>
        <v>0</v>
      </c>
      <c r="D808" s="447"/>
      <c r="E808" s="485">
        <f>C808*PI()/180</f>
        <v>0</v>
      </c>
      <c r="F808" s="447"/>
      <c r="G808" s="460"/>
      <c r="H808" s="460"/>
      <c r="I808" s="447"/>
    </row>
    <row r="809" spans="1:10" s="444" customFormat="1" ht="14.7" outlineLevel="1" x14ac:dyDescent="0.6">
      <c r="A809" s="447"/>
      <c r="B809" s="460" t="s">
        <v>414</v>
      </c>
      <c r="C809" s="485">
        <f>G800+H800/60</f>
        <v>0</v>
      </c>
      <c r="D809" s="447"/>
      <c r="E809" s="485">
        <f>C809*PI()/180</f>
        <v>0</v>
      </c>
      <c r="F809" s="447"/>
      <c r="G809" s="460"/>
      <c r="H809" s="485"/>
      <c r="I809" s="447"/>
    </row>
    <row r="810" spans="1:10" s="444" customFormat="1" ht="12.3" outlineLevel="1" x14ac:dyDescent="0.4">
      <c r="A810" s="447"/>
      <c r="B810" s="485"/>
      <c r="C810" s="485"/>
      <c r="D810" s="485"/>
      <c r="E810" s="485"/>
      <c r="F810" s="447"/>
      <c r="G810" s="460"/>
      <c r="H810" s="485"/>
      <c r="I810" s="447"/>
    </row>
    <row r="811" spans="1:10" s="444" customFormat="1" ht="12.3" outlineLevel="1" x14ac:dyDescent="0.4">
      <c r="A811" s="447"/>
      <c r="B811" s="460" t="s">
        <v>176</v>
      </c>
      <c r="C811" s="487">
        <v>6378137</v>
      </c>
      <c r="D811" s="488"/>
      <c r="E811" s="489" t="s">
        <v>175</v>
      </c>
      <c r="F811" s="485">
        <f>C813+C813*C813</f>
        <v>3.3640520041011246E-3</v>
      </c>
      <c r="G811" s="460"/>
      <c r="H811" s="460"/>
      <c r="I811" s="447"/>
    </row>
    <row r="812" spans="1:10" s="444" customFormat="1" ht="12.3" outlineLevel="1" x14ac:dyDescent="0.4">
      <c r="A812" s="447"/>
      <c r="B812" s="489" t="s">
        <v>174</v>
      </c>
      <c r="C812" s="487">
        <v>6356752.3142451793</v>
      </c>
      <c r="D812" s="488"/>
      <c r="E812" s="489" t="s">
        <v>173</v>
      </c>
      <c r="F812" s="485">
        <f>F811/2</f>
        <v>1.6820260020505623E-3</v>
      </c>
      <c r="G812" s="460"/>
      <c r="H812" s="460"/>
      <c r="I812" s="447"/>
    </row>
    <row r="813" spans="1:10" s="444" customFormat="1" ht="12.3" outlineLevel="1" x14ac:dyDescent="0.4">
      <c r="A813" s="447"/>
      <c r="B813" s="489" t="s">
        <v>172</v>
      </c>
      <c r="C813" s="485">
        <v>3.3528106647474801E-3</v>
      </c>
      <c r="D813" s="489"/>
      <c r="E813" s="489" t="s">
        <v>171</v>
      </c>
      <c r="F813" s="485">
        <f>C813*C813/2</f>
        <v>5.6206696768222199E-6</v>
      </c>
      <c r="G813" s="460"/>
      <c r="H813" s="460"/>
      <c r="I813" s="447"/>
    </row>
    <row r="814" spans="1:10" s="444" customFormat="1" ht="12.3" outlineLevel="1" x14ac:dyDescent="0.4">
      <c r="A814" s="447"/>
      <c r="B814" s="460" t="s">
        <v>415</v>
      </c>
      <c r="C814" s="485">
        <f>E809-E807</f>
        <v>0</v>
      </c>
      <c r="D814" s="447"/>
      <c r="E814" s="447" t="s">
        <v>170</v>
      </c>
      <c r="F814" s="485">
        <f>C813*C813/8</f>
        <v>1.405167419205555E-6</v>
      </c>
      <c r="G814" s="460"/>
      <c r="H814" s="460"/>
      <c r="I814" s="447"/>
    </row>
    <row r="815" spans="1:10" s="444" customFormat="1" ht="12.3" outlineLevel="1" x14ac:dyDescent="0.4">
      <c r="A815" s="447"/>
      <c r="B815" s="447"/>
      <c r="C815" s="447"/>
      <c r="D815" s="447"/>
      <c r="E815" s="489" t="s">
        <v>169</v>
      </c>
      <c r="F815" s="485">
        <f>C813*C813/16</f>
        <v>7.0258370960277749E-7</v>
      </c>
      <c r="G815" s="460"/>
      <c r="H815" s="460"/>
      <c r="I815" s="447"/>
    </row>
    <row r="816" spans="1:10" s="444" customFormat="1" ht="12.3" outlineLevel="1" x14ac:dyDescent="0.4">
      <c r="A816" s="447"/>
      <c r="B816" s="447" t="s">
        <v>168</v>
      </c>
      <c r="C816" s="490">
        <f>(1-C813)*TAN(E806)</f>
        <v>0</v>
      </c>
      <c r="D816" s="447"/>
      <c r="E816" s="489"/>
      <c r="F816" s="460"/>
      <c r="G816" s="460"/>
      <c r="H816" s="460"/>
      <c r="I816" s="447"/>
    </row>
    <row r="817" spans="1:9" s="444" customFormat="1" ht="12.3" outlineLevel="1" x14ac:dyDescent="0.4">
      <c r="A817" s="447"/>
      <c r="B817" s="460" t="s">
        <v>106</v>
      </c>
      <c r="C817" s="485">
        <f>ATAN(C816)</f>
        <v>0</v>
      </c>
      <c r="D817" s="489"/>
      <c r="E817" s="148"/>
      <c r="F817" s="485"/>
      <c r="G817" s="460"/>
      <c r="H817" s="460"/>
      <c r="I817" s="447"/>
    </row>
    <row r="818" spans="1:9" s="444" customFormat="1" ht="12.3" outlineLevel="1" x14ac:dyDescent="0.4">
      <c r="A818" s="447"/>
      <c r="B818" s="460" t="s">
        <v>167</v>
      </c>
      <c r="C818" s="485">
        <f>SIN(C817)</f>
        <v>0</v>
      </c>
      <c r="D818" s="489"/>
      <c r="E818" s="148"/>
      <c r="F818" s="485"/>
      <c r="G818" s="460"/>
      <c r="H818" s="460"/>
      <c r="I818" s="447"/>
    </row>
    <row r="819" spans="1:9" s="444" customFormat="1" ht="12.3" outlineLevel="1" x14ac:dyDescent="0.4">
      <c r="A819" s="447"/>
      <c r="B819" s="460" t="s">
        <v>166</v>
      </c>
      <c r="C819" s="485">
        <f>COS(C817)</f>
        <v>1</v>
      </c>
      <c r="D819" s="489"/>
      <c r="E819" s="460"/>
      <c r="F819" s="485"/>
      <c r="G819" s="460"/>
      <c r="H819" s="460"/>
      <c r="I819" s="447"/>
    </row>
    <row r="820" spans="1:9" s="444" customFormat="1" ht="12.3" outlineLevel="1" x14ac:dyDescent="0.4">
      <c r="A820" s="447"/>
      <c r="B820" s="460" t="s">
        <v>165</v>
      </c>
      <c r="C820" s="491">
        <f>(1-C813)*TAN(E808)</f>
        <v>0</v>
      </c>
      <c r="D820" s="489"/>
      <c r="E820" s="460"/>
      <c r="F820" s="485"/>
      <c r="G820" s="460"/>
      <c r="H820" s="460"/>
      <c r="I820" s="447"/>
    </row>
    <row r="821" spans="1:9" s="444" customFormat="1" ht="12.3" outlineLevel="1" x14ac:dyDescent="0.4">
      <c r="A821" s="447"/>
      <c r="B821" s="460" t="s">
        <v>164</v>
      </c>
      <c r="C821" s="485">
        <f>ATAN(C820)</f>
        <v>0</v>
      </c>
      <c r="D821" s="489"/>
      <c r="E821" s="460"/>
      <c r="F821" s="485"/>
      <c r="G821" s="460"/>
      <c r="H821" s="460"/>
      <c r="I821" s="447"/>
    </row>
    <row r="822" spans="1:9" s="444" customFormat="1" ht="12.3" outlineLevel="1" x14ac:dyDescent="0.4">
      <c r="A822" s="447"/>
      <c r="B822" s="460" t="s">
        <v>163</v>
      </c>
      <c r="C822" s="485">
        <f>SIN(C821)</f>
        <v>0</v>
      </c>
      <c r="D822" s="489"/>
      <c r="E822" s="460"/>
      <c r="F822" s="485"/>
      <c r="G822" s="460"/>
      <c r="H822" s="460"/>
      <c r="I822" s="447"/>
    </row>
    <row r="823" spans="1:9" s="444" customFormat="1" ht="12.3" outlineLevel="1" x14ac:dyDescent="0.4">
      <c r="A823" s="447"/>
      <c r="B823" s="460" t="s">
        <v>162</v>
      </c>
      <c r="C823" s="485">
        <f>COS(C821)</f>
        <v>1</v>
      </c>
      <c r="D823" s="489"/>
      <c r="E823" s="460"/>
      <c r="F823" s="485"/>
      <c r="G823" s="460"/>
      <c r="H823" s="460"/>
      <c r="I823" s="447"/>
    </row>
    <row r="824" spans="1:9" s="444" customFormat="1" ht="12.3" outlineLevel="1" x14ac:dyDescent="0.4">
      <c r="A824" s="447"/>
      <c r="B824" s="147" t="s">
        <v>161</v>
      </c>
      <c r="C824" s="485"/>
      <c r="D824" s="489"/>
      <c r="E824" s="460"/>
      <c r="F824" s="485"/>
      <c r="G824" s="460"/>
      <c r="H824" s="460"/>
      <c r="I824" s="447"/>
    </row>
    <row r="825" spans="1:9" s="444" customFormat="1" ht="12.3" outlineLevel="1" x14ac:dyDescent="0.4">
      <c r="A825" s="447"/>
      <c r="B825" s="148" t="s">
        <v>144</v>
      </c>
      <c r="C825" s="485">
        <f>C814</f>
        <v>0</v>
      </c>
      <c r="D825" s="489"/>
      <c r="E825" s="485">
        <f ca="1">E848</f>
        <v>0</v>
      </c>
      <c r="F825" s="485"/>
      <c r="G825" s="460"/>
      <c r="H825" s="460"/>
      <c r="I825" s="447"/>
    </row>
    <row r="826" spans="1:9" s="444" customFormat="1" ht="12.3" outlineLevel="1" x14ac:dyDescent="0.4">
      <c r="A826" s="447"/>
      <c r="B826" s="147" t="s">
        <v>160</v>
      </c>
      <c r="C826" s="485"/>
      <c r="D826" s="489"/>
      <c r="E826" s="460"/>
      <c r="F826" s="485"/>
      <c r="G826" s="460"/>
      <c r="H826" s="460"/>
      <c r="I826" s="447"/>
    </row>
    <row r="827" spans="1:9" s="444" customFormat="1" ht="13.8" outlineLevel="1" x14ac:dyDescent="0.4">
      <c r="A827" s="447"/>
      <c r="B827" s="460" t="s">
        <v>159</v>
      </c>
      <c r="C827" s="485">
        <f>(C823*SIN(C825)*C823*SIN(C825))+(C819*C822-C818*C823*COS(C825))*(C819*C822-C818*C823*COS(C825))</f>
        <v>0</v>
      </c>
      <c r="D827" s="489"/>
      <c r="E827" s="485">
        <f ca="1">(C823*SIN(E825)*C823*SIN(E825))+(C819*C822-C818*C823*COS(E825))*(C819*C822-C818*C823*COS(E825))</f>
        <v>0</v>
      </c>
      <c r="F827" s="485"/>
      <c r="G827" s="460"/>
      <c r="H827" s="460"/>
      <c r="I827" s="447"/>
    </row>
    <row r="828" spans="1:9" s="444" customFormat="1" ht="12.3" outlineLevel="1" x14ac:dyDescent="0.4">
      <c r="A828" s="447"/>
      <c r="B828" s="154" t="s">
        <v>158</v>
      </c>
      <c r="C828" s="485"/>
      <c r="D828" s="489"/>
      <c r="E828" s="489"/>
      <c r="F828" s="485"/>
      <c r="G828" s="460"/>
      <c r="H828" s="460"/>
      <c r="I828" s="447"/>
    </row>
    <row r="829" spans="1:9" s="444" customFormat="1" ht="12.3" outlineLevel="1" x14ac:dyDescent="0.4">
      <c r="A829" s="447"/>
      <c r="B829" s="447" t="s">
        <v>157</v>
      </c>
      <c r="C829" s="447">
        <f>(C818*C822)+(C819*C823*COS(C825))</f>
        <v>1</v>
      </c>
      <c r="D829" s="447"/>
      <c r="E829" s="447">
        <f ca="1">(C818*C822)+(C819*C823*COS(E825))</f>
        <v>1</v>
      </c>
      <c r="F829" s="447"/>
      <c r="G829" s="460"/>
      <c r="H829" s="460"/>
      <c r="I829" s="447"/>
    </row>
    <row r="830" spans="1:9" s="444" customFormat="1" ht="12.3" outlineLevel="1" x14ac:dyDescent="0.4">
      <c r="A830" s="447"/>
      <c r="B830" s="153" t="s">
        <v>156</v>
      </c>
      <c r="C830" s="489"/>
      <c r="D830" s="489"/>
      <c r="E830" s="489"/>
      <c r="F830" s="460"/>
      <c r="G830" s="460"/>
      <c r="H830" s="460"/>
      <c r="I830" s="447"/>
    </row>
    <row r="831" spans="1:9" s="444" customFormat="1" ht="12.3" outlineLevel="1" x14ac:dyDescent="0.4">
      <c r="A831" s="447"/>
      <c r="B831" s="460" t="s">
        <v>155</v>
      </c>
      <c r="C831" s="485">
        <f>SQRT(C827)/C829</f>
        <v>0</v>
      </c>
      <c r="D831" s="489"/>
      <c r="E831" s="485">
        <f ca="1">SQRT(E827)/E829</f>
        <v>0</v>
      </c>
      <c r="F831" s="485"/>
      <c r="G831" s="447"/>
      <c r="H831" s="447"/>
      <c r="I831" s="492"/>
    </row>
    <row r="832" spans="1:9" s="444" customFormat="1" ht="12.3" outlineLevel="1" x14ac:dyDescent="0.4">
      <c r="A832" s="447"/>
      <c r="B832" s="148" t="s">
        <v>142</v>
      </c>
      <c r="C832" s="485">
        <f>ATAN(C831)</f>
        <v>0</v>
      </c>
      <c r="D832" s="489"/>
      <c r="E832" s="485">
        <f ca="1">IF(ATAN(E831)&lt;0,ATAN(E831)+PI(),ATAN(E831))</f>
        <v>0</v>
      </c>
      <c r="F832" s="485"/>
      <c r="G832" s="447"/>
      <c r="H832" s="447"/>
      <c r="I832" s="492"/>
    </row>
    <row r="833" spans="1:9" s="444" customFormat="1" ht="12.3" outlineLevel="1" x14ac:dyDescent="0.4">
      <c r="A833" s="447"/>
      <c r="B833" s="147" t="s">
        <v>154</v>
      </c>
      <c r="C833" s="485"/>
      <c r="D833" s="489"/>
      <c r="E833" s="460"/>
      <c r="F833" s="485"/>
      <c r="G833" s="447"/>
      <c r="H833" s="447"/>
      <c r="I833" s="492"/>
    </row>
    <row r="834" spans="1:9" s="444" customFormat="1" ht="12.3" outlineLevel="1" x14ac:dyDescent="0.4">
      <c r="A834" s="447"/>
      <c r="B834" s="460" t="s">
        <v>153</v>
      </c>
      <c r="C834" s="485">
        <f>IF(C827=0,0,C819*C823*SIN(C825)/SQRT(C827))</f>
        <v>0</v>
      </c>
      <c r="D834" s="489"/>
      <c r="E834" s="485">
        <f ca="1">IF(E827=0,0,C819*C823*SIN(E825)/SQRT(E827))</f>
        <v>0</v>
      </c>
      <c r="F834" s="485"/>
      <c r="G834" s="460"/>
      <c r="H834" s="460"/>
      <c r="I834" s="492"/>
    </row>
    <row r="835" spans="1:9" s="444" customFormat="1" ht="12.3" outlineLevel="1" x14ac:dyDescent="0.4">
      <c r="A835" s="447"/>
      <c r="B835" s="147" t="s">
        <v>152</v>
      </c>
      <c r="C835" s="485"/>
      <c r="D835" s="489"/>
      <c r="E835" s="489"/>
      <c r="F835" s="485"/>
      <c r="G835" s="460"/>
      <c r="H835" s="460"/>
      <c r="I835" s="447"/>
    </row>
    <row r="836" spans="1:9" s="444" customFormat="1" ht="16.2" outlineLevel="1" x14ac:dyDescent="0.65">
      <c r="A836" s="447"/>
      <c r="B836" s="447" t="s">
        <v>416</v>
      </c>
      <c r="C836" s="447">
        <f>IF((COS(ASIN(C834))*COS(ASIN(C834)))=0,0,C829-2*C818*C822/(COS(ASIN(C834))*COS(ASIN(C834))))</f>
        <v>1</v>
      </c>
      <c r="D836" s="489"/>
      <c r="E836" s="447">
        <f ca="1">E829-2*C818*C822/(COS(ASIN(E834))*COS(ASIN(E834)))</f>
        <v>1</v>
      </c>
      <c r="F836" s="460"/>
      <c r="G836" s="460"/>
      <c r="H836" s="460"/>
      <c r="I836" s="447"/>
    </row>
    <row r="837" spans="1:9" s="444" customFormat="1" ht="15.9" outlineLevel="1" x14ac:dyDescent="0.45">
      <c r="A837" s="447"/>
      <c r="B837" s="447" t="s">
        <v>151</v>
      </c>
      <c r="C837" s="487">
        <f>COS(ASIN(C834))*COS(ASIN(C834))*(C811*C811-C812*C812)/(C812*C812)</f>
        <v>6.7394967422764341E-3</v>
      </c>
      <c r="D837" s="489"/>
      <c r="E837" s="487">
        <f ca="1">COS(ASIN(E834))*COS(ASIN(E834))*(C811*C811-C812*C812)/(C812*C812)</f>
        <v>6.7394967422764341E-3</v>
      </c>
      <c r="F837" s="447"/>
      <c r="G837" s="460"/>
      <c r="H837" s="460"/>
      <c r="I837" s="447"/>
    </row>
    <row r="838" spans="1:9" s="444" customFormat="1" ht="12.3" outlineLevel="1" x14ac:dyDescent="0.4">
      <c r="A838" s="447"/>
      <c r="B838" s="152" t="s">
        <v>150</v>
      </c>
      <c r="C838" s="485"/>
      <c r="D838" s="489"/>
      <c r="E838" s="460"/>
      <c r="F838" s="485"/>
      <c r="G838" s="460"/>
      <c r="H838" s="460"/>
      <c r="I838" s="447"/>
    </row>
    <row r="839" spans="1:9" s="444" customFormat="1" ht="12.3" outlineLevel="1" x14ac:dyDescent="0.4">
      <c r="A839" s="447"/>
      <c r="B839" s="460" t="s">
        <v>9</v>
      </c>
      <c r="C839" s="485">
        <f>1+C837/16384*(4096+C837*(-768+C837*(320-175*C837)))</f>
        <v>1.0016827510415456</v>
      </c>
      <c r="D839" s="489"/>
      <c r="E839" s="485">
        <f ca="1">1+E837/16384*(4096+E837*(-768+E837*(320-175*E837)))</f>
        <v>1.0016827510415456</v>
      </c>
      <c r="F839" s="485"/>
      <c r="G839" s="460"/>
      <c r="H839" s="460"/>
      <c r="I839" s="447"/>
    </row>
    <row r="840" spans="1:9" s="444" customFormat="1" ht="12.3" outlineLevel="1" x14ac:dyDescent="0.4">
      <c r="A840" s="447"/>
      <c r="B840" s="147" t="s">
        <v>149</v>
      </c>
      <c r="C840" s="485"/>
      <c r="D840" s="489"/>
      <c r="E840" s="460"/>
      <c r="F840" s="485"/>
      <c r="G840" s="460"/>
      <c r="H840" s="460"/>
      <c r="I840" s="490"/>
    </row>
    <row r="841" spans="1:9" s="444" customFormat="1" ht="12.3" outlineLevel="1" x14ac:dyDescent="0.4">
      <c r="A841" s="447"/>
      <c r="B841" s="460" t="s">
        <v>10</v>
      </c>
      <c r="C841" s="485">
        <f>C837/1024*(256+C837*(-128+C837*(74-47*C837)))</f>
        <v>1.6792186103152505E-3</v>
      </c>
      <c r="D841" s="489"/>
      <c r="E841" s="485">
        <f ca="1">E837/1024*(256+E837*(-128+E837*(74-47*E837)))</f>
        <v>1.6792186103152505E-3</v>
      </c>
      <c r="F841" s="485"/>
      <c r="G841" s="460"/>
      <c r="H841" s="460"/>
      <c r="I841" s="447"/>
    </row>
    <row r="842" spans="1:9" s="444" customFormat="1" ht="12.3" outlineLevel="1" x14ac:dyDescent="0.4">
      <c r="A842" s="447"/>
      <c r="B842" s="147" t="s">
        <v>148</v>
      </c>
      <c r="C842" s="485"/>
      <c r="D842" s="489"/>
      <c r="E842" s="460"/>
      <c r="F842" s="485"/>
      <c r="G842" s="460"/>
      <c r="H842" s="460"/>
      <c r="I842" s="447"/>
    </row>
    <row r="843" spans="1:9" s="444" customFormat="1" ht="12.3" outlineLevel="1" x14ac:dyDescent="0.4">
      <c r="A843" s="447"/>
      <c r="B843" s="148" t="s">
        <v>147</v>
      </c>
      <c r="C843" s="485">
        <f>C841*SQRT(C827)*(C836+C841/4*(C829*(-1+2*C836*C836)-C841/6*C836*(-3+4*C827)*(-3+4*C836*C836)))</f>
        <v>0</v>
      </c>
      <c r="D843" s="489"/>
      <c r="E843" s="485">
        <f ca="1">E841*SQRT(E827)*(E836+E841/4*(E829*(-1+2*E836*E836)-E841/6*E836*(-3+4*E827)*(-3+4*E836*E836)))</f>
        <v>0</v>
      </c>
      <c r="F843" s="485"/>
      <c r="G843" s="460"/>
      <c r="H843" s="460"/>
      <c r="I843" s="447"/>
    </row>
    <row r="844" spans="1:9" s="444" customFormat="1" ht="12.3" outlineLevel="1" x14ac:dyDescent="0.4">
      <c r="A844" s="447"/>
      <c r="B844" s="460"/>
      <c r="C844" s="485"/>
      <c r="D844" s="489"/>
      <c r="E844" s="460"/>
      <c r="F844" s="485"/>
      <c r="G844" s="460"/>
      <c r="H844" s="460"/>
      <c r="I844" s="447"/>
    </row>
    <row r="845" spans="1:9" s="444" customFormat="1" ht="12.3" outlineLevel="1" x14ac:dyDescent="0.4">
      <c r="A845" s="447"/>
      <c r="B845" s="147" t="s">
        <v>146</v>
      </c>
      <c r="C845" s="485"/>
      <c r="D845" s="494"/>
      <c r="E845" s="460"/>
      <c r="F845" s="485"/>
      <c r="G845" s="460"/>
      <c r="H845" s="460"/>
      <c r="I845" s="150"/>
    </row>
    <row r="846" spans="1:9" s="444" customFormat="1" ht="12.3" outlineLevel="1" x14ac:dyDescent="0.4">
      <c r="A846" s="447"/>
      <c r="B846" s="460" t="s">
        <v>11</v>
      </c>
      <c r="C846" s="485">
        <f>C813/16*COS(ASIN(C834))*COS(ASIN(C834))*(4+C813*(4-3*COS(ASIN(C834))*COS(ASIN(C834))))</f>
        <v>8.389052498964728E-4</v>
      </c>
      <c r="D846" s="494"/>
      <c r="E846" s="485">
        <f ca="1">C813/16*COS(ASIN(E834))*COS(ASIN(E834))*(4+C813*(4-3*COS(ASIN(E834))*COS(ASIN(E834))))</f>
        <v>8.389052498964728E-4</v>
      </c>
      <c r="F846" s="485"/>
      <c r="G846" s="460"/>
      <c r="H846" s="460"/>
      <c r="I846" s="150"/>
    </row>
    <row r="847" spans="1:9" s="444" customFormat="1" ht="12.3" outlineLevel="1" x14ac:dyDescent="0.4">
      <c r="A847" s="447"/>
      <c r="B847" s="147" t="s">
        <v>145</v>
      </c>
      <c r="C847" s="485"/>
      <c r="D847" s="494"/>
      <c r="E847" s="460"/>
      <c r="F847" s="485"/>
      <c r="G847" s="460"/>
      <c r="H847" s="460"/>
      <c r="I847" s="150"/>
    </row>
    <row r="848" spans="1:9" s="444" customFormat="1" ht="12.3" outlineLevel="1" x14ac:dyDescent="0.4">
      <c r="A848" s="447"/>
      <c r="B848" s="151" t="s">
        <v>144</v>
      </c>
      <c r="C848" s="485">
        <f>C814+(1-C846)*C813*C834*(ACOS(C829)+C846*SIN(ACOS(C829))*(C836+C846*C829*(-1+2*C836*C836)))</f>
        <v>0</v>
      </c>
      <c r="D848" s="494"/>
      <c r="E848" s="495">
        <f ca="1">C814+(1-E846)*C813*E834*(ACOS(E829)+E846*SIN(ACOS(E829))*(E836+E846*E829*(-1+2*E836*E836)))</f>
        <v>0</v>
      </c>
      <c r="F848" s="485"/>
      <c r="G848" s="460"/>
      <c r="H848" s="460"/>
      <c r="I848" s="150"/>
    </row>
    <row r="849" spans="1:10" s="444" customFormat="1" ht="12.3" outlineLevel="1" x14ac:dyDescent="0.4">
      <c r="A849" s="447"/>
      <c r="B849" s="149" t="s">
        <v>143</v>
      </c>
      <c r="C849" s="485"/>
      <c r="D849" s="494"/>
      <c r="E849" s="148"/>
      <c r="F849" s="485"/>
      <c r="G849" s="460"/>
      <c r="H849" s="460"/>
      <c r="I849" s="496"/>
    </row>
    <row r="850" spans="1:10" s="444" customFormat="1" ht="12.3" outlineLevel="1" x14ac:dyDescent="0.4">
      <c r="A850" s="447"/>
      <c r="B850" s="460" t="s">
        <v>142</v>
      </c>
      <c r="C850" s="485">
        <f>IF(B865="samepoint",0,C812*C839*(ATAN(C831)-C843))</f>
        <v>0</v>
      </c>
      <c r="D850" s="494"/>
      <c r="E850" s="485">
        <f>IF(B865="samepoint",0,C812*E839*(E832-E843))</f>
        <v>0</v>
      </c>
      <c r="F850" s="460"/>
      <c r="G850" s="460"/>
      <c r="H850" s="460"/>
      <c r="I850" s="496"/>
    </row>
    <row r="851" spans="1:10" s="444" customFormat="1" ht="12.3" outlineLevel="1" x14ac:dyDescent="0.4">
      <c r="A851" s="447"/>
      <c r="B851" s="147" t="s">
        <v>141</v>
      </c>
      <c r="C851" s="485"/>
      <c r="D851" s="494"/>
      <c r="E851" s="485"/>
      <c r="F851" s="460"/>
      <c r="G851" s="460"/>
      <c r="H851" s="460"/>
      <c r="I851" s="496"/>
    </row>
    <row r="852" spans="1:10" s="444" customFormat="1" ht="16.2" outlineLevel="1" x14ac:dyDescent="0.65">
      <c r="A852" s="447"/>
      <c r="B852" s="460" t="s">
        <v>140</v>
      </c>
      <c r="C852" s="485"/>
      <c r="D852" s="494"/>
      <c r="E852" s="485" t="e">
        <f ca="1">C823*SIN(E848)/(C819*C822-C818*C823*COS(E848))</f>
        <v>#DIV/0!</v>
      </c>
      <c r="F852" s="460"/>
      <c r="G852" s="460"/>
      <c r="H852" s="460"/>
      <c r="I852" s="496"/>
    </row>
    <row r="853" spans="1:10" s="444" customFormat="1" ht="12.3" outlineLevel="1" x14ac:dyDescent="0.4">
      <c r="A853" s="447"/>
      <c r="B853" s="147" t="s">
        <v>139</v>
      </c>
      <c r="C853" s="485"/>
      <c r="D853" s="494"/>
      <c r="E853" s="485"/>
      <c r="F853" s="460"/>
      <c r="G853" s="460"/>
      <c r="H853" s="460"/>
      <c r="I853" s="496"/>
    </row>
    <row r="854" spans="1:10" s="444" customFormat="1" ht="16.8" outlineLevel="1" x14ac:dyDescent="0.7">
      <c r="A854" s="447"/>
      <c r="B854" s="460" t="s">
        <v>138</v>
      </c>
      <c r="C854" s="485"/>
      <c r="D854" s="494"/>
      <c r="E854" s="485" t="e">
        <f>C819*SIN(C848)/(-C818*C823+C819*C822*COS(C848))</f>
        <v>#DIV/0!</v>
      </c>
      <c r="F854" s="460"/>
      <c r="G854" s="460"/>
      <c r="H854" s="460"/>
      <c r="I854" s="496"/>
    </row>
    <row r="855" spans="1:10" s="444" customFormat="1" ht="12.3" outlineLevel="1" x14ac:dyDescent="0.4">
      <c r="A855" s="447"/>
      <c r="B855" s="460"/>
      <c r="C855" s="485"/>
      <c r="D855" s="494"/>
      <c r="E855" s="460"/>
      <c r="F855" s="485"/>
      <c r="G855" s="460"/>
      <c r="H855" s="460"/>
      <c r="I855" s="496"/>
    </row>
    <row r="856" spans="1:10" s="444" customFormat="1" ht="12.3" outlineLevel="1" x14ac:dyDescent="0.4">
      <c r="A856" s="447"/>
      <c r="B856" s="460"/>
      <c r="C856" s="497"/>
      <c r="D856" s="447"/>
      <c r="E856" s="460"/>
      <c r="F856" s="485"/>
      <c r="G856" s="460"/>
      <c r="H856" s="460"/>
      <c r="I856" s="496"/>
    </row>
    <row r="857" spans="1:10" s="444" customFormat="1" ht="12.3" outlineLevel="1" x14ac:dyDescent="0.4">
      <c r="A857" s="447"/>
      <c r="B857" s="460"/>
      <c r="C857" s="460"/>
      <c r="D857" s="447"/>
      <c r="E857" s="489"/>
      <c r="F857" s="494"/>
      <c r="G857" s="460"/>
      <c r="H857" s="460"/>
      <c r="I857" s="496"/>
    </row>
    <row r="858" spans="1:10" s="444" customFormat="1" ht="12.3" outlineLevel="1" x14ac:dyDescent="0.4">
      <c r="A858" s="447"/>
      <c r="B858" s="146" t="s">
        <v>137</v>
      </c>
      <c r="C858" s="146"/>
      <c r="D858" s="489"/>
      <c r="E858" s="146" t="s">
        <v>136</v>
      </c>
      <c r="F858" s="146"/>
      <c r="G858" s="460"/>
      <c r="H858" s="460"/>
      <c r="I858" s="496"/>
    </row>
    <row r="859" spans="1:10" s="444" customFormat="1" ht="14.7" outlineLevel="1" x14ac:dyDescent="0.6">
      <c r="A859" s="447"/>
      <c r="B859" s="145" t="s">
        <v>417</v>
      </c>
      <c r="C859" s="485" t="e">
        <f ca="1">ATAN(E852)</f>
        <v>#DIV/0!</v>
      </c>
      <c r="D859" s="447"/>
      <c r="E859" s="145" t="s">
        <v>418</v>
      </c>
      <c r="F859" s="485" t="e">
        <f>ATAN(E854)</f>
        <v>#DIV/0!</v>
      </c>
      <c r="G859" s="460"/>
      <c r="H859" s="460"/>
      <c r="I859" s="496" t="e">
        <f>ATAN2(E808-E806,E809-E807)*180/PI()</f>
        <v>#DIV/0!</v>
      </c>
      <c r="J859" s="496" t="e">
        <f>ATAN2(E806-E808,E807-E809)*180/PI()</f>
        <v>#DIV/0!</v>
      </c>
    </row>
    <row r="860" spans="1:10" s="444" customFormat="1" ht="14.7" outlineLevel="1" x14ac:dyDescent="0.6">
      <c r="A860" s="447"/>
      <c r="B860" s="145" t="s">
        <v>419</v>
      </c>
      <c r="C860" s="485" t="e">
        <f ca="1">(C859/PI())*180+360</f>
        <v>#DIV/0!</v>
      </c>
      <c r="D860" s="447"/>
      <c r="E860" s="145" t="s">
        <v>420</v>
      </c>
      <c r="F860" s="485" t="e">
        <f>(F859/PI())*180+180</f>
        <v>#DIV/0!</v>
      </c>
      <c r="G860" s="460"/>
      <c r="H860" s="460"/>
      <c r="I860" s="496" t="e">
        <f>IF(I859&lt;0,C859*180/PI()+360,C859*180/PI())</f>
        <v>#DIV/0!</v>
      </c>
      <c r="J860" s="498" t="e">
        <f>IF(J859&gt;0,F859*180/PI()+180,F859*180/PI())</f>
        <v>#DIV/0!</v>
      </c>
    </row>
    <row r="861" spans="1:10" s="444" customFormat="1" ht="14.7" outlineLevel="1" x14ac:dyDescent="0.6">
      <c r="A861" s="447"/>
      <c r="B861" s="145" t="s">
        <v>419</v>
      </c>
      <c r="C861" s="485" t="e">
        <f ca="1">IF(C860&gt;=360,C860-360,C860)</f>
        <v>#DIV/0!</v>
      </c>
      <c r="D861" s="447"/>
      <c r="E861" s="145" t="s">
        <v>420</v>
      </c>
      <c r="F861" s="485" t="e">
        <f>IF(F860&gt;=360,F860-360,F860)</f>
        <v>#DIV/0!</v>
      </c>
      <c r="G861" s="460"/>
      <c r="H861" s="460"/>
      <c r="I861" s="496" t="e">
        <f ca="1">ATAN2((C819*C822-C818*C823*COS(E848)),C823*SIN(E848))</f>
        <v>#DIV/0!</v>
      </c>
      <c r="J861" s="485" t="e">
        <f ca="1">ATAN2((-C818*C823+C819*C822*COS(E848)),C819*SIN(E848))</f>
        <v>#DIV/0!</v>
      </c>
    </row>
    <row r="862" spans="1:10" s="444" customFormat="1" ht="14.7" outlineLevel="1" x14ac:dyDescent="0.6">
      <c r="A862" s="447"/>
      <c r="B862" s="145" t="s">
        <v>419</v>
      </c>
      <c r="C862" s="485">
        <f>IF(B865="samepoint",0,IF(B866="northsouth",0,IF(B867="southnorth",180,C861)))</f>
        <v>0</v>
      </c>
      <c r="D862" s="447"/>
      <c r="E862" s="145" t="s">
        <v>420</v>
      </c>
      <c r="F862" s="485">
        <f>IF(B865="samepoint",0,IF(B866="northsouth",180,IF(B867="southnorth",0,F861)))</f>
        <v>0</v>
      </c>
      <c r="G862" s="447"/>
      <c r="H862" s="447"/>
      <c r="I862" s="485">
        <f>IF(B865="samepoint",0,IF(B866="northsouth",0,IF(B867="southnorth",180,IF(I861&lt;0,I861*180/PI()+360,I861*180/PI()))))</f>
        <v>0</v>
      </c>
      <c r="J862" s="485">
        <f>IF(B865="samepoint",0,IF(B866="northsouth",180,IF(B867="southnorth",0,J861*180/PI()+180)))</f>
        <v>0</v>
      </c>
    </row>
    <row r="863" spans="1:10" s="444" customFormat="1" ht="12.3" outlineLevel="1" x14ac:dyDescent="0.4">
      <c r="A863" s="447"/>
      <c r="B863" s="145"/>
      <c r="C863" s="447"/>
      <c r="D863" s="447"/>
      <c r="E863" s="145"/>
      <c r="F863" s="447"/>
      <c r="G863" s="447"/>
      <c r="H863" s="447"/>
      <c r="I863" s="447"/>
    </row>
    <row r="864" spans="1:10" s="444" customFormat="1" ht="12.3" outlineLevel="1" x14ac:dyDescent="0.4">
      <c r="A864" s="447"/>
      <c r="B864" s="144" t="s">
        <v>135</v>
      </c>
      <c r="C864" s="144"/>
      <c r="D864" s="447"/>
      <c r="E864" s="447"/>
      <c r="F864" s="447"/>
      <c r="G864" s="447"/>
      <c r="H864" s="447"/>
      <c r="I864" s="447"/>
    </row>
    <row r="865" spans="1:30" s="444" customFormat="1" ht="12.3" outlineLevel="1" x14ac:dyDescent="0.4">
      <c r="A865" s="447"/>
      <c r="B865" s="447" t="str">
        <f>IF(AND(C806=C808,C807=C809),"samepoint","N.A. " )</f>
        <v>samepoint</v>
      </c>
      <c r="C865" s="447" t="s">
        <v>134</v>
      </c>
      <c r="D865" s="447"/>
      <c r="E865" s="447"/>
      <c r="F865" s="447"/>
      <c r="G865" s="447"/>
      <c r="H865" s="447"/>
      <c r="I865" s="447"/>
    </row>
    <row r="866" spans="1:30" s="444" customFormat="1" ht="12.3" outlineLevel="1" x14ac:dyDescent="0.4">
      <c r="A866" s="447"/>
      <c r="B866" s="447" t="str">
        <f>IF(AND(C807=C809,C808&gt;C806),"northsouth","N.A. ")</f>
        <v xml:space="preserve">N.A. </v>
      </c>
      <c r="C866" s="447" t="s">
        <v>133</v>
      </c>
      <c r="D866" s="447"/>
      <c r="E866" s="447"/>
      <c r="F866" s="447"/>
      <c r="G866" s="447"/>
      <c r="H866" s="447"/>
      <c r="I866" s="447"/>
    </row>
    <row r="867" spans="1:30" s="444" customFormat="1" ht="12.3" outlineLevel="1" x14ac:dyDescent="0.4">
      <c r="A867" s="447"/>
      <c r="B867" s="447" t="str">
        <f>IF(AND(C807=C809,C806&gt;C808),"southnorth","N.A. ")</f>
        <v xml:space="preserve">N.A. </v>
      </c>
      <c r="C867" s="447" t="s">
        <v>132</v>
      </c>
      <c r="D867" s="447"/>
      <c r="E867" s="447"/>
      <c r="F867" s="447"/>
      <c r="G867" s="447"/>
      <c r="H867" s="447"/>
      <c r="I867" s="447"/>
    </row>
    <row r="868" spans="1:30" s="444" customFormat="1" ht="12.3" x14ac:dyDescent="0.4">
      <c r="A868" s="447"/>
      <c r="B868" s="447"/>
      <c r="C868" s="447"/>
      <c r="D868" s="447"/>
      <c r="E868" s="447"/>
      <c r="F868" s="447"/>
      <c r="G868" s="447"/>
      <c r="H868" s="447"/>
      <c r="I868" s="447"/>
    </row>
    <row r="869" spans="1:30" s="444" customFormat="1" ht="12.3" collapsed="1" x14ac:dyDescent="0.4">
      <c r="B869" s="509"/>
      <c r="C869" s="509"/>
    </row>
    <row r="870" spans="1:30" s="444" customFormat="1" ht="12.3" x14ac:dyDescent="0.4">
      <c r="A870" s="447"/>
      <c r="B870" s="447"/>
      <c r="C870" s="447"/>
      <c r="D870" s="447"/>
      <c r="E870" s="447"/>
      <c r="F870" s="447"/>
      <c r="G870" s="447"/>
      <c r="H870" s="447"/>
      <c r="I870" s="447"/>
    </row>
    <row r="871" spans="1:30" s="444" customFormat="1" ht="15" x14ac:dyDescent="0.5">
      <c r="A871" s="447"/>
      <c r="B871" s="448" t="s">
        <v>187</v>
      </c>
      <c r="C871" s="448" t="s">
        <v>186</v>
      </c>
      <c r="D871" s="447"/>
      <c r="E871" s="447"/>
      <c r="F871" s="447"/>
      <c r="G871" s="447"/>
      <c r="H871" s="447"/>
      <c r="I871" s="447"/>
      <c r="L871" s="448" t="s">
        <v>187</v>
      </c>
      <c r="M871" s="448" t="s">
        <v>186</v>
      </c>
      <c r="N871" s="447"/>
      <c r="O871" s="447"/>
      <c r="P871" s="447"/>
      <c r="Q871" s="447"/>
      <c r="R871" s="447"/>
      <c r="S871" s="447"/>
      <c r="V871" s="448" t="s">
        <v>187</v>
      </c>
      <c r="W871" s="448" t="s">
        <v>186</v>
      </c>
      <c r="X871" s="447"/>
      <c r="Y871" s="447"/>
      <c r="Z871" s="447"/>
      <c r="AA871" s="447"/>
      <c r="AB871" s="447"/>
      <c r="AC871" s="447"/>
    </row>
    <row r="872" spans="1:30" s="444" customFormat="1" ht="17.399999999999999" x14ac:dyDescent="0.55000000000000004">
      <c r="A872" s="447"/>
      <c r="B872" s="449" t="s">
        <v>185</v>
      </c>
      <c r="C872" s="450" t="s">
        <v>208</v>
      </c>
      <c r="D872" s="451"/>
      <c r="E872" s="452"/>
      <c r="F872" s="453" t="s">
        <v>183</v>
      </c>
      <c r="G872" s="1074" t="s">
        <v>57</v>
      </c>
      <c r="H872" s="1074"/>
      <c r="I872" s="454"/>
      <c r="J872" s="455"/>
      <c r="L872" s="449" t="s">
        <v>185</v>
      </c>
      <c r="M872" s="450" t="s">
        <v>208</v>
      </c>
      <c r="N872" s="451"/>
      <c r="O872" s="452"/>
      <c r="P872" s="453" t="s">
        <v>183</v>
      </c>
      <c r="Q872" s="1074" t="s">
        <v>207</v>
      </c>
      <c r="R872" s="1074"/>
      <c r="S872" s="454"/>
      <c r="T872" s="455"/>
      <c r="V872" s="449" t="s">
        <v>185</v>
      </c>
      <c r="W872" s="450" t="s">
        <v>206</v>
      </c>
      <c r="X872" s="451"/>
      <c r="Y872" s="452"/>
      <c r="Z872" s="453" t="s">
        <v>183</v>
      </c>
      <c r="AA872" s="1074" t="s">
        <v>205</v>
      </c>
      <c r="AB872" s="1074"/>
      <c r="AC872" s="454"/>
      <c r="AD872" s="455"/>
    </row>
    <row r="873" spans="1:30" s="444" customFormat="1" ht="14.7" x14ac:dyDescent="0.6">
      <c r="A873" s="447"/>
      <c r="B873" s="158" t="s">
        <v>405</v>
      </c>
      <c r="C873" s="459">
        <f>IF(SUMMARY!$B$20="NO",0,SUMMARY!$A$30)</f>
        <v>0</v>
      </c>
      <c r="D873" s="457">
        <f>IF(SUMMARY!$B$20="NO",0,SUMMARY!$B$30)</f>
        <v>0</v>
      </c>
      <c r="E873" s="458"/>
      <c r="F873" s="157" t="s">
        <v>406</v>
      </c>
      <c r="G873" s="1069" t="s">
        <v>204</v>
      </c>
      <c r="H873" s="1069"/>
      <c r="I873" s="1070"/>
      <c r="J873" s="460"/>
      <c r="L873" s="158" t="s">
        <v>405</v>
      </c>
      <c r="M873" s="459">
        <f>IF(SUMMARY!$B$20="NO",0,SUMMARY!$A$30)</f>
        <v>0</v>
      </c>
      <c r="N873" s="457">
        <f>IF(SUMMARY!$B$20="NO",0,SUMMARY!$B$30)</f>
        <v>0</v>
      </c>
      <c r="O873" s="458"/>
      <c r="P873" s="157" t="s">
        <v>406</v>
      </c>
      <c r="Q873" s="1069" t="s">
        <v>204</v>
      </c>
      <c r="R873" s="1069"/>
      <c r="S873" s="1070"/>
      <c r="T873" s="460"/>
      <c r="V873" s="158" t="s">
        <v>405</v>
      </c>
      <c r="W873" s="459">
        <f>IF(SUMMARY!$B$20="NO",0,SUMMARY!$A$30)</f>
        <v>0</v>
      </c>
      <c r="X873" s="457">
        <f>IF(SUMMARY!$B$20="NO",0,SUMMARY!$B$30)</f>
        <v>0</v>
      </c>
      <c r="Y873" s="458"/>
      <c r="Z873" s="157" t="s">
        <v>406</v>
      </c>
      <c r="AA873" s="1069" t="s">
        <v>204</v>
      </c>
      <c r="AB873" s="1069"/>
      <c r="AC873" s="1070"/>
      <c r="AD873" s="460"/>
    </row>
    <row r="874" spans="1:30" s="444" customFormat="1" ht="14.7" x14ac:dyDescent="0.6">
      <c r="A874" s="447"/>
      <c r="B874" s="158" t="s">
        <v>407</v>
      </c>
      <c r="C874" s="459">
        <f>IF(SUMMARY!$B$20="NO",0,SUMMARY!$A$32)</f>
        <v>0</v>
      </c>
      <c r="D874" s="457">
        <f>IF(SUMMARY!$B$20="NO",0,SUMMARY!$B$32)</f>
        <v>0</v>
      </c>
      <c r="E874" s="463"/>
      <c r="F874" s="157" t="s">
        <v>408</v>
      </c>
      <c r="G874" s="1072" t="s">
        <v>203</v>
      </c>
      <c r="H874" s="1072"/>
      <c r="I874" s="1073"/>
      <c r="L874" s="158" t="s">
        <v>407</v>
      </c>
      <c r="M874" s="459">
        <f>IF(SUMMARY!$B$20="NO",0,SUMMARY!$A$32)</f>
        <v>0</v>
      </c>
      <c r="N874" s="457">
        <f>IF(SUMMARY!$B$20="NO",0,SUMMARY!$B$32)</f>
        <v>0</v>
      </c>
      <c r="O874" s="463"/>
      <c r="P874" s="157" t="s">
        <v>408</v>
      </c>
      <c r="Q874" s="1072" t="s">
        <v>203</v>
      </c>
      <c r="R874" s="1072"/>
      <c r="S874" s="1073"/>
      <c r="V874" s="158" t="s">
        <v>407</v>
      </c>
      <c r="W874" s="459">
        <f>IF(SUMMARY!$B$20="NO",0,SUMMARY!$A$32)</f>
        <v>0</v>
      </c>
      <c r="X874" s="457">
        <f>IF(SUMMARY!$B$20="NO",0,SUMMARY!$B$32)</f>
        <v>0</v>
      </c>
      <c r="Y874" s="463"/>
      <c r="Z874" s="157" t="s">
        <v>408</v>
      </c>
      <c r="AA874" s="1072" t="s">
        <v>203</v>
      </c>
      <c r="AB874" s="1072"/>
      <c r="AC874" s="1073"/>
    </row>
    <row r="875" spans="1:30" s="444" customFormat="1" ht="12.3" x14ac:dyDescent="0.4">
      <c r="A875" s="447"/>
      <c r="B875" s="464" t="s">
        <v>180</v>
      </c>
      <c r="C875" s="465">
        <f>E924</f>
        <v>0</v>
      </c>
      <c r="D875" s="466"/>
      <c r="E875" s="467"/>
      <c r="F875" s="500"/>
      <c r="G875" s="468"/>
      <c r="H875" s="468"/>
      <c r="I875" s="156" t="s">
        <v>179</v>
      </c>
      <c r="J875" s="447"/>
      <c r="L875" s="464" t="s">
        <v>180</v>
      </c>
      <c r="M875" s="465">
        <f>O924</f>
        <v>0</v>
      </c>
      <c r="N875" s="466"/>
      <c r="O875" s="467"/>
      <c r="P875" s="500"/>
      <c r="Q875" s="468"/>
      <c r="R875" s="468"/>
      <c r="S875" s="156" t="s">
        <v>179</v>
      </c>
      <c r="T875" s="447"/>
      <c r="V875" s="464" t="s">
        <v>180</v>
      </c>
      <c r="W875" s="465">
        <f>Y924</f>
        <v>0</v>
      </c>
      <c r="X875" s="466"/>
      <c r="Y875" s="467"/>
      <c r="Z875" s="500"/>
      <c r="AA875" s="468"/>
      <c r="AB875" s="468"/>
      <c r="AC875" s="156" t="s">
        <v>179</v>
      </c>
      <c r="AD875" s="447"/>
    </row>
    <row r="876" spans="1:30" s="444" customFormat="1" ht="14.7" x14ac:dyDescent="0.6">
      <c r="A876" s="447"/>
      <c r="B876" s="464" t="s">
        <v>409</v>
      </c>
      <c r="C876" s="469">
        <f>I936</f>
        <v>0</v>
      </c>
      <c r="D876" s="470"/>
      <c r="E876" s="471"/>
      <c r="F876" s="501"/>
      <c r="G876" s="472"/>
      <c r="H876" s="473"/>
      <c r="J876" s="474"/>
      <c r="L876" s="464" t="s">
        <v>409</v>
      </c>
      <c r="M876" s="469">
        <f>S936</f>
        <v>0</v>
      </c>
      <c r="N876" s="470"/>
      <c r="O876" s="471"/>
      <c r="P876" s="501"/>
      <c r="Q876" s="472"/>
      <c r="R876" s="473"/>
      <c r="T876" s="474"/>
      <c r="V876" s="464" t="s">
        <v>409</v>
      </c>
      <c r="W876" s="469">
        <f>AC936</f>
        <v>0</v>
      </c>
      <c r="X876" s="470"/>
      <c r="Y876" s="471"/>
      <c r="Z876" s="501"/>
      <c r="AA876" s="472"/>
      <c r="AB876" s="473"/>
      <c r="AD876" s="474"/>
    </row>
    <row r="877" spans="1:30" s="444" customFormat="1" ht="14.7" x14ac:dyDescent="0.6">
      <c r="A877" s="447"/>
      <c r="B877" s="475" t="s">
        <v>410</v>
      </c>
      <c r="C877" s="476">
        <f>J936</f>
        <v>0</v>
      </c>
      <c r="D877" s="477"/>
      <c r="E877" s="478"/>
      <c r="F877" s="502" t="str">
        <f>IF(AND(C873=0=FALSE,C882=0=FALSE),C875/1000,"N/A")</f>
        <v>N/A</v>
      </c>
      <c r="G877" s="447" t="s">
        <v>178</v>
      </c>
      <c r="H877" s="447"/>
      <c r="L877" s="475" t="s">
        <v>410</v>
      </c>
      <c r="M877" s="476">
        <f>T936</f>
        <v>0</v>
      </c>
      <c r="N877" s="477"/>
      <c r="O877" s="478"/>
      <c r="P877" s="502">
        <f>IF(AND(M873=0=FALSE,M882=0=FALSE),M875/1000,0)</f>
        <v>0</v>
      </c>
      <c r="Q877" s="447" t="s">
        <v>178</v>
      </c>
      <c r="R877" s="447"/>
      <c r="V877" s="475" t="s">
        <v>410</v>
      </c>
      <c r="W877" s="476">
        <f>AD936</f>
        <v>0</v>
      </c>
      <c r="X877" s="477"/>
      <c r="Y877" s="478"/>
      <c r="Z877" s="502">
        <f>IF(AND(W873=0=FALSE,W882=0=FALSE),W875/1000,0)</f>
        <v>0</v>
      </c>
      <c r="AA877" s="447" t="s">
        <v>178</v>
      </c>
      <c r="AB877" s="447"/>
    </row>
    <row r="878" spans="1:30" s="444" customFormat="1" ht="12.3" x14ac:dyDescent="0.4">
      <c r="A878" s="447"/>
      <c r="B878" s="460"/>
      <c r="C878" s="487"/>
      <c r="D878" s="489"/>
      <c r="E878" s="489"/>
      <c r="F878" s="447"/>
      <c r="G878" s="460"/>
      <c r="L878" s="460"/>
      <c r="M878" s="487"/>
      <c r="N878" s="489"/>
      <c r="O878" s="489"/>
      <c r="P878" s="447"/>
      <c r="Q878" s="460"/>
      <c r="V878" s="460"/>
      <c r="W878" s="487"/>
      <c r="X878" s="489"/>
      <c r="Y878" s="489"/>
      <c r="Z878" s="447"/>
      <c r="AA878" s="460"/>
    </row>
    <row r="879" spans="1:30" s="444" customFormat="1" ht="12.3" x14ac:dyDescent="0.4">
      <c r="A879" s="447"/>
      <c r="B879" s="447"/>
      <c r="C879" s="503" t="s">
        <v>177</v>
      </c>
      <c r="D879" s="504"/>
      <c r="E879" s="503" t="s">
        <v>85</v>
      </c>
      <c r="F879" s="447"/>
      <c r="G879" s="460"/>
      <c r="H879" s="460"/>
      <c r="I879" s="447"/>
      <c r="L879" s="447"/>
      <c r="M879" s="503" t="s">
        <v>177</v>
      </c>
      <c r="N879" s="504"/>
      <c r="O879" s="503" t="s">
        <v>85</v>
      </c>
      <c r="P879" s="447"/>
      <c r="Q879" s="460"/>
      <c r="R879" s="460"/>
      <c r="S879" s="447"/>
      <c r="V879" s="447"/>
      <c r="W879" s="503" t="s">
        <v>177</v>
      </c>
      <c r="X879" s="504"/>
      <c r="Y879" s="503" t="s">
        <v>85</v>
      </c>
      <c r="Z879" s="447"/>
      <c r="AA879" s="460"/>
      <c r="AB879" s="460"/>
      <c r="AC879" s="447"/>
    </row>
    <row r="880" spans="1:30" s="444" customFormat="1" ht="14.7" x14ac:dyDescent="0.6">
      <c r="A880" s="447"/>
      <c r="B880" s="460" t="s">
        <v>411</v>
      </c>
      <c r="C880" s="485">
        <f>C873+D873/60</f>
        <v>0</v>
      </c>
      <c r="D880" s="447"/>
      <c r="E880" s="485">
        <f>C880*PI()/180</f>
        <v>0</v>
      </c>
      <c r="F880" s="447"/>
      <c r="G880" s="460"/>
      <c r="H880" s="460"/>
      <c r="I880" s="447"/>
      <c r="L880" s="460" t="s">
        <v>411</v>
      </c>
      <c r="M880" s="485">
        <f>M873+N873/60</f>
        <v>0</v>
      </c>
      <c r="N880" s="447"/>
      <c r="O880" s="485">
        <f>M880*PI()/180</f>
        <v>0</v>
      </c>
      <c r="P880" s="447"/>
      <c r="Q880" s="460"/>
      <c r="R880" s="460"/>
      <c r="S880" s="447"/>
      <c r="V880" s="460" t="s">
        <v>411</v>
      </c>
      <c r="W880" s="485">
        <f>C882</f>
        <v>0</v>
      </c>
      <c r="X880" s="447"/>
      <c r="Y880" s="485">
        <f>W880*PI()/180</f>
        <v>0</v>
      </c>
      <c r="Z880" s="447"/>
      <c r="AA880" s="460"/>
      <c r="AB880" s="460"/>
      <c r="AC880" s="447"/>
    </row>
    <row r="881" spans="1:29" s="444" customFormat="1" ht="14.7" x14ac:dyDescent="0.6">
      <c r="A881" s="447"/>
      <c r="B881" s="460" t="s">
        <v>412</v>
      </c>
      <c r="C881" s="485">
        <f>C874+D874/60</f>
        <v>0</v>
      </c>
      <c r="D881" s="447"/>
      <c r="E881" s="485">
        <f>C881*PI()/180</f>
        <v>0</v>
      </c>
      <c r="F881" s="447"/>
      <c r="G881" s="460"/>
      <c r="H881" s="485"/>
      <c r="I881" s="447"/>
      <c r="L881" s="460" t="s">
        <v>412</v>
      </c>
      <c r="M881" s="485">
        <f>M874+N874/60</f>
        <v>0</v>
      </c>
      <c r="N881" s="447"/>
      <c r="O881" s="485">
        <f>M881*PI()/180</f>
        <v>0</v>
      </c>
      <c r="P881" s="447"/>
      <c r="Q881" s="460"/>
      <c r="R881" s="485"/>
      <c r="S881" s="447"/>
      <c r="V881" s="460" t="s">
        <v>412</v>
      </c>
      <c r="W881" s="485">
        <f>C883</f>
        <v>0</v>
      </c>
      <c r="X881" s="447"/>
      <c r="Y881" s="485">
        <f>W881*PI()/180</f>
        <v>0</v>
      </c>
      <c r="Z881" s="447"/>
      <c r="AA881" s="460"/>
      <c r="AB881" s="485"/>
      <c r="AC881" s="447"/>
    </row>
    <row r="882" spans="1:29" s="444" customFormat="1" ht="14.7" x14ac:dyDescent="0.6">
      <c r="A882" s="447"/>
      <c r="B882" s="460" t="s">
        <v>413</v>
      </c>
      <c r="C882" s="510">
        <f>TPOrder!FA9</f>
        <v>0</v>
      </c>
      <c r="D882" s="447"/>
      <c r="E882" s="485">
        <f>C882*PI()/180</f>
        <v>0</v>
      </c>
      <c r="F882" s="447"/>
      <c r="G882" s="460"/>
      <c r="H882" s="460"/>
      <c r="I882" s="447"/>
      <c r="L882" s="460" t="s">
        <v>413</v>
      </c>
      <c r="M882" s="510">
        <f>TPOrder!FK9</f>
        <v>0</v>
      </c>
      <c r="N882" s="447"/>
      <c r="O882" s="485">
        <f>M882*PI()/180</f>
        <v>0</v>
      </c>
      <c r="P882" s="447"/>
      <c r="Q882" s="460"/>
      <c r="R882" s="460"/>
      <c r="S882" s="447"/>
      <c r="V882" s="460" t="s">
        <v>413</v>
      </c>
      <c r="W882" s="485">
        <f>M882</f>
        <v>0</v>
      </c>
      <c r="X882" s="447"/>
      <c r="Y882" s="485">
        <f>W882*PI()/180</f>
        <v>0</v>
      </c>
      <c r="Z882" s="447"/>
      <c r="AA882" s="460"/>
      <c r="AB882" s="460"/>
      <c r="AC882" s="447"/>
    </row>
    <row r="883" spans="1:29" s="444" customFormat="1" ht="14.7" x14ac:dyDescent="0.6">
      <c r="A883" s="447"/>
      <c r="B883" s="460" t="s">
        <v>414</v>
      </c>
      <c r="C883" s="510">
        <f>TPOrder!FC9</f>
        <v>0</v>
      </c>
      <c r="D883" s="447"/>
      <c r="E883" s="485">
        <f>C883*PI()/180</f>
        <v>0</v>
      </c>
      <c r="F883" s="447"/>
      <c r="G883" s="460"/>
      <c r="H883" s="485"/>
      <c r="I883" s="447"/>
      <c r="L883" s="460" t="s">
        <v>414</v>
      </c>
      <c r="M883" s="510">
        <f>TPOrder!FM9</f>
        <v>0</v>
      </c>
      <c r="N883" s="447"/>
      <c r="O883" s="485">
        <f>M883*PI()/180</f>
        <v>0</v>
      </c>
      <c r="P883" s="447"/>
      <c r="Q883" s="460"/>
      <c r="R883" s="485"/>
      <c r="S883" s="447"/>
      <c r="V883" s="460" t="s">
        <v>414</v>
      </c>
      <c r="W883" s="485">
        <f>M883</f>
        <v>0</v>
      </c>
      <c r="X883" s="447"/>
      <c r="Y883" s="485">
        <f>W883*PI()/180</f>
        <v>0</v>
      </c>
      <c r="Z883" s="447"/>
      <c r="AA883" s="460"/>
      <c r="AB883" s="485"/>
      <c r="AC883" s="447"/>
    </row>
    <row r="884" spans="1:29" s="444" customFormat="1" ht="12.3" x14ac:dyDescent="0.4">
      <c r="A884" s="447"/>
      <c r="B884" s="485"/>
      <c r="C884" s="485"/>
      <c r="D884" s="485"/>
      <c r="E884" s="485"/>
      <c r="F884" s="447"/>
      <c r="G884" s="460"/>
      <c r="H884" s="485"/>
      <c r="I884" s="447"/>
      <c r="L884" s="485"/>
      <c r="M884" s="485"/>
      <c r="N884" s="485"/>
      <c r="O884" s="485"/>
      <c r="P884" s="447"/>
      <c r="Q884" s="460"/>
      <c r="R884" s="485"/>
      <c r="S884" s="447"/>
      <c r="V884" s="485"/>
      <c r="W884" s="485"/>
      <c r="X884" s="485"/>
      <c r="Y884" s="485"/>
      <c r="Z884" s="447"/>
      <c r="AA884" s="460"/>
      <c r="AB884" s="485"/>
      <c r="AC884" s="447"/>
    </row>
    <row r="885" spans="1:29" s="444" customFormat="1" ht="12.3" x14ac:dyDescent="0.4">
      <c r="A885" s="447"/>
      <c r="B885" s="460" t="s">
        <v>176</v>
      </c>
      <c r="C885" s="487">
        <v>6378137</v>
      </c>
      <c r="D885" s="488"/>
      <c r="E885" s="489" t="s">
        <v>175</v>
      </c>
      <c r="F885" s="485">
        <f>C887+C887*C887</f>
        <v>3.3640520041011246E-3</v>
      </c>
      <c r="G885" s="460"/>
      <c r="H885" s="460"/>
      <c r="I885" s="447"/>
      <c r="L885" s="460" t="s">
        <v>176</v>
      </c>
      <c r="M885" s="487">
        <v>6378137</v>
      </c>
      <c r="N885" s="488"/>
      <c r="O885" s="489" t="s">
        <v>175</v>
      </c>
      <c r="P885" s="485">
        <f>M887+M887*M887</f>
        <v>3.3640520041011246E-3</v>
      </c>
      <c r="Q885" s="460"/>
      <c r="R885" s="460"/>
      <c r="S885" s="447"/>
      <c r="V885" s="460" t="s">
        <v>176</v>
      </c>
      <c r="W885" s="487">
        <v>6378137</v>
      </c>
      <c r="X885" s="488"/>
      <c r="Y885" s="489" t="s">
        <v>175</v>
      </c>
      <c r="Z885" s="485">
        <f>W887+W887*W887</f>
        <v>3.3640520041011246E-3</v>
      </c>
      <c r="AA885" s="460"/>
      <c r="AB885" s="460"/>
      <c r="AC885" s="447"/>
    </row>
    <row r="886" spans="1:29" s="444" customFormat="1" ht="12.3" x14ac:dyDescent="0.4">
      <c r="A886" s="447"/>
      <c r="B886" s="489" t="s">
        <v>174</v>
      </c>
      <c r="C886" s="487">
        <f>C885*(1-C887)</f>
        <v>6356752.3142451793</v>
      </c>
      <c r="D886" s="488"/>
      <c r="E886" s="489" t="s">
        <v>173</v>
      </c>
      <c r="F886" s="485">
        <f>F885/2</f>
        <v>1.6820260020505623E-3</v>
      </c>
      <c r="G886" s="460"/>
      <c r="H886" s="460"/>
      <c r="I886" s="447"/>
      <c r="L886" s="489" t="s">
        <v>174</v>
      </c>
      <c r="M886" s="487">
        <f>M885*(1-M887)</f>
        <v>6356752.3142451793</v>
      </c>
      <c r="N886" s="488"/>
      <c r="O886" s="489" t="s">
        <v>173</v>
      </c>
      <c r="P886" s="485">
        <f>P885/2</f>
        <v>1.6820260020505623E-3</v>
      </c>
      <c r="Q886" s="460"/>
      <c r="R886" s="460"/>
      <c r="S886" s="447"/>
      <c r="V886" s="489" t="s">
        <v>174</v>
      </c>
      <c r="W886" s="487">
        <f>W885*(1-W887)</f>
        <v>6356752.3142451793</v>
      </c>
      <c r="X886" s="488"/>
      <c r="Y886" s="489" t="s">
        <v>173</v>
      </c>
      <c r="Z886" s="485">
        <f>Z885/2</f>
        <v>1.6820260020505623E-3</v>
      </c>
      <c r="AA886" s="460"/>
      <c r="AB886" s="460"/>
      <c r="AC886" s="447"/>
    </row>
    <row r="887" spans="1:29" s="444" customFormat="1" ht="12.3" x14ac:dyDescent="0.4">
      <c r="A887" s="447"/>
      <c r="B887" s="489" t="s">
        <v>172</v>
      </c>
      <c r="C887" s="485">
        <v>3.3528106647474801E-3</v>
      </c>
      <c r="D887" s="489"/>
      <c r="E887" s="489" t="s">
        <v>171</v>
      </c>
      <c r="F887" s="485">
        <f>C887*C887/2</f>
        <v>5.6206696768222199E-6</v>
      </c>
      <c r="G887" s="460"/>
      <c r="H887" s="460"/>
      <c r="I887" s="447"/>
      <c r="L887" s="489" t="s">
        <v>172</v>
      </c>
      <c r="M887" s="485">
        <v>3.3528106647474801E-3</v>
      </c>
      <c r="N887" s="489"/>
      <c r="O887" s="489" t="s">
        <v>171</v>
      </c>
      <c r="P887" s="485">
        <f>M887*M887/2</f>
        <v>5.6206696768222199E-6</v>
      </c>
      <c r="Q887" s="460"/>
      <c r="R887" s="460"/>
      <c r="S887" s="447"/>
      <c r="V887" s="489" t="s">
        <v>172</v>
      </c>
      <c r="W887" s="485">
        <v>3.3528106647474801E-3</v>
      </c>
      <c r="X887" s="489"/>
      <c r="Y887" s="489" t="s">
        <v>171</v>
      </c>
      <c r="Z887" s="485">
        <f>W887*W887/2</f>
        <v>5.6206696768222199E-6</v>
      </c>
      <c r="AA887" s="460"/>
      <c r="AB887" s="460"/>
      <c r="AC887" s="447"/>
    </row>
    <row r="888" spans="1:29" s="444" customFormat="1" ht="12.3" x14ac:dyDescent="0.4">
      <c r="A888" s="447"/>
      <c r="B888" s="460" t="s">
        <v>415</v>
      </c>
      <c r="C888" s="485">
        <f>E883-E881</f>
        <v>0</v>
      </c>
      <c r="D888" s="447"/>
      <c r="E888" s="447" t="s">
        <v>170</v>
      </c>
      <c r="F888" s="485">
        <f>C887*C887/8</f>
        <v>1.405167419205555E-6</v>
      </c>
      <c r="G888" s="460"/>
      <c r="H888" s="460"/>
      <c r="I888" s="447"/>
      <c r="L888" s="460" t="s">
        <v>415</v>
      </c>
      <c r="M888" s="485">
        <f>O883-O881</f>
        <v>0</v>
      </c>
      <c r="N888" s="447"/>
      <c r="O888" s="447" t="s">
        <v>170</v>
      </c>
      <c r="P888" s="485">
        <f>M887*M887/8</f>
        <v>1.405167419205555E-6</v>
      </c>
      <c r="Q888" s="460"/>
      <c r="R888" s="460"/>
      <c r="S888" s="447"/>
      <c r="V888" s="460" t="s">
        <v>415</v>
      </c>
      <c r="W888" s="485">
        <f>Y883-Y881</f>
        <v>0</v>
      </c>
      <c r="X888" s="447"/>
      <c r="Y888" s="447" t="s">
        <v>170</v>
      </c>
      <c r="Z888" s="485">
        <f>W887*W887/8</f>
        <v>1.405167419205555E-6</v>
      </c>
      <c r="AA888" s="460"/>
      <c r="AB888" s="460"/>
      <c r="AC888" s="447"/>
    </row>
    <row r="889" spans="1:29" s="444" customFormat="1" ht="12.3" x14ac:dyDescent="0.4">
      <c r="A889" s="447"/>
      <c r="B889" s="447"/>
      <c r="C889" s="447"/>
      <c r="D889" s="447"/>
      <c r="E889" s="489" t="s">
        <v>169</v>
      </c>
      <c r="F889" s="485">
        <f>C887*C887/16</f>
        <v>7.0258370960277749E-7</v>
      </c>
      <c r="G889" s="460"/>
      <c r="H889" s="460"/>
      <c r="I889" s="447"/>
      <c r="L889" s="447"/>
      <c r="M889" s="447"/>
      <c r="N889" s="447"/>
      <c r="O889" s="489" t="s">
        <v>169</v>
      </c>
      <c r="P889" s="485">
        <f>M887*M887/16</f>
        <v>7.0258370960277749E-7</v>
      </c>
      <c r="Q889" s="460"/>
      <c r="R889" s="460"/>
      <c r="S889" s="447"/>
      <c r="V889" s="447"/>
      <c r="W889" s="447"/>
      <c r="X889" s="447"/>
      <c r="Y889" s="489" t="s">
        <v>169</v>
      </c>
      <c r="Z889" s="485">
        <f>W887*W887/16</f>
        <v>7.0258370960277749E-7</v>
      </c>
      <c r="AA889" s="460"/>
      <c r="AB889" s="460"/>
      <c r="AC889" s="447"/>
    </row>
    <row r="890" spans="1:29" s="444" customFormat="1" ht="12.3" x14ac:dyDescent="0.4">
      <c r="A890" s="447"/>
      <c r="B890" s="447" t="s">
        <v>168</v>
      </c>
      <c r="C890" s="490">
        <f>(1-C887)*TAN(E880)</f>
        <v>0</v>
      </c>
      <c r="D890" s="447"/>
      <c r="E890" s="489"/>
      <c r="F890" s="460"/>
      <c r="G890" s="460"/>
      <c r="H890" s="460"/>
      <c r="I890" s="447"/>
      <c r="L890" s="447" t="s">
        <v>168</v>
      </c>
      <c r="M890" s="490">
        <f>(1-M887)*TAN(O880)</f>
        <v>0</v>
      </c>
      <c r="N890" s="447"/>
      <c r="O890" s="489"/>
      <c r="P890" s="460"/>
      <c r="Q890" s="460"/>
      <c r="R890" s="460"/>
      <c r="S890" s="447"/>
      <c r="V890" s="447" t="s">
        <v>168</v>
      </c>
      <c r="W890" s="490">
        <f>(1-W887)*TAN(Y880)</f>
        <v>0</v>
      </c>
      <c r="X890" s="447"/>
      <c r="Y890" s="489"/>
      <c r="Z890" s="460"/>
      <c r="AA890" s="460"/>
      <c r="AB890" s="460"/>
      <c r="AC890" s="447"/>
    </row>
    <row r="891" spans="1:29" s="444" customFormat="1" ht="12.3" x14ac:dyDescent="0.4">
      <c r="A891" s="447"/>
      <c r="B891" s="460" t="s">
        <v>106</v>
      </c>
      <c r="C891" s="485">
        <f>ATAN(C890)</f>
        <v>0</v>
      </c>
      <c r="D891" s="489"/>
      <c r="E891" s="155"/>
      <c r="F891" s="485"/>
      <c r="G891" s="460"/>
      <c r="H891" s="460"/>
      <c r="I891" s="447"/>
      <c r="L891" s="460" t="s">
        <v>106</v>
      </c>
      <c r="M891" s="485">
        <f>ATAN(M890)</f>
        <v>0</v>
      </c>
      <c r="N891" s="489"/>
      <c r="O891" s="155"/>
      <c r="P891" s="485"/>
      <c r="Q891" s="460"/>
      <c r="R891" s="460"/>
      <c r="S891" s="447"/>
      <c r="V891" s="460" t="s">
        <v>106</v>
      </c>
      <c r="W891" s="485">
        <f>ATAN(W890)</f>
        <v>0</v>
      </c>
      <c r="X891" s="489"/>
      <c r="Y891" s="155"/>
      <c r="Z891" s="485"/>
      <c r="AA891" s="460"/>
      <c r="AB891" s="460"/>
      <c r="AC891" s="447"/>
    </row>
    <row r="892" spans="1:29" s="444" customFormat="1" ht="12.3" x14ac:dyDescent="0.4">
      <c r="A892" s="447"/>
      <c r="B892" s="460" t="s">
        <v>167</v>
      </c>
      <c r="C892" s="485">
        <f>SIN(C891)</f>
        <v>0</v>
      </c>
      <c r="D892" s="489"/>
      <c r="E892" s="148"/>
      <c r="F892" s="485"/>
      <c r="G892" s="460"/>
      <c r="H892" s="460"/>
      <c r="I892" s="447"/>
      <c r="L892" s="460" t="s">
        <v>167</v>
      </c>
      <c r="M892" s="485">
        <f>SIN(M891)</f>
        <v>0</v>
      </c>
      <c r="N892" s="489"/>
      <c r="O892" s="148"/>
      <c r="P892" s="485"/>
      <c r="Q892" s="460"/>
      <c r="R892" s="460"/>
      <c r="S892" s="447"/>
      <c r="V892" s="460" t="s">
        <v>167</v>
      </c>
      <c r="W892" s="485">
        <f>SIN(W891)</f>
        <v>0</v>
      </c>
      <c r="X892" s="489"/>
      <c r="Y892" s="148"/>
      <c r="Z892" s="485"/>
      <c r="AA892" s="460"/>
      <c r="AB892" s="460"/>
      <c r="AC892" s="447"/>
    </row>
    <row r="893" spans="1:29" s="444" customFormat="1" ht="12.3" x14ac:dyDescent="0.4">
      <c r="A893" s="447"/>
      <c r="B893" s="460" t="s">
        <v>166</v>
      </c>
      <c r="C893" s="485">
        <f>COS(C891)</f>
        <v>1</v>
      </c>
      <c r="D893" s="489"/>
      <c r="E893" s="460"/>
      <c r="F893" s="485"/>
      <c r="G893" s="460"/>
      <c r="H893" s="460"/>
      <c r="I893" s="447"/>
      <c r="L893" s="460" t="s">
        <v>166</v>
      </c>
      <c r="M893" s="485">
        <f>COS(M891)</f>
        <v>1</v>
      </c>
      <c r="N893" s="489"/>
      <c r="O893" s="460"/>
      <c r="P893" s="485"/>
      <c r="Q893" s="460"/>
      <c r="R893" s="460"/>
      <c r="S893" s="447"/>
      <c r="V893" s="460" t="s">
        <v>166</v>
      </c>
      <c r="W893" s="485">
        <f>COS(W891)</f>
        <v>1</v>
      </c>
      <c r="X893" s="489"/>
      <c r="Y893" s="460"/>
      <c r="Z893" s="485"/>
      <c r="AA893" s="460"/>
      <c r="AB893" s="460"/>
      <c r="AC893" s="447"/>
    </row>
    <row r="894" spans="1:29" s="444" customFormat="1" ht="12.3" x14ac:dyDescent="0.4">
      <c r="A894" s="447"/>
      <c r="B894" s="460" t="s">
        <v>165</v>
      </c>
      <c r="C894" s="491">
        <f>(1-C887)*TAN(E882)</f>
        <v>0</v>
      </c>
      <c r="D894" s="489"/>
      <c r="E894" s="460"/>
      <c r="F894" s="485"/>
      <c r="G894" s="460"/>
      <c r="H894" s="460"/>
      <c r="I894" s="447"/>
      <c r="L894" s="460" t="s">
        <v>165</v>
      </c>
      <c r="M894" s="491">
        <f>(1-M887)*TAN(O882)</f>
        <v>0</v>
      </c>
      <c r="N894" s="489"/>
      <c r="O894" s="460"/>
      <c r="P894" s="485"/>
      <c r="Q894" s="460"/>
      <c r="R894" s="460"/>
      <c r="S894" s="447"/>
      <c r="V894" s="460" t="s">
        <v>165</v>
      </c>
      <c r="W894" s="491">
        <f>(1-W887)*TAN(Y882)</f>
        <v>0</v>
      </c>
      <c r="X894" s="489"/>
      <c r="Y894" s="460"/>
      <c r="Z894" s="485"/>
      <c r="AA894" s="460"/>
      <c r="AB894" s="460"/>
      <c r="AC894" s="447"/>
    </row>
    <row r="895" spans="1:29" s="444" customFormat="1" ht="12.3" x14ac:dyDescent="0.4">
      <c r="A895" s="447"/>
      <c r="B895" s="460" t="s">
        <v>164</v>
      </c>
      <c r="C895" s="485">
        <f>ATAN(C894)</f>
        <v>0</v>
      </c>
      <c r="D895" s="489"/>
      <c r="E895" s="460"/>
      <c r="F895" s="485"/>
      <c r="G895" s="460"/>
      <c r="H895" s="460"/>
      <c r="I895" s="447"/>
      <c r="L895" s="460" t="s">
        <v>164</v>
      </c>
      <c r="M895" s="485">
        <f>ATAN(M894)</f>
        <v>0</v>
      </c>
      <c r="N895" s="489"/>
      <c r="O895" s="460"/>
      <c r="P895" s="485"/>
      <c r="Q895" s="460"/>
      <c r="R895" s="460"/>
      <c r="S895" s="447"/>
      <c r="V895" s="460" t="s">
        <v>164</v>
      </c>
      <c r="W895" s="485">
        <f>ATAN(W894)</f>
        <v>0</v>
      </c>
      <c r="X895" s="489"/>
      <c r="Y895" s="460"/>
      <c r="Z895" s="485"/>
      <c r="AA895" s="460"/>
      <c r="AB895" s="460"/>
      <c r="AC895" s="447"/>
    </row>
    <row r="896" spans="1:29" s="444" customFormat="1" ht="12.3" x14ac:dyDescent="0.4">
      <c r="A896" s="447"/>
      <c r="B896" s="460" t="s">
        <v>163</v>
      </c>
      <c r="C896" s="485">
        <f>SIN(C895)</f>
        <v>0</v>
      </c>
      <c r="D896" s="489"/>
      <c r="E896" s="460"/>
      <c r="F896" s="485"/>
      <c r="G896" s="460"/>
      <c r="H896" s="460"/>
      <c r="I896" s="447"/>
      <c r="L896" s="460" t="s">
        <v>163</v>
      </c>
      <c r="M896" s="485">
        <f>SIN(M895)</f>
        <v>0</v>
      </c>
      <c r="N896" s="489"/>
      <c r="O896" s="460"/>
      <c r="P896" s="485"/>
      <c r="Q896" s="460"/>
      <c r="R896" s="460"/>
      <c r="S896" s="447"/>
      <c r="V896" s="460" t="s">
        <v>163</v>
      </c>
      <c r="W896" s="485">
        <f>SIN(W895)</f>
        <v>0</v>
      </c>
      <c r="X896" s="489"/>
      <c r="Y896" s="460"/>
      <c r="Z896" s="485"/>
      <c r="AA896" s="460"/>
      <c r="AB896" s="460"/>
      <c r="AC896" s="447"/>
    </row>
    <row r="897" spans="1:29" s="444" customFormat="1" ht="12.3" x14ac:dyDescent="0.4">
      <c r="A897" s="447"/>
      <c r="B897" s="460" t="s">
        <v>162</v>
      </c>
      <c r="C897" s="485">
        <f>COS(C895)</f>
        <v>1</v>
      </c>
      <c r="D897" s="489"/>
      <c r="E897" s="460"/>
      <c r="F897" s="485"/>
      <c r="G897" s="460"/>
      <c r="H897" s="460"/>
      <c r="I897" s="447"/>
      <c r="L897" s="460" t="s">
        <v>162</v>
      </c>
      <c r="M897" s="485">
        <f>COS(M895)</f>
        <v>1</v>
      </c>
      <c r="N897" s="489"/>
      <c r="O897" s="460"/>
      <c r="P897" s="485"/>
      <c r="Q897" s="460"/>
      <c r="R897" s="460"/>
      <c r="S897" s="447"/>
      <c r="V897" s="460" t="s">
        <v>162</v>
      </c>
      <c r="W897" s="485">
        <f>COS(W895)</f>
        <v>1</v>
      </c>
      <c r="X897" s="489"/>
      <c r="Y897" s="460"/>
      <c r="Z897" s="485"/>
      <c r="AA897" s="460"/>
      <c r="AB897" s="460"/>
      <c r="AC897" s="447"/>
    </row>
    <row r="898" spans="1:29" s="444" customFormat="1" ht="12.3" x14ac:dyDescent="0.4">
      <c r="A898" s="447"/>
      <c r="B898" s="147" t="s">
        <v>161</v>
      </c>
      <c r="C898" s="485"/>
      <c r="D898" s="489"/>
      <c r="E898" s="460"/>
      <c r="F898" s="485"/>
      <c r="G898" s="460"/>
      <c r="H898" s="460"/>
      <c r="I898" s="447"/>
      <c r="L898" s="147" t="s">
        <v>161</v>
      </c>
      <c r="M898" s="485"/>
      <c r="N898" s="489"/>
      <c r="O898" s="460"/>
      <c r="P898" s="485"/>
      <c r="Q898" s="460"/>
      <c r="R898" s="460"/>
      <c r="S898" s="447"/>
      <c r="V898" s="147" t="s">
        <v>161</v>
      </c>
      <c r="W898" s="485"/>
      <c r="X898" s="489"/>
      <c r="Y898" s="460"/>
      <c r="Z898" s="485"/>
      <c r="AA898" s="460"/>
      <c r="AB898" s="460"/>
      <c r="AC898" s="447"/>
    </row>
    <row r="899" spans="1:29" s="444" customFormat="1" ht="12.3" x14ac:dyDescent="0.4">
      <c r="A899" s="447"/>
      <c r="B899" s="148" t="s">
        <v>144</v>
      </c>
      <c r="C899" s="485">
        <f>C888</f>
        <v>0</v>
      </c>
      <c r="D899" s="489"/>
      <c r="E899" s="485">
        <f ca="1">E922</f>
        <v>0</v>
      </c>
      <c r="F899" s="485"/>
      <c r="G899" s="460"/>
      <c r="H899" s="460"/>
      <c r="I899" s="447"/>
      <c r="L899" s="148" t="s">
        <v>144</v>
      </c>
      <c r="M899" s="485">
        <f>M888</f>
        <v>0</v>
      </c>
      <c r="N899" s="489"/>
      <c r="O899" s="485">
        <f ca="1">O922</f>
        <v>0</v>
      </c>
      <c r="P899" s="485"/>
      <c r="Q899" s="460"/>
      <c r="R899" s="460"/>
      <c r="S899" s="447"/>
      <c r="V899" s="148" t="s">
        <v>144</v>
      </c>
      <c r="W899" s="485">
        <f>W888</f>
        <v>0</v>
      </c>
      <c r="X899" s="489"/>
      <c r="Y899" s="485">
        <f ca="1">Y922</f>
        <v>0</v>
      </c>
      <c r="Z899" s="485"/>
      <c r="AA899" s="460"/>
      <c r="AB899" s="460"/>
      <c r="AC899" s="447"/>
    </row>
    <row r="900" spans="1:29" s="444" customFormat="1" ht="12.3" x14ac:dyDescent="0.4">
      <c r="A900" s="447"/>
      <c r="B900" s="147" t="s">
        <v>160</v>
      </c>
      <c r="C900" s="485"/>
      <c r="D900" s="489"/>
      <c r="E900" s="460"/>
      <c r="F900" s="485"/>
      <c r="G900" s="460"/>
      <c r="H900" s="460"/>
      <c r="I900" s="447"/>
      <c r="L900" s="147" t="s">
        <v>160</v>
      </c>
      <c r="M900" s="485"/>
      <c r="N900" s="489"/>
      <c r="O900" s="460"/>
      <c r="P900" s="485"/>
      <c r="Q900" s="460"/>
      <c r="R900" s="460"/>
      <c r="S900" s="447"/>
      <c r="V900" s="147" t="s">
        <v>160</v>
      </c>
      <c r="W900" s="485"/>
      <c r="X900" s="489"/>
      <c r="Y900" s="460"/>
      <c r="Z900" s="485"/>
      <c r="AA900" s="460"/>
      <c r="AB900" s="460"/>
      <c r="AC900" s="447"/>
    </row>
    <row r="901" spans="1:29" s="444" customFormat="1" ht="13.8" x14ac:dyDescent="0.4">
      <c r="A901" s="447"/>
      <c r="B901" s="460" t="s">
        <v>159</v>
      </c>
      <c r="C901" s="485">
        <f>(C897*SIN(C899)*C897*SIN(C899))+(C893*C896-C892*C897*COS(C899))*(C893*C896-C892*C897*COS(C899))</f>
        <v>0</v>
      </c>
      <c r="D901" s="489"/>
      <c r="E901" s="485">
        <f ca="1">(C897*SIN(E899)*C897*SIN(E899))+(C893*C896-C892*C897*COS(E899))*(C893*C896-C892*C897*COS(E899))</f>
        <v>0</v>
      </c>
      <c r="F901" s="485"/>
      <c r="G901" s="460"/>
      <c r="H901" s="460"/>
      <c r="I901" s="447"/>
      <c r="L901" s="460" t="s">
        <v>159</v>
      </c>
      <c r="M901" s="485">
        <f>(M897*SIN(M899)*M897*SIN(M899))+(M893*M896-M892*M897*COS(M899))*(M893*M896-M892*M897*COS(M899))</f>
        <v>0</v>
      </c>
      <c r="N901" s="489"/>
      <c r="O901" s="485">
        <f ca="1">(M897*SIN(O899)*M897*SIN(O899))+(M893*M896-M892*M897*COS(O899))*(M893*M896-M892*M897*COS(O899))</f>
        <v>0</v>
      </c>
      <c r="P901" s="485"/>
      <c r="Q901" s="460"/>
      <c r="R901" s="460"/>
      <c r="S901" s="447"/>
      <c r="V901" s="460" t="s">
        <v>159</v>
      </c>
      <c r="W901" s="485">
        <f>(W897*SIN(W899)*W897*SIN(W899))+(W893*W896-W892*W897*COS(W899))*(W893*W896-W892*W897*COS(W899))</f>
        <v>0</v>
      </c>
      <c r="X901" s="489"/>
      <c r="Y901" s="485">
        <f ca="1">(W897*SIN(Y899)*W897*SIN(Y899))+(W893*W896-W892*W897*COS(Y899))*(W893*W896-W892*W897*COS(Y899))</f>
        <v>0</v>
      </c>
      <c r="Z901" s="485"/>
      <c r="AA901" s="460"/>
      <c r="AB901" s="460"/>
      <c r="AC901" s="447"/>
    </row>
    <row r="902" spans="1:29" s="444" customFormat="1" ht="12.3" x14ac:dyDescent="0.4">
      <c r="A902" s="447"/>
      <c r="B902" s="154" t="s">
        <v>158</v>
      </c>
      <c r="C902" s="485"/>
      <c r="D902" s="489"/>
      <c r="E902" s="489"/>
      <c r="F902" s="485"/>
      <c r="G902" s="460"/>
      <c r="H902" s="460"/>
      <c r="I902" s="447"/>
      <c r="L902" s="154" t="s">
        <v>158</v>
      </c>
      <c r="M902" s="485"/>
      <c r="N902" s="489"/>
      <c r="O902" s="489"/>
      <c r="P902" s="485"/>
      <c r="Q902" s="460"/>
      <c r="R902" s="460"/>
      <c r="S902" s="447"/>
      <c r="V902" s="154" t="s">
        <v>158</v>
      </c>
      <c r="W902" s="485"/>
      <c r="X902" s="489"/>
      <c r="Y902" s="489"/>
      <c r="Z902" s="485"/>
      <c r="AA902" s="460"/>
      <c r="AB902" s="460"/>
      <c r="AC902" s="447"/>
    </row>
    <row r="903" spans="1:29" s="444" customFormat="1" ht="12.3" x14ac:dyDescent="0.4">
      <c r="A903" s="447"/>
      <c r="B903" s="447" t="s">
        <v>157</v>
      </c>
      <c r="C903" s="447">
        <f>(C892*C896)+(C893*C897*COS(C899))</f>
        <v>1</v>
      </c>
      <c r="D903" s="447"/>
      <c r="E903" s="447">
        <f ca="1">(C892*C896)+(C893*C897*COS(E899))</f>
        <v>1</v>
      </c>
      <c r="F903" s="447"/>
      <c r="G903" s="460"/>
      <c r="H903" s="460"/>
      <c r="I903" s="447"/>
      <c r="L903" s="447" t="s">
        <v>157</v>
      </c>
      <c r="M903" s="447">
        <f>(M892*M896)+(M893*M897*COS(M899))</f>
        <v>1</v>
      </c>
      <c r="N903" s="447"/>
      <c r="O903" s="447">
        <f ca="1">(M892*M896)+(M893*M897*COS(O899))</f>
        <v>1</v>
      </c>
      <c r="P903" s="447"/>
      <c r="Q903" s="460"/>
      <c r="R903" s="460"/>
      <c r="S903" s="447"/>
      <c r="V903" s="447" t="s">
        <v>157</v>
      </c>
      <c r="W903" s="447">
        <f>(W892*W896)+(W893*W897*COS(W899))</f>
        <v>1</v>
      </c>
      <c r="X903" s="447"/>
      <c r="Y903" s="447">
        <f ca="1">(W892*W896)+(W893*W897*COS(Y899))</f>
        <v>1</v>
      </c>
      <c r="Z903" s="447"/>
      <c r="AA903" s="460"/>
      <c r="AB903" s="460"/>
      <c r="AC903" s="447"/>
    </row>
    <row r="904" spans="1:29" s="444" customFormat="1" ht="12.3" x14ac:dyDescent="0.4">
      <c r="A904" s="447"/>
      <c r="B904" s="153" t="s">
        <v>156</v>
      </c>
      <c r="C904" s="489"/>
      <c r="D904" s="489"/>
      <c r="E904" s="489"/>
      <c r="F904" s="460"/>
      <c r="G904" s="460"/>
      <c r="H904" s="460"/>
      <c r="I904" s="447"/>
      <c r="L904" s="153" t="s">
        <v>156</v>
      </c>
      <c r="M904" s="489"/>
      <c r="N904" s="489"/>
      <c r="O904" s="489"/>
      <c r="P904" s="460"/>
      <c r="Q904" s="460"/>
      <c r="R904" s="460"/>
      <c r="S904" s="447"/>
      <c r="V904" s="153" t="s">
        <v>156</v>
      </c>
      <c r="W904" s="489"/>
      <c r="X904" s="489"/>
      <c r="Y904" s="489"/>
      <c r="Z904" s="460"/>
      <c r="AA904" s="460"/>
      <c r="AB904" s="460"/>
      <c r="AC904" s="447"/>
    </row>
    <row r="905" spans="1:29" s="444" customFormat="1" ht="12.3" x14ac:dyDescent="0.4">
      <c r="A905" s="447"/>
      <c r="B905" s="460" t="s">
        <v>155</v>
      </c>
      <c r="C905" s="485">
        <f>SQRT(C901)/C903</f>
        <v>0</v>
      </c>
      <c r="D905" s="489"/>
      <c r="E905" s="485">
        <f ca="1">SQRT(E901)/E903</f>
        <v>0</v>
      </c>
      <c r="F905" s="485"/>
      <c r="G905" s="447"/>
      <c r="H905" s="447"/>
      <c r="I905" s="492"/>
      <c r="L905" s="460" t="s">
        <v>155</v>
      </c>
      <c r="M905" s="485">
        <f>SQRT(M901)/M903</f>
        <v>0</v>
      </c>
      <c r="N905" s="489"/>
      <c r="O905" s="485">
        <f ca="1">SQRT(O901)/O903</f>
        <v>0</v>
      </c>
      <c r="P905" s="485"/>
      <c r="Q905" s="447"/>
      <c r="R905" s="447"/>
      <c r="S905" s="492"/>
      <c r="V905" s="460" t="s">
        <v>155</v>
      </c>
      <c r="W905" s="485">
        <f>SQRT(W901)/W903</f>
        <v>0</v>
      </c>
      <c r="X905" s="489"/>
      <c r="Y905" s="485">
        <f ca="1">SQRT(Y901)/Y903</f>
        <v>0</v>
      </c>
      <c r="Z905" s="485"/>
      <c r="AA905" s="447"/>
      <c r="AB905" s="447"/>
      <c r="AC905" s="492"/>
    </row>
    <row r="906" spans="1:29" s="444" customFormat="1" ht="12.3" x14ac:dyDescent="0.4">
      <c r="A906" s="447"/>
      <c r="B906" s="148" t="s">
        <v>142</v>
      </c>
      <c r="C906" s="485">
        <f>ATAN(C905)</f>
        <v>0</v>
      </c>
      <c r="D906" s="489"/>
      <c r="E906" s="485">
        <f ca="1">IF(ATAN(E905)&lt;0,ATAN(E905)+PI(),ATAN(E905))</f>
        <v>0</v>
      </c>
      <c r="F906" s="485"/>
      <c r="G906" s="447"/>
      <c r="H906" s="447"/>
      <c r="I906" s="492"/>
      <c r="L906" s="148" t="s">
        <v>142</v>
      </c>
      <c r="M906" s="485">
        <f>ATAN(M905)</f>
        <v>0</v>
      </c>
      <c r="N906" s="489"/>
      <c r="O906" s="485">
        <f ca="1">IF(ATAN(O905)&lt;0,ATAN(O905)+PI(),ATAN(O905))</f>
        <v>0</v>
      </c>
      <c r="P906" s="485"/>
      <c r="Q906" s="447"/>
      <c r="R906" s="447"/>
      <c r="S906" s="492"/>
      <c r="V906" s="148" t="s">
        <v>142</v>
      </c>
      <c r="W906" s="485">
        <f>ATAN(W905)</f>
        <v>0</v>
      </c>
      <c r="X906" s="489"/>
      <c r="Y906" s="485">
        <f ca="1">IF(ATAN(Y905)&lt;0,ATAN(Y905)+PI(),ATAN(Y905))</f>
        <v>0</v>
      </c>
      <c r="Z906" s="485"/>
      <c r="AA906" s="447"/>
      <c r="AB906" s="447"/>
      <c r="AC906" s="492"/>
    </row>
    <row r="907" spans="1:29" s="444" customFormat="1" ht="12.3" x14ac:dyDescent="0.4">
      <c r="A907" s="447"/>
      <c r="B907" s="147" t="s">
        <v>154</v>
      </c>
      <c r="C907" s="485"/>
      <c r="D907" s="489"/>
      <c r="E907" s="460"/>
      <c r="F907" s="485"/>
      <c r="G907" s="447"/>
      <c r="H907" s="447"/>
      <c r="I907" s="492"/>
      <c r="L907" s="147" t="s">
        <v>154</v>
      </c>
      <c r="M907" s="485"/>
      <c r="N907" s="489"/>
      <c r="O907" s="460"/>
      <c r="P907" s="485"/>
      <c r="Q907" s="447"/>
      <c r="R907" s="447"/>
      <c r="S907" s="492"/>
      <c r="V907" s="147" t="s">
        <v>154</v>
      </c>
      <c r="W907" s="485"/>
      <c r="X907" s="489"/>
      <c r="Y907" s="460"/>
      <c r="Z907" s="485"/>
      <c r="AA907" s="447"/>
      <c r="AB907" s="447"/>
      <c r="AC907" s="492"/>
    </row>
    <row r="908" spans="1:29" s="444" customFormat="1" ht="12.3" x14ac:dyDescent="0.4">
      <c r="A908" s="447"/>
      <c r="B908" s="460" t="s">
        <v>153</v>
      </c>
      <c r="C908" s="485">
        <f>IF(C901=0,0,C893*C897*SIN(C899)/SQRT(C901))</f>
        <v>0</v>
      </c>
      <c r="D908" s="489"/>
      <c r="E908" s="485">
        <f ca="1">IF(E901=0,0,C893*C897*SIN(E899)/SQRT(E901))</f>
        <v>0</v>
      </c>
      <c r="F908" s="485"/>
      <c r="G908" s="460"/>
      <c r="H908" s="460"/>
      <c r="I908" s="492"/>
      <c r="L908" s="460" t="s">
        <v>153</v>
      </c>
      <c r="M908" s="485">
        <f>IF(M901=0,0,M893*M897*SIN(M899)/SQRT(M901))</f>
        <v>0</v>
      </c>
      <c r="N908" s="489"/>
      <c r="O908" s="485">
        <f ca="1">IF(O901=0,0,M893*M897*SIN(O899)/SQRT(O901))</f>
        <v>0</v>
      </c>
      <c r="P908" s="485"/>
      <c r="Q908" s="460"/>
      <c r="R908" s="460"/>
      <c r="S908" s="492"/>
      <c r="V908" s="460" t="s">
        <v>153</v>
      </c>
      <c r="W908" s="485">
        <f>IF(W901=0,0,W893*W897*SIN(W899)/SQRT(W901))</f>
        <v>0</v>
      </c>
      <c r="X908" s="489"/>
      <c r="Y908" s="485">
        <f ca="1">IF(Y901=0,0,W893*W897*SIN(Y899)/SQRT(Y901))</f>
        <v>0</v>
      </c>
      <c r="Z908" s="485"/>
      <c r="AA908" s="460"/>
      <c r="AB908" s="460"/>
      <c r="AC908" s="492"/>
    </row>
    <row r="909" spans="1:29" s="444" customFormat="1" ht="12.3" x14ac:dyDescent="0.4">
      <c r="A909" s="447"/>
      <c r="B909" s="147" t="s">
        <v>152</v>
      </c>
      <c r="C909" s="485"/>
      <c r="D909" s="489"/>
      <c r="E909" s="489"/>
      <c r="F909" s="485"/>
      <c r="G909" s="460"/>
      <c r="H909" s="460"/>
      <c r="I909" s="447"/>
      <c r="L909" s="147" t="s">
        <v>152</v>
      </c>
      <c r="M909" s="485"/>
      <c r="N909" s="489"/>
      <c r="O909" s="489"/>
      <c r="P909" s="485"/>
      <c r="Q909" s="460"/>
      <c r="R909" s="460"/>
      <c r="S909" s="447"/>
      <c r="V909" s="147" t="s">
        <v>152</v>
      </c>
      <c r="W909" s="485"/>
      <c r="X909" s="489"/>
      <c r="Y909" s="489"/>
      <c r="Z909" s="485"/>
      <c r="AA909" s="460"/>
      <c r="AB909" s="460"/>
      <c r="AC909" s="447"/>
    </row>
    <row r="910" spans="1:29" s="444" customFormat="1" ht="16.2" x14ac:dyDescent="0.65">
      <c r="A910" s="447"/>
      <c r="B910" s="447" t="s">
        <v>416</v>
      </c>
      <c r="C910" s="447">
        <f>IF((COS(ASIN(C908))*COS(ASIN(C908)))=0,0,C903-2*C892*C896/(COS(ASIN(C908))*COS(ASIN(C908))))</f>
        <v>1</v>
      </c>
      <c r="D910" s="489"/>
      <c r="E910" s="447">
        <f ca="1">E903-2*C892*C896/(COS(ASIN(E908))*COS(ASIN(E908)))</f>
        <v>1</v>
      </c>
      <c r="F910" s="460"/>
      <c r="G910" s="460"/>
      <c r="H910" s="460"/>
      <c r="I910" s="447"/>
      <c r="L910" s="447" t="s">
        <v>416</v>
      </c>
      <c r="M910" s="447">
        <f>IF((COS(ASIN(M908))*COS(ASIN(M908)))=0,0,M903-2*M892*M896/(COS(ASIN(M908))*COS(ASIN(M908))))</f>
        <v>1</v>
      </c>
      <c r="N910" s="489"/>
      <c r="O910" s="447">
        <f ca="1">O903-2*M892*M896/(COS(ASIN(O908))*COS(ASIN(O908)))</f>
        <v>1</v>
      </c>
      <c r="P910" s="460"/>
      <c r="Q910" s="460"/>
      <c r="R910" s="460"/>
      <c r="S910" s="447"/>
      <c r="V910" s="447" t="s">
        <v>416</v>
      </c>
      <c r="W910" s="447">
        <f>IF((COS(ASIN(W908))*COS(ASIN(W908)))=0,0,W903-2*W892*W896/(COS(ASIN(W908))*COS(ASIN(W908))))</f>
        <v>1</v>
      </c>
      <c r="X910" s="489"/>
      <c r="Y910" s="447">
        <f ca="1">Y903-2*W892*W896/(COS(ASIN(Y908))*COS(ASIN(Y908)))</f>
        <v>1</v>
      </c>
      <c r="Z910" s="460"/>
      <c r="AA910" s="460"/>
      <c r="AB910" s="460"/>
      <c r="AC910" s="447"/>
    </row>
    <row r="911" spans="1:29" s="444" customFormat="1" ht="15.9" x14ac:dyDescent="0.45">
      <c r="A911" s="447"/>
      <c r="B911" s="447" t="s">
        <v>151</v>
      </c>
      <c r="C911" s="487">
        <f>COS(ASIN(C908))*COS(ASIN(C908))*(C885*C885-C886*C886)/(C886*C886)</f>
        <v>6.7394967422764341E-3</v>
      </c>
      <c r="D911" s="489"/>
      <c r="E911" s="487">
        <f ca="1">COS(ASIN(E908))*COS(ASIN(E908))*(C885*C885-C886*C886)/(C886*C886)</f>
        <v>6.7394967422764341E-3</v>
      </c>
      <c r="F911" s="447"/>
      <c r="G911" s="460"/>
      <c r="H911" s="460"/>
      <c r="I911" s="447"/>
      <c r="L911" s="447" t="s">
        <v>151</v>
      </c>
      <c r="M911" s="487">
        <f>COS(ASIN(M908))*COS(ASIN(M908))*(M885*M885-M886*M886)/(M886*M886)</f>
        <v>6.7394967422764341E-3</v>
      </c>
      <c r="N911" s="489"/>
      <c r="O911" s="487">
        <f ca="1">COS(ASIN(O908))*COS(ASIN(O908))*(M885*M885-M886*M886)/(M886*M886)</f>
        <v>6.7394967422764341E-3</v>
      </c>
      <c r="P911" s="447"/>
      <c r="Q911" s="460"/>
      <c r="R911" s="460"/>
      <c r="S911" s="447"/>
      <c r="V911" s="447" t="s">
        <v>151</v>
      </c>
      <c r="W911" s="487">
        <f>COS(ASIN(W908))*COS(ASIN(W908))*(W885*W885-W886*W886)/(W886*W886)</f>
        <v>6.7394967422764341E-3</v>
      </c>
      <c r="X911" s="489"/>
      <c r="Y911" s="487">
        <f ca="1">COS(ASIN(Y908))*COS(ASIN(Y908))*(W885*W885-W886*W886)/(W886*W886)</f>
        <v>6.7394967422764341E-3</v>
      </c>
      <c r="Z911" s="447"/>
      <c r="AA911" s="460"/>
      <c r="AB911" s="460"/>
      <c r="AC911" s="447"/>
    </row>
    <row r="912" spans="1:29" s="444" customFormat="1" ht="12.3" x14ac:dyDescent="0.4">
      <c r="A912" s="447"/>
      <c r="B912" s="152" t="s">
        <v>150</v>
      </c>
      <c r="C912" s="485"/>
      <c r="D912" s="489"/>
      <c r="E912" s="460"/>
      <c r="F912" s="485"/>
      <c r="G912" s="460"/>
      <c r="H912" s="460"/>
      <c r="I912" s="447"/>
      <c r="L912" s="152" t="s">
        <v>150</v>
      </c>
      <c r="M912" s="485"/>
      <c r="N912" s="489"/>
      <c r="O912" s="460"/>
      <c r="P912" s="485"/>
      <c r="Q912" s="460"/>
      <c r="R912" s="460"/>
      <c r="S912" s="447"/>
      <c r="V912" s="152" t="s">
        <v>150</v>
      </c>
      <c r="W912" s="485"/>
      <c r="X912" s="489"/>
      <c r="Y912" s="460"/>
      <c r="Z912" s="485"/>
      <c r="AA912" s="460"/>
      <c r="AB912" s="460"/>
      <c r="AC912" s="447"/>
    </row>
    <row r="913" spans="1:29" s="444" customFormat="1" ht="12.3" x14ac:dyDescent="0.4">
      <c r="A913" s="447"/>
      <c r="B913" s="460" t="s">
        <v>9</v>
      </c>
      <c r="C913" s="485">
        <f>1+C911/16384*(4096+C911*(-768+C911*(320-175*C911)))</f>
        <v>1.0016827510415456</v>
      </c>
      <c r="D913" s="489"/>
      <c r="E913" s="485">
        <f ca="1">1+E911/16384*(4096+E911*(-768+E911*(320-175*E911)))</f>
        <v>1.0016827510415456</v>
      </c>
      <c r="F913" s="485"/>
      <c r="G913" s="460"/>
      <c r="H913" s="460"/>
      <c r="I913" s="447"/>
      <c r="L913" s="460" t="s">
        <v>9</v>
      </c>
      <c r="M913" s="485">
        <f>1+M911/16384*(4096+M911*(-768+M911*(320-175*M911)))</f>
        <v>1.0016827510415456</v>
      </c>
      <c r="N913" s="489"/>
      <c r="O913" s="485">
        <f ca="1">1+O911/16384*(4096+O911*(-768+O911*(320-175*O911)))</f>
        <v>1.0016827510415456</v>
      </c>
      <c r="P913" s="485"/>
      <c r="Q913" s="460"/>
      <c r="R913" s="460"/>
      <c r="S913" s="447"/>
      <c r="V913" s="460" t="s">
        <v>9</v>
      </c>
      <c r="W913" s="485">
        <f>1+W911/16384*(4096+W911*(-768+W911*(320-175*W911)))</f>
        <v>1.0016827510415456</v>
      </c>
      <c r="X913" s="489"/>
      <c r="Y913" s="485">
        <f ca="1">1+Y911/16384*(4096+Y911*(-768+Y911*(320-175*Y911)))</f>
        <v>1.0016827510415456</v>
      </c>
      <c r="Z913" s="485"/>
      <c r="AA913" s="460"/>
      <c r="AB913" s="460"/>
      <c r="AC913" s="447"/>
    </row>
    <row r="914" spans="1:29" s="444" customFormat="1" ht="12.3" x14ac:dyDescent="0.4">
      <c r="A914" s="447"/>
      <c r="B914" s="147" t="s">
        <v>149</v>
      </c>
      <c r="C914" s="485"/>
      <c r="D914" s="489"/>
      <c r="E914" s="460"/>
      <c r="F914" s="485"/>
      <c r="G914" s="460"/>
      <c r="H914" s="460"/>
      <c r="I914" s="490"/>
      <c r="L914" s="147" t="s">
        <v>149</v>
      </c>
      <c r="M914" s="485"/>
      <c r="N914" s="489"/>
      <c r="O914" s="460"/>
      <c r="P914" s="485"/>
      <c r="Q914" s="460"/>
      <c r="R914" s="460"/>
      <c r="S914" s="490"/>
      <c r="V914" s="147" t="s">
        <v>149</v>
      </c>
      <c r="W914" s="485"/>
      <c r="X914" s="489"/>
      <c r="Y914" s="460"/>
      <c r="Z914" s="485"/>
      <c r="AA914" s="460"/>
      <c r="AB914" s="460"/>
      <c r="AC914" s="490"/>
    </row>
    <row r="915" spans="1:29" s="444" customFormat="1" ht="12.3" x14ac:dyDescent="0.4">
      <c r="A915" s="447"/>
      <c r="B915" s="460" t="s">
        <v>10</v>
      </c>
      <c r="C915" s="485">
        <f>C911/1024*(256+C911*(-128+C911*(74-47*C911)))</f>
        <v>1.6792186103152505E-3</v>
      </c>
      <c r="D915" s="489"/>
      <c r="E915" s="485">
        <f ca="1">E911/1024*(256+E911*(-128+E911*(74-47*E911)))</f>
        <v>1.6792186103152505E-3</v>
      </c>
      <c r="F915" s="485"/>
      <c r="G915" s="460"/>
      <c r="H915" s="460"/>
      <c r="I915" s="447"/>
      <c r="L915" s="460" t="s">
        <v>10</v>
      </c>
      <c r="M915" s="485">
        <f>M911/1024*(256+M911*(-128+M911*(74-47*M911)))</f>
        <v>1.6792186103152505E-3</v>
      </c>
      <c r="N915" s="489"/>
      <c r="O915" s="485">
        <f ca="1">O911/1024*(256+O911*(-128+O911*(74-47*O911)))</f>
        <v>1.6792186103152505E-3</v>
      </c>
      <c r="P915" s="485"/>
      <c r="Q915" s="460"/>
      <c r="R915" s="460"/>
      <c r="S915" s="447"/>
      <c r="V915" s="460" t="s">
        <v>10</v>
      </c>
      <c r="W915" s="485">
        <f>W911/1024*(256+W911*(-128+W911*(74-47*W911)))</f>
        <v>1.6792186103152505E-3</v>
      </c>
      <c r="X915" s="489"/>
      <c r="Y915" s="485">
        <f ca="1">Y911/1024*(256+Y911*(-128+Y911*(74-47*Y911)))</f>
        <v>1.6792186103152505E-3</v>
      </c>
      <c r="Z915" s="485"/>
      <c r="AA915" s="460"/>
      <c r="AB915" s="460"/>
      <c r="AC915" s="447"/>
    </row>
    <row r="916" spans="1:29" s="444" customFormat="1" ht="12.3" x14ac:dyDescent="0.4">
      <c r="A916" s="447"/>
      <c r="B916" s="147" t="s">
        <v>148</v>
      </c>
      <c r="C916" s="485"/>
      <c r="D916" s="489"/>
      <c r="E916" s="460"/>
      <c r="F916" s="485"/>
      <c r="G916" s="460"/>
      <c r="H916" s="460"/>
      <c r="I916" s="447"/>
      <c r="L916" s="147" t="s">
        <v>148</v>
      </c>
      <c r="M916" s="485"/>
      <c r="N916" s="489"/>
      <c r="O916" s="460"/>
      <c r="P916" s="485"/>
      <c r="Q916" s="460"/>
      <c r="R916" s="460"/>
      <c r="S916" s="447"/>
      <c r="V916" s="147" t="s">
        <v>148</v>
      </c>
      <c r="W916" s="485"/>
      <c r="X916" s="489"/>
      <c r="Y916" s="460"/>
      <c r="Z916" s="485"/>
      <c r="AA916" s="460"/>
      <c r="AB916" s="460"/>
      <c r="AC916" s="447"/>
    </row>
    <row r="917" spans="1:29" s="444" customFormat="1" ht="12.3" x14ac:dyDescent="0.4">
      <c r="A917" s="447"/>
      <c r="B917" s="148" t="s">
        <v>147</v>
      </c>
      <c r="C917" s="485">
        <f>C915*SQRT(C901)*(C910+C915/4*(C903*(-1+2*C910*C910)-C915/6*C910*(-3+4*C901)*(-3+4*C910*C910)))</f>
        <v>0</v>
      </c>
      <c r="D917" s="489"/>
      <c r="E917" s="485">
        <f ca="1">E915*SQRT(E901)*(E910+E915/4*(E903*(-1+2*E910*E910)-E915/6*E910*(-3+4*E901)*(-3+4*E910*E910)))</f>
        <v>0</v>
      </c>
      <c r="F917" s="485"/>
      <c r="G917" s="460"/>
      <c r="H917" s="460"/>
      <c r="I917" s="447"/>
      <c r="L917" s="148" t="s">
        <v>147</v>
      </c>
      <c r="M917" s="485">
        <f>M915*SQRT(M901)*(M910+M915/4*(M903*(-1+2*M910*M910)-M915/6*M910*(-3+4*M901)*(-3+4*M910*M910)))</f>
        <v>0</v>
      </c>
      <c r="N917" s="489"/>
      <c r="O917" s="485">
        <f ca="1">O915*SQRT(O901)*(O910+O915/4*(O903*(-1+2*O910*O910)-O915/6*O910*(-3+4*O901)*(-3+4*O910*O910)))</f>
        <v>0</v>
      </c>
      <c r="P917" s="485"/>
      <c r="Q917" s="460"/>
      <c r="R917" s="460"/>
      <c r="S917" s="447"/>
      <c r="V917" s="148" t="s">
        <v>147</v>
      </c>
      <c r="W917" s="485">
        <f>W915*SQRT(W901)*(W910+W915/4*(W903*(-1+2*W910*W910)-W915/6*W910*(-3+4*W901)*(-3+4*W910*W910)))</f>
        <v>0</v>
      </c>
      <c r="X917" s="489"/>
      <c r="Y917" s="485">
        <f ca="1">Y915*SQRT(Y901)*(Y910+Y915/4*(Y903*(-1+2*Y910*Y910)-Y915/6*Y910*(-3+4*Y901)*(-3+4*Y910*Y910)))</f>
        <v>0</v>
      </c>
      <c r="Z917" s="485"/>
      <c r="AA917" s="460"/>
      <c r="AB917" s="460"/>
      <c r="AC917" s="447"/>
    </row>
    <row r="918" spans="1:29" s="444" customFormat="1" ht="12.3" x14ac:dyDescent="0.4">
      <c r="A918" s="447"/>
      <c r="B918" s="460"/>
      <c r="C918" s="485"/>
      <c r="D918" s="489"/>
      <c r="E918" s="460"/>
      <c r="F918" s="485"/>
      <c r="G918" s="460"/>
      <c r="H918" s="460"/>
      <c r="I918" s="447"/>
      <c r="L918" s="460"/>
      <c r="M918" s="485"/>
      <c r="N918" s="489"/>
      <c r="O918" s="460"/>
      <c r="P918" s="485"/>
      <c r="Q918" s="460"/>
      <c r="R918" s="460"/>
      <c r="S918" s="447"/>
      <c r="V918" s="460"/>
      <c r="W918" s="485"/>
      <c r="X918" s="489"/>
      <c r="Y918" s="460"/>
      <c r="Z918" s="485"/>
      <c r="AA918" s="460"/>
      <c r="AB918" s="460"/>
      <c r="AC918" s="447"/>
    </row>
    <row r="919" spans="1:29" s="444" customFormat="1" ht="12.3" x14ac:dyDescent="0.4">
      <c r="A919" s="447"/>
      <c r="B919" s="147" t="s">
        <v>146</v>
      </c>
      <c r="C919" s="485"/>
      <c r="D919" s="494"/>
      <c r="E919" s="460"/>
      <c r="F919" s="485"/>
      <c r="G919" s="460"/>
      <c r="H919" s="460"/>
      <c r="I919" s="150"/>
      <c r="L919" s="147" t="s">
        <v>146</v>
      </c>
      <c r="M919" s="485"/>
      <c r="N919" s="494"/>
      <c r="O919" s="460"/>
      <c r="P919" s="485"/>
      <c r="Q919" s="460"/>
      <c r="R919" s="460"/>
      <c r="S919" s="150"/>
      <c r="V919" s="147" t="s">
        <v>146</v>
      </c>
      <c r="W919" s="485"/>
      <c r="X919" s="494"/>
      <c r="Y919" s="460"/>
      <c r="Z919" s="485"/>
      <c r="AA919" s="460"/>
      <c r="AB919" s="460"/>
      <c r="AC919" s="150"/>
    </row>
    <row r="920" spans="1:29" s="444" customFormat="1" ht="12.3" x14ac:dyDescent="0.4">
      <c r="A920" s="447"/>
      <c r="B920" s="460" t="s">
        <v>11</v>
      </c>
      <c r="C920" s="485">
        <f>C887/16*COS(ASIN(C908))*COS(ASIN(C908))*(4+C887*(4-3*COS(ASIN(C908))*COS(ASIN(C908))))</f>
        <v>8.389052498964728E-4</v>
      </c>
      <c r="D920" s="494"/>
      <c r="E920" s="485">
        <f ca="1">C887/16*COS(ASIN(E908))*COS(ASIN(E908))*(4+C887*(4-3*COS(ASIN(E908))*COS(ASIN(E908))))</f>
        <v>8.389052498964728E-4</v>
      </c>
      <c r="F920" s="485"/>
      <c r="G920" s="460"/>
      <c r="H920" s="460"/>
      <c r="I920" s="150"/>
      <c r="L920" s="460" t="s">
        <v>11</v>
      </c>
      <c r="M920" s="485">
        <f>M887/16*COS(ASIN(M908))*COS(ASIN(M908))*(4+M887*(4-3*COS(ASIN(M908))*COS(ASIN(M908))))</f>
        <v>8.389052498964728E-4</v>
      </c>
      <c r="N920" s="494"/>
      <c r="O920" s="485">
        <f ca="1">M887/16*COS(ASIN(O908))*COS(ASIN(O908))*(4+M887*(4-3*COS(ASIN(O908))*COS(ASIN(O908))))</f>
        <v>8.389052498964728E-4</v>
      </c>
      <c r="P920" s="485"/>
      <c r="Q920" s="460"/>
      <c r="R920" s="460"/>
      <c r="S920" s="150"/>
      <c r="V920" s="460" t="s">
        <v>11</v>
      </c>
      <c r="W920" s="485">
        <f>W887/16*COS(ASIN(W908))*COS(ASIN(W908))*(4+W887*(4-3*COS(ASIN(W908))*COS(ASIN(W908))))</f>
        <v>8.389052498964728E-4</v>
      </c>
      <c r="X920" s="494"/>
      <c r="Y920" s="485">
        <f ca="1">W887/16*COS(ASIN(Y908))*COS(ASIN(Y908))*(4+W887*(4-3*COS(ASIN(Y908))*COS(ASIN(Y908))))</f>
        <v>8.389052498964728E-4</v>
      </c>
      <c r="Z920" s="485"/>
      <c r="AA920" s="460"/>
      <c r="AB920" s="460"/>
      <c r="AC920" s="150"/>
    </row>
    <row r="921" spans="1:29" s="444" customFormat="1" ht="12.3" x14ac:dyDescent="0.4">
      <c r="A921" s="447"/>
      <c r="B921" s="147" t="s">
        <v>145</v>
      </c>
      <c r="C921" s="485"/>
      <c r="D921" s="494"/>
      <c r="E921" s="460"/>
      <c r="F921" s="485"/>
      <c r="G921" s="460"/>
      <c r="H921" s="460"/>
      <c r="I921" s="150"/>
      <c r="L921" s="147" t="s">
        <v>145</v>
      </c>
      <c r="M921" s="485"/>
      <c r="N921" s="494"/>
      <c r="O921" s="460"/>
      <c r="P921" s="485"/>
      <c r="Q921" s="460"/>
      <c r="R921" s="460"/>
      <c r="S921" s="150"/>
      <c r="V921" s="147" t="s">
        <v>145</v>
      </c>
      <c r="W921" s="485"/>
      <c r="X921" s="494"/>
      <c r="Y921" s="460"/>
      <c r="Z921" s="485"/>
      <c r="AA921" s="460"/>
      <c r="AB921" s="460"/>
      <c r="AC921" s="150"/>
    </row>
    <row r="922" spans="1:29" s="444" customFormat="1" ht="12.3" x14ac:dyDescent="0.4">
      <c r="A922" s="447"/>
      <c r="B922" s="151" t="s">
        <v>144</v>
      </c>
      <c r="C922" s="485">
        <f>C888+(1-C920)*C887*C908*(ACOS(C903)+C920*SIN(ACOS(C903))*(C910+C920*C903*(-1+2*C910*C910)))</f>
        <v>0</v>
      </c>
      <c r="D922" s="494"/>
      <c r="E922" s="511">
        <f ca="1">C888+(1-E920)*C887*E908*(ACOS(E903)+E920*SIN(ACOS(E903))*(E910+E920*E903*(-1+2*E910*E910)))</f>
        <v>0</v>
      </c>
      <c r="F922" s="485"/>
      <c r="G922" s="460"/>
      <c r="H922" s="460"/>
      <c r="I922" s="150"/>
      <c r="L922" s="151" t="s">
        <v>144</v>
      </c>
      <c r="M922" s="485">
        <f>M888+(1-M920)*M887*M908*(ACOS(M903)+M920*SIN(ACOS(M903))*(M910+M920*M903*(-1+2*M910*M910)))</f>
        <v>0</v>
      </c>
      <c r="N922" s="494"/>
      <c r="O922" s="511">
        <f ca="1">M888+(1-O920)*M887*O908*(ACOS(O903)+O920*SIN(ACOS(O903))*(O910+O920*O903*(-1+2*O910*O910)))</f>
        <v>0</v>
      </c>
      <c r="P922" s="485"/>
      <c r="Q922" s="460"/>
      <c r="R922" s="460"/>
      <c r="S922" s="150"/>
      <c r="V922" s="151" t="s">
        <v>144</v>
      </c>
      <c r="W922" s="485">
        <f>W888+(1-W920)*W887*W908*(ACOS(W903)+W920*SIN(ACOS(W903))*(W910+W920*W903*(-1+2*W910*W910)))</f>
        <v>0</v>
      </c>
      <c r="X922" s="494"/>
      <c r="Y922" s="511">
        <f ca="1">W888+(1-Y920)*W887*Y908*(ACOS(Y903)+Y920*SIN(ACOS(Y903))*(Y910+Y920*Y903*(-1+2*Y910*Y910)))</f>
        <v>0</v>
      </c>
      <c r="Z922" s="485"/>
      <c r="AA922" s="460"/>
      <c r="AB922" s="460"/>
      <c r="AC922" s="150"/>
    </row>
    <row r="923" spans="1:29" s="444" customFormat="1" ht="12.3" x14ac:dyDescent="0.4">
      <c r="A923" s="447"/>
      <c r="B923" s="149" t="s">
        <v>143</v>
      </c>
      <c r="C923" s="485"/>
      <c r="D923" s="494"/>
      <c r="E923" s="148"/>
      <c r="F923" s="485"/>
      <c r="G923" s="460"/>
      <c r="H923" s="460"/>
      <c r="I923" s="496"/>
      <c r="L923" s="149" t="s">
        <v>143</v>
      </c>
      <c r="M923" s="485"/>
      <c r="N923" s="494"/>
      <c r="O923" s="148"/>
      <c r="P923" s="485"/>
      <c r="Q923" s="460"/>
      <c r="R923" s="460"/>
      <c r="S923" s="496"/>
      <c r="V923" s="149" t="s">
        <v>143</v>
      </c>
      <c r="W923" s="485"/>
      <c r="X923" s="494"/>
      <c r="Y923" s="148"/>
      <c r="Z923" s="485"/>
      <c r="AA923" s="460"/>
      <c r="AB923" s="460"/>
      <c r="AC923" s="496"/>
    </row>
    <row r="924" spans="1:29" s="444" customFormat="1" ht="12.3" x14ac:dyDescent="0.4">
      <c r="A924" s="447"/>
      <c r="B924" s="460" t="s">
        <v>142</v>
      </c>
      <c r="C924" s="485">
        <f>IF(B939="samepoint",0,C886*C913*(ATAN(C905)-C917))</f>
        <v>0</v>
      </c>
      <c r="D924" s="494"/>
      <c r="E924" s="485">
        <f>IF(B939="samepoint",0,C886*E913*(E906-E917))</f>
        <v>0</v>
      </c>
      <c r="F924" s="460"/>
      <c r="G924" s="460"/>
      <c r="H924" s="460"/>
      <c r="I924" s="496"/>
      <c r="L924" s="460" t="s">
        <v>142</v>
      </c>
      <c r="M924" s="485">
        <f>IF(L939="samepoint",0,M886*M913*(ATAN(M905)-M917))</f>
        <v>0</v>
      </c>
      <c r="N924" s="494"/>
      <c r="O924" s="485">
        <f>IF(L939="samepoint",0,M886*O913*(O906-O917))</f>
        <v>0</v>
      </c>
      <c r="P924" s="460"/>
      <c r="Q924" s="460"/>
      <c r="R924" s="460"/>
      <c r="S924" s="496"/>
      <c r="V924" s="460" t="s">
        <v>142</v>
      </c>
      <c r="W924" s="485">
        <f>IF(V939="samepoint",0,W886*W913*(ATAN(W905)-W917))</f>
        <v>0</v>
      </c>
      <c r="X924" s="494"/>
      <c r="Y924" s="485">
        <f>IF(V939="samepoint",0,W886*Y913*(Y906-Y917))</f>
        <v>0</v>
      </c>
      <c r="Z924" s="460"/>
      <c r="AA924" s="460"/>
      <c r="AB924" s="460"/>
      <c r="AC924" s="496"/>
    </row>
    <row r="925" spans="1:29" s="444" customFormat="1" ht="12.3" x14ac:dyDescent="0.4">
      <c r="A925" s="447"/>
      <c r="B925" s="147" t="s">
        <v>141</v>
      </c>
      <c r="C925" s="485"/>
      <c r="D925" s="494"/>
      <c r="E925" s="485"/>
      <c r="F925" s="460"/>
      <c r="G925" s="460"/>
      <c r="H925" s="460"/>
      <c r="I925" s="496"/>
      <c r="L925" s="147" t="s">
        <v>141</v>
      </c>
      <c r="M925" s="485"/>
      <c r="N925" s="494"/>
      <c r="O925" s="485"/>
      <c r="P925" s="460"/>
      <c r="Q925" s="460"/>
      <c r="R925" s="460"/>
      <c r="S925" s="496"/>
      <c r="V925" s="147" t="s">
        <v>141</v>
      </c>
      <c r="W925" s="485"/>
      <c r="X925" s="494"/>
      <c r="Y925" s="485"/>
      <c r="Z925" s="460"/>
      <c r="AA925" s="460"/>
      <c r="AB925" s="460"/>
      <c r="AC925" s="496"/>
    </row>
    <row r="926" spans="1:29" s="444" customFormat="1" ht="16.2" x14ac:dyDescent="0.65">
      <c r="A926" s="447"/>
      <c r="B926" s="460" t="s">
        <v>140</v>
      </c>
      <c r="C926" s="485"/>
      <c r="D926" s="494"/>
      <c r="E926" s="485" t="e">
        <f ca="1">C897*SIN(E922)/(C893*C896-C892*C897*COS(E922))</f>
        <v>#DIV/0!</v>
      </c>
      <c r="F926" s="460"/>
      <c r="G926" s="460"/>
      <c r="H926" s="460"/>
      <c r="I926" s="496"/>
      <c r="L926" s="460" t="s">
        <v>140</v>
      </c>
      <c r="M926" s="485"/>
      <c r="N926" s="494"/>
      <c r="O926" s="485" t="e">
        <f ca="1">M897*SIN(O922)/(M893*M896-M892*M897*COS(O922))</f>
        <v>#DIV/0!</v>
      </c>
      <c r="P926" s="460"/>
      <c r="Q926" s="460"/>
      <c r="R926" s="460"/>
      <c r="S926" s="496"/>
      <c r="V926" s="460" t="s">
        <v>140</v>
      </c>
      <c r="W926" s="485"/>
      <c r="X926" s="494"/>
      <c r="Y926" s="485" t="e">
        <f ca="1">W897*SIN(Y922)/(W893*W896-W892*W897*COS(Y922))</f>
        <v>#DIV/0!</v>
      </c>
      <c r="Z926" s="460"/>
      <c r="AA926" s="460"/>
      <c r="AB926" s="460"/>
      <c r="AC926" s="496"/>
    </row>
    <row r="927" spans="1:29" s="444" customFormat="1" ht="12.3" x14ac:dyDescent="0.4">
      <c r="A927" s="447"/>
      <c r="B927" s="147" t="s">
        <v>139</v>
      </c>
      <c r="C927" s="485"/>
      <c r="D927" s="494"/>
      <c r="E927" s="485"/>
      <c r="F927" s="460"/>
      <c r="G927" s="460"/>
      <c r="H927" s="460"/>
      <c r="I927" s="496"/>
      <c r="L927" s="147" t="s">
        <v>139</v>
      </c>
      <c r="M927" s="485"/>
      <c r="N927" s="494"/>
      <c r="O927" s="485"/>
      <c r="P927" s="460"/>
      <c r="Q927" s="460"/>
      <c r="R927" s="460"/>
      <c r="S927" s="496"/>
      <c r="V927" s="147" t="s">
        <v>139</v>
      </c>
      <c r="W927" s="485"/>
      <c r="X927" s="494"/>
      <c r="Y927" s="485"/>
      <c r="Z927" s="460"/>
      <c r="AA927" s="460"/>
      <c r="AB927" s="460"/>
      <c r="AC927" s="496"/>
    </row>
    <row r="928" spans="1:29" s="444" customFormat="1" ht="16.8" x14ac:dyDescent="0.7">
      <c r="A928" s="447"/>
      <c r="B928" s="460" t="s">
        <v>138</v>
      </c>
      <c r="C928" s="485"/>
      <c r="D928" s="494"/>
      <c r="E928" s="485" t="e">
        <f>C893*SIN(C922)/(-C892*C897+C893*C896*COS(C922))</f>
        <v>#DIV/0!</v>
      </c>
      <c r="F928" s="460"/>
      <c r="G928" s="460"/>
      <c r="H928" s="460"/>
      <c r="I928" s="496"/>
      <c r="L928" s="460" t="s">
        <v>138</v>
      </c>
      <c r="M928" s="485"/>
      <c r="N928" s="494"/>
      <c r="O928" s="485" t="e">
        <f>M893*SIN(M922)/(-M892*M897+M893*M896*COS(M922))</f>
        <v>#DIV/0!</v>
      </c>
      <c r="P928" s="460"/>
      <c r="Q928" s="460"/>
      <c r="R928" s="460"/>
      <c r="S928" s="496"/>
      <c r="V928" s="460" t="s">
        <v>138</v>
      </c>
      <c r="W928" s="485"/>
      <c r="X928" s="494"/>
      <c r="Y928" s="485" t="e">
        <f>W893*SIN(W922)/(-W892*W897+W893*W896*COS(W922))</f>
        <v>#DIV/0!</v>
      </c>
      <c r="Z928" s="460"/>
      <c r="AA928" s="460"/>
      <c r="AB928" s="460"/>
      <c r="AC928" s="496"/>
    </row>
    <row r="929" spans="1:30" s="444" customFormat="1" ht="12.3" x14ac:dyDescent="0.4">
      <c r="A929" s="447"/>
      <c r="B929" s="460"/>
      <c r="C929" s="485"/>
      <c r="D929" s="494"/>
      <c r="E929" s="460"/>
      <c r="F929" s="485"/>
      <c r="G929" s="460"/>
      <c r="H929" s="460"/>
      <c r="I929" s="496"/>
      <c r="L929" s="460"/>
      <c r="M929" s="485"/>
      <c r="N929" s="494"/>
      <c r="O929" s="460"/>
      <c r="P929" s="485"/>
      <c r="Q929" s="460"/>
      <c r="R929" s="460"/>
      <c r="S929" s="496"/>
      <c r="V929" s="460"/>
      <c r="W929" s="485"/>
      <c r="X929" s="494"/>
      <c r="Y929" s="460"/>
      <c r="Z929" s="485"/>
      <c r="AA929" s="460"/>
      <c r="AB929" s="460"/>
      <c r="AC929" s="496"/>
    </row>
    <row r="930" spans="1:30" s="444" customFormat="1" ht="12.3" x14ac:dyDescent="0.4">
      <c r="A930" s="447"/>
      <c r="B930" s="460"/>
      <c r="C930" s="497"/>
      <c r="D930" s="447"/>
      <c r="E930" s="460"/>
      <c r="F930" s="485"/>
      <c r="G930" s="460"/>
      <c r="H930" s="460"/>
      <c r="I930" s="496"/>
      <c r="L930" s="460"/>
      <c r="M930" s="497"/>
      <c r="N930" s="447"/>
      <c r="O930" s="460"/>
      <c r="P930" s="485"/>
      <c r="Q930" s="460"/>
      <c r="R930" s="460"/>
      <c r="S930" s="496"/>
      <c r="V930" s="460"/>
      <c r="W930" s="497"/>
      <c r="X930" s="447"/>
      <c r="Y930" s="460"/>
      <c r="Z930" s="485"/>
      <c r="AA930" s="460"/>
      <c r="AB930" s="460"/>
      <c r="AC930" s="496"/>
    </row>
    <row r="931" spans="1:30" s="444" customFormat="1" ht="12.3" x14ac:dyDescent="0.4">
      <c r="A931" s="447"/>
      <c r="B931" s="460"/>
      <c r="C931" s="460"/>
      <c r="D931" s="447"/>
      <c r="E931" s="489"/>
      <c r="F931" s="494"/>
      <c r="G931" s="460"/>
      <c r="H931" s="460"/>
      <c r="I931" s="496"/>
      <c r="L931" s="460"/>
      <c r="M931" s="460"/>
      <c r="N931" s="447"/>
      <c r="O931" s="489"/>
      <c r="P931" s="494"/>
      <c r="Q931" s="460"/>
      <c r="R931" s="460"/>
      <c r="S931" s="496"/>
      <c r="V931" s="460"/>
      <c r="W931" s="460"/>
      <c r="X931" s="447"/>
      <c r="Y931" s="489"/>
      <c r="Z931" s="494"/>
      <c r="AA931" s="460"/>
      <c r="AB931" s="460"/>
      <c r="AC931" s="496"/>
    </row>
    <row r="932" spans="1:30" s="444" customFormat="1" ht="12.3" x14ac:dyDescent="0.4">
      <c r="A932" s="447"/>
      <c r="B932" s="146" t="s">
        <v>137</v>
      </c>
      <c r="C932" s="146"/>
      <c r="D932" s="489"/>
      <c r="E932" s="146" t="s">
        <v>136</v>
      </c>
      <c r="F932" s="146"/>
      <c r="G932" s="460"/>
      <c r="H932" s="460"/>
      <c r="I932" s="496"/>
      <c r="L932" s="146" t="s">
        <v>137</v>
      </c>
      <c r="M932" s="146"/>
      <c r="N932" s="489"/>
      <c r="O932" s="146" t="s">
        <v>136</v>
      </c>
      <c r="P932" s="146"/>
      <c r="Q932" s="460"/>
      <c r="R932" s="460"/>
      <c r="S932" s="496"/>
      <c r="V932" s="146" t="s">
        <v>137</v>
      </c>
      <c r="W932" s="146"/>
      <c r="X932" s="489"/>
      <c r="Y932" s="146" t="s">
        <v>136</v>
      </c>
      <c r="Z932" s="146"/>
      <c r="AA932" s="460"/>
      <c r="AB932" s="460"/>
      <c r="AC932" s="496"/>
    </row>
    <row r="933" spans="1:30" s="444" customFormat="1" ht="14.7" x14ac:dyDescent="0.6">
      <c r="A933" s="447"/>
      <c r="B933" s="145" t="s">
        <v>417</v>
      </c>
      <c r="C933" s="485" t="e">
        <f ca="1">ATAN(E926)</f>
        <v>#DIV/0!</v>
      </c>
      <c r="D933" s="447"/>
      <c r="E933" s="145" t="s">
        <v>418</v>
      </c>
      <c r="F933" s="485" t="e">
        <f>ATAN(E928)</f>
        <v>#DIV/0!</v>
      </c>
      <c r="G933" s="460"/>
      <c r="H933" s="460"/>
      <c r="I933" s="496" t="e">
        <f>ATAN2(E882-E880,E883-E881)*180/PI()</f>
        <v>#DIV/0!</v>
      </c>
      <c r="J933" s="496" t="e">
        <f>ATAN2(E880-E882,E881-E883)*180/PI()</f>
        <v>#DIV/0!</v>
      </c>
      <c r="L933" s="145" t="s">
        <v>417</v>
      </c>
      <c r="M933" s="485" t="e">
        <f ca="1">ATAN(O926)</f>
        <v>#DIV/0!</v>
      </c>
      <c r="N933" s="447"/>
      <c r="O933" s="145" t="s">
        <v>418</v>
      </c>
      <c r="P933" s="485" t="e">
        <f>ATAN(O928)</f>
        <v>#DIV/0!</v>
      </c>
      <c r="Q933" s="460"/>
      <c r="R933" s="460"/>
      <c r="S933" s="496" t="e">
        <f>ATAN2(O882-O880,O883-O881)*180/PI()</f>
        <v>#DIV/0!</v>
      </c>
      <c r="T933" s="496" t="e">
        <f>ATAN2(O880-O882,O881-O883)*180/PI()</f>
        <v>#DIV/0!</v>
      </c>
      <c r="V933" s="145" t="s">
        <v>417</v>
      </c>
      <c r="W933" s="485" t="e">
        <f ca="1">ATAN(Y926)</f>
        <v>#DIV/0!</v>
      </c>
      <c r="X933" s="447"/>
      <c r="Y933" s="145" t="s">
        <v>418</v>
      </c>
      <c r="Z933" s="485" t="e">
        <f>ATAN(Y928)</f>
        <v>#DIV/0!</v>
      </c>
      <c r="AA933" s="460"/>
      <c r="AB933" s="460"/>
      <c r="AC933" s="496" t="e">
        <f>ATAN2(Y882-Y880,Y883-Y881)*180/PI()</f>
        <v>#DIV/0!</v>
      </c>
      <c r="AD933" s="496" t="e">
        <f>ATAN2(Y880-Y882,Y881-Y883)*180/PI()</f>
        <v>#DIV/0!</v>
      </c>
    </row>
    <row r="934" spans="1:30" s="444" customFormat="1" ht="14.7" x14ac:dyDescent="0.6">
      <c r="A934" s="447"/>
      <c r="B934" s="145" t="s">
        <v>419</v>
      </c>
      <c r="C934" s="485" t="e">
        <f ca="1">(C933/PI())*180+360</f>
        <v>#DIV/0!</v>
      </c>
      <c r="D934" s="447"/>
      <c r="E934" s="145" t="s">
        <v>420</v>
      </c>
      <c r="F934" s="485" t="e">
        <f>(F933/PI())*180+180</f>
        <v>#DIV/0!</v>
      </c>
      <c r="G934" s="460"/>
      <c r="H934" s="460"/>
      <c r="I934" s="496" t="e">
        <f>IF(I933&lt;0,C933*180/PI()+360,C933*180/PI())</f>
        <v>#DIV/0!</v>
      </c>
      <c r="J934" s="498" t="e">
        <f>IF(J933&gt;0,F933*180/PI()+180,F933*180/PI())</f>
        <v>#DIV/0!</v>
      </c>
      <c r="L934" s="145" t="s">
        <v>419</v>
      </c>
      <c r="M934" s="485" t="e">
        <f ca="1">(M933/PI())*180+360</f>
        <v>#DIV/0!</v>
      </c>
      <c r="N934" s="447"/>
      <c r="O934" s="145" t="s">
        <v>420</v>
      </c>
      <c r="P934" s="485" t="e">
        <f>(P933/PI())*180+180</f>
        <v>#DIV/0!</v>
      </c>
      <c r="Q934" s="460"/>
      <c r="R934" s="460"/>
      <c r="S934" s="496" t="e">
        <f>IF(S933&lt;0,M933*180/PI()+360,M933*180/PI())</f>
        <v>#DIV/0!</v>
      </c>
      <c r="T934" s="498" t="e">
        <f>IF(T933&gt;0,P933*180/PI()+180,P933*180/PI())</f>
        <v>#DIV/0!</v>
      </c>
      <c r="V934" s="145" t="s">
        <v>419</v>
      </c>
      <c r="W934" s="485" t="e">
        <f ca="1">(W933/PI())*180+360</f>
        <v>#DIV/0!</v>
      </c>
      <c r="X934" s="447"/>
      <c r="Y934" s="145" t="s">
        <v>420</v>
      </c>
      <c r="Z934" s="485" t="e">
        <f>(Z933/PI())*180+180</f>
        <v>#DIV/0!</v>
      </c>
      <c r="AA934" s="460"/>
      <c r="AB934" s="460"/>
      <c r="AC934" s="496" t="e">
        <f>IF(AC933&lt;0,W933*180/PI()+360,W933*180/PI())</f>
        <v>#DIV/0!</v>
      </c>
      <c r="AD934" s="498" t="e">
        <f>IF(AD933&gt;0,Z933*180/PI()+180,Z933*180/PI())</f>
        <v>#DIV/0!</v>
      </c>
    </row>
    <row r="935" spans="1:30" s="444" customFormat="1" ht="14.7" x14ac:dyDescent="0.6">
      <c r="A935" s="447"/>
      <c r="B935" s="145" t="s">
        <v>419</v>
      </c>
      <c r="C935" s="485" t="e">
        <f ca="1">IF(C934&gt;=360,C934-360,C934)</f>
        <v>#DIV/0!</v>
      </c>
      <c r="D935" s="447"/>
      <c r="E935" s="145" t="s">
        <v>420</v>
      </c>
      <c r="F935" s="485" t="e">
        <f>IF(F934&gt;=360,F934-360,F934)</f>
        <v>#DIV/0!</v>
      </c>
      <c r="G935" s="460"/>
      <c r="H935" s="460"/>
      <c r="I935" s="496" t="e">
        <f ca="1">ATAN2((C893*C896-C892*C897*COS(E922)),C897*SIN(E922))</f>
        <v>#DIV/0!</v>
      </c>
      <c r="J935" s="485" t="e">
        <f ca="1">ATAN2((-C892*C897+C893*C896*COS(E922)),C893*SIN(E922))</f>
        <v>#DIV/0!</v>
      </c>
      <c r="L935" s="145" t="s">
        <v>419</v>
      </c>
      <c r="M935" s="485" t="e">
        <f ca="1">IF(M934&gt;=360,M934-360,M934)</f>
        <v>#DIV/0!</v>
      </c>
      <c r="N935" s="447"/>
      <c r="O935" s="145" t="s">
        <v>420</v>
      </c>
      <c r="P935" s="485" t="e">
        <f>IF(P934&gt;=360,P934-360,P934)</f>
        <v>#DIV/0!</v>
      </c>
      <c r="Q935" s="460"/>
      <c r="R935" s="460"/>
      <c r="S935" s="496" t="e">
        <f ca="1">ATAN2((M893*M896-M892*M897*COS(O922)),M897*SIN(O922))</f>
        <v>#DIV/0!</v>
      </c>
      <c r="T935" s="485" t="e">
        <f ca="1">ATAN2((-M892*M897+M893*M896*COS(O922)),M893*SIN(O922))</f>
        <v>#DIV/0!</v>
      </c>
      <c r="V935" s="145" t="s">
        <v>419</v>
      </c>
      <c r="W935" s="485" t="e">
        <f ca="1">IF(W934&gt;=360,W934-360,W934)</f>
        <v>#DIV/0!</v>
      </c>
      <c r="X935" s="447"/>
      <c r="Y935" s="145" t="s">
        <v>420</v>
      </c>
      <c r="Z935" s="485" t="e">
        <f>IF(Z934&gt;=360,Z934-360,Z934)</f>
        <v>#DIV/0!</v>
      </c>
      <c r="AA935" s="460"/>
      <c r="AB935" s="460"/>
      <c r="AC935" s="496" t="e">
        <f ca="1">ATAN2((W893*W896-W892*W897*COS(Y922)),W897*SIN(Y922))</f>
        <v>#DIV/0!</v>
      </c>
      <c r="AD935" s="485" t="e">
        <f ca="1">ATAN2((-W892*W897+W893*W896*COS(Y922)),W893*SIN(Y922))</f>
        <v>#DIV/0!</v>
      </c>
    </row>
    <row r="936" spans="1:30" s="444" customFormat="1" ht="14.7" x14ac:dyDescent="0.6">
      <c r="A936" s="447"/>
      <c r="B936" s="145" t="s">
        <v>419</v>
      </c>
      <c r="C936" s="485">
        <f>IF(B939="samepoint",0,IF(B940="northsouth",0,IF(B941="southnorth",180,C935)))</f>
        <v>0</v>
      </c>
      <c r="D936" s="447"/>
      <c r="E936" s="145" t="s">
        <v>420</v>
      </c>
      <c r="F936" s="485">
        <f>IF(B939="samepoint",0,IF(B940="northsouth",180,IF(B941="southnorth",0,F935)))</f>
        <v>0</v>
      </c>
      <c r="G936" s="447"/>
      <c r="H936" s="447"/>
      <c r="I936" s="485">
        <f>IF(B939="samepoint",0,IF(B940="northsouth",0,IF(B941="southnorth",180,IF(I935&lt;0,I935*180/PI()+360,I935*180/PI()))))</f>
        <v>0</v>
      </c>
      <c r="J936" s="485">
        <f>IF(B939="samepoint",0,IF(B940="northsouth",180,IF(B941="southnorth",0,J935*180/PI()+180)))</f>
        <v>0</v>
      </c>
      <c r="L936" s="145" t="s">
        <v>419</v>
      </c>
      <c r="M936" s="485">
        <f>IF(L939="samepoint",0,IF(L940="northsouth",0,IF(L941="southnorth",180,M935)))</f>
        <v>0</v>
      </c>
      <c r="N936" s="447"/>
      <c r="O936" s="145" t="s">
        <v>420</v>
      </c>
      <c r="P936" s="485">
        <f>IF(L939="samepoint",0,IF(L940="northsouth",180,IF(L941="southnorth",0,P935)))</f>
        <v>0</v>
      </c>
      <c r="Q936" s="447"/>
      <c r="R936" s="447"/>
      <c r="S936" s="485">
        <f>IF(L939="samepoint",0,IF(L940="northsouth",0,IF(L941="southnorth",180,IF(S935&lt;0,S935*180/PI()+360,S935*180/PI()))))</f>
        <v>0</v>
      </c>
      <c r="T936" s="485">
        <f>IF(L939="samepoint",0,IF(L940="northsouth",180,IF(L941="southnorth",0,T935*180/PI()+180)))</f>
        <v>0</v>
      </c>
      <c r="V936" s="145" t="s">
        <v>419</v>
      </c>
      <c r="W936" s="485">
        <f>IF(V939="samepoint",0,IF(V940="northsouth",0,IF(V941="southnorth",180,W935)))</f>
        <v>0</v>
      </c>
      <c r="X936" s="447"/>
      <c r="Y936" s="145" t="s">
        <v>420</v>
      </c>
      <c r="Z936" s="485">
        <f>IF(V939="samepoint",0,IF(V940="northsouth",180,IF(V941="southnorth",0,Z935)))</f>
        <v>0</v>
      </c>
      <c r="AA936" s="447"/>
      <c r="AB936" s="447"/>
      <c r="AC936" s="485">
        <f>IF(V939="samepoint",0,IF(V940="northsouth",0,IF(V941="southnorth",180,IF(AC935&lt;0,AC935*180/PI()+360,AC935*180/PI()))))</f>
        <v>0</v>
      </c>
      <c r="AD936" s="485">
        <f>IF(V939="samepoint",0,IF(V940="northsouth",180,IF(V941="southnorth",0,AD935*180/PI()+180)))</f>
        <v>0</v>
      </c>
    </row>
    <row r="937" spans="1:30" s="444" customFormat="1" ht="12.3" x14ac:dyDescent="0.4">
      <c r="A937" s="447"/>
      <c r="B937" s="145"/>
      <c r="C937" s="447"/>
      <c r="D937" s="447"/>
      <c r="E937" s="145"/>
      <c r="F937" s="447"/>
      <c r="G937" s="447"/>
      <c r="H937" s="447"/>
      <c r="I937" s="447"/>
      <c r="L937" s="145"/>
      <c r="M937" s="447"/>
      <c r="N937" s="447"/>
      <c r="O937" s="145"/>
      <c r="P937" s="447"/>
      <c r="Q937" s="447"/>
      <c r="R937" s="447"/>
      <c r="S937" s="447"/>
      <c r="V937" s="145"/>
      <c r="W937" s="447"/>
      <c r="X937" s="447"/>
      <c r="Y937" s="145"/>
      <c r="Z937" s="447"/>
      <c r="AA937" s="447"/>
      <c r="AB937" s="447"/>
      <c r="AC937" s="447"/>
    </row>
    <row r="938" spans="1:30" s="444" customFormat="1" ht="12.3" x14ac:dyDescent="0.4">
      <c r="A938" s="447"/>
      <c r="B938" s="144" t="s">
        <v>135</v>
      </c>
      <c r="C938" s="144"/>
      <c r="D938" s="447"/>
      <c r="E938" s="447"/>
      <c r="F938" s="447"/>
      <c r="G938" s="447"/>
      <c r="H938" s="447"/>
      <c r="I938" s="447"/>
      <c r="L938" s="144" t="s">
        <v>135</v>
      </c>
      <c r="M938" s="144"/>
      <c r="N938" s="447"/>
      <c r="O938" s="447"/>
      <c r="P938" s="447"/>
      <c r="Q938" s="447"/>
      <c r="R938" s="447"/>
      <c r="S938" s="447"/>
      <c r="V938" s="144" t="s">
        <v>135</v>
      </c>
      <c r="W938" s="144"/>
      <c r="X938" s="447"/>
      <c r="Y938" s="447"/>
      <c r="Z938" s="447"/>
      <c r="AA938" s="447"/>
      <c r="AB938" s="447"/>
      <c r="AC938" s="447"/>
    </row>
    <row r="939" spans="1:30" s="444" customFormat="1" ht="12.3" x14ac:dyDescent="0.4">
      <c r="A939" s="447"/>
      <c r="B939" s="447" t="str">
        <f>IF(AND(C880=C882,C881=C883),"samepoint","N.A. " )</f>
        <v>samepoint</v>
      </c>
      <c r="C939" s="447" t="s">
        <v>134</v>
      </c>
      <c r="D939" s="447"/>
      <c r="E939" s="447"/>
      <c r="F939" s="447"/>
      <c r="G939" s="447"/>
      <c r="H939" s="447"/>
      <c r="I939" s="447"/>
      <c r="L939" s="447" t="str">
        <f>IF(AND(M880=M882,M881=M883),"samepoint","N.A. " )</f>
        <v>samepoint</v>
      </c>
      <c r="M939" s="447" t="s">
        <v>134</v>
      </c>
      <c r="N939" s="447"/>
      <c r="O939" s="447"/>
      <c r="P939" s="447"/>
      <c r="Q939" s="447"/>
      <c r="R939" s="447"/>
      <c r="S939" s="447"/>
      <c r="V939" s="447" t="str">
        <f>IF(AND(W880=W882,W881=W883),"samepoint","N.A. " )</f>
        <v>samepoint</v>
      </c>
      <c r="W939" s="447" t="s">
        <v>134</v>
      </c>
      <c r="X939" s="447"/>
      <c r="Y939" s="447"/>
      <c r="Z939" s="447"/>
      <c r="AA939" s="447"/>
      <c r="AB939" s="447"/>
      <c r="AC939" s="447"/>
    </row>
    <row r="940" spans="1:30" s="444" customFormat="1" ht="12.3" x14ac:dyDescent="0.4">
      <c r="A940" s="447"/>
      <c r="B940" s="447" t="str">
        <f>IF(AND(C881=C883,C882&gt;C880),"northsouth","N.A. ")</f>
        <v xml:space="preserve">N.A. </v>
      </c>
      <c r="C940" s="447" t="s">
        <v>133</v>
      </c>
      <c r="D940" s="447"/>
      <c r="E940" s="447"/>
      <c r="F940" s="447"/>
      <c r="G940" s="447"/>
      <c r="H940" s="447"/>
      <c r="I940" s="447"/>
      <c r="L940" s="447" t="str">
        <f>IF(AND(M881=M883,M882&gt;M880),"northsouth","N.A. ")</f>
        <v xml:space="preserve">N.A. </v>
      </c>
      <c r="M940" s="447" t="s">
        <v>133</v>
      </c>
      <c r="N940" s="447"/>
      <c r="O940" s="447"/>
      <c r="P940" s="447"/>
      <c r="Q940" s="447"/>
      <c r="R940" s="447"/>
      <c r="S940" s="447"/>
      <c r="V940" s="447" t="str">
        <f>IF(AND(W881=W883,W882&gt;W880),"northsouth","N.A. ")</f>
        <v xml:space="preserve">N.A. </v>
      </c>
      <c r="W940" s="447" t="s">
        <v>133</v>
      </c>
      <c r="X940" s="447"/>
      <c r="Y940" s="447"/>
      <c r="Z940" s="447"/>
      <c r="AA940" s="447"/>
      <c r="AB940" s="447"/>
      <c r="AC940" s="447"/>
    </row>
    <row r="941" spans="1:30" s="444" customFormat="1" ht="12.3" x14ac:dyDescent="0.4">
      <c r="A941" s="447"/>
      <c r="B941" s="447" t="str">
        <f>IF(AND(C881=C883,C880&gt;C882),"southnorth","N.A. ")</f>
        <v xml:space="preserve">N.A. </v>
      </c>
      <c r="C941" s="447" t="s">
        <v>132</v>
      </c>
      <c r="D941" s="447"/>
      <c r="E941" s="447"/>
      <c r="F941" s="447"/>
      <c r="G941" s="447"/>
      <c r="H941" s="447"/>
      <c r="I941" s="447"/>
      <c r="L941" s="447" t="str">
        <f>IF(AND(M881=M883,M880&gt;M882),"southnorth","N.A. ")</f>
        <v xml:space="preserve">N.A. </v>
      </c>
      <c r="M941" s="447" t="s">
        <v>132</v>
      </c>
      <c r="N941" s="447"/>
      <c r="O941" s="447"/>
      <c r="P941" s="447"/>
      <c r="Q941" s="447"/>
      <c r="R941" s="447"/>
      <c r="S941" s="447"/>
      <c r="V941" s="447" t="str">
        <f>IF(AND(W881=W883,W880&gt;W882),"southnorth","N.A. ")</f>
        <v xml:space="preserve">N.A. </v>
      </c>
      <c r="W941" s="447" t="s">
        <v>132</v>
      </c>
      <c r="X941" s="447"/>
      <c r="Y941" s="447"/>
      <c r="Z941" s="447"/>
      <c r="AA941" s="447"/>
      <c r="AB941" s="447"/>
      <c r="AC941" s="447"/>
    </row>
    <row r="942" spans="1:30" s="444" customFormat="1" ht="12.3" x14ac:dyDescent="0.4">
      <c r="A942" s="447"/>
      <c r="B942" s="447"/>
      <c r="C942" s="447"/>
      <c r="D942" s="447"/>
      <c r="E942" s="447"/>
      <c r="F942" s="447"/>
      <c r="G942" s="447"/>
      <c r="H942" s="447"/>
      <c r="I942" s="447"/>
      <c r="L942" s="447"/>
      <c r="M942" s="447"/>
      <c r="N942" s="447"/>
      <c r="O942" s="447"/>
      <c r="P942" s="447"/>
      <c r="Q942" s="447"/>
      <c r="R942" s="447"/>
      <c r="S942" s="447"/>
      <c r="V942" s="447"/>
      <c r="W942" s="447"/>
      <c r="X942" s="447"/>
      <c r="Y942" s="447"/>
      <c r="Z942" s="447"/>
      <c r="AA942" s="447"/>
      <c r="AB942" s="447"/>
      <c r="AC942" s="447"/>
    </row>
    <row r="943" spans="1:30" s="444" customFormat="1" ht="12.3" x14ac:dyDescent="0.4">
      <c r="A943" s="447"/>
      <c r="B943" s="447"/>
      <c r="C943" s="447"/>
      <c r="D943" s="447"/>
      <c r="E943" s="447"/>
      <c r="F943" s="447"/>
      <c r="G943" s="447"/>
      <c r="H943" s="447"/>
      <c r="I943" s="447"/>
    </row>
    <row r="944" spans="1:30" s="444" customFormat="1" ht="12.3" x14ac:dyDescent="0.4">
      <c r="A944" s="447"/>
      <c r="B944" s="447"/>
      <c r="C944" s="447"/>
      <c r="D944" s="447"/>
      <c r="E944" s="447"/>
      <c r="F944" s="447"/>
      <c r="G944" s="447"/>
      <c r="H944" s="447"/>
      <c r="I944" s="447"/>
    </row>
    <row r="945" spans="1:30" s="444" customFormat="1" ht="15" x14ac:dyDescent="0.5">
      <c r="A945" s="447"/>
      <c r="B945" s="448" t="s">
        <v>187</v>
      </c>
      <c r="C945" s="448" t="s">
        <v>186</v>
      </c>
      <c r="D945" s="447"/>
      <c r="E945" s="447"/>
      <c r="F945" s="447"/>
      <c r="G945" s="447"/>
      <c r="H945" s="447"/>
      <c r="I945" s="447"/>
      <c r="L945" s="448" t="s">
        <v>187</v>
      </c>
      <c r="M945" s="448" t="s">
        <v>186</v>
      </c>
      <c r="N945" s="447"/>
      <c r="O945" s="447"/>
      <c r="P945" s="447"/>
      <c r="Q945" s="447"/>
      <c r="R945" s="447"/>
      <c r="S945" s="447"/>
      <c r="V945" s="448" t="s">
        <v>187</v>
      </c>
      <c r="W945" s="448" t="s">
        <v>186</v>
      </c>
      <c r="X945" s="447"/>
      <c r="Y945" s="447"/>
      <c r="Z945" s="447"/>
      <c r="AA945" s="447"/>
      <c r="AB945" s="447"/>
      <c r="AC945" s="447"/>
    </row>
    <row r="946" spans="1:30" s="444" customFormat="1" ht="17.399999999999999" x14ac:dyDescent="0.55000000000000004">
      <c r="A946" s="447"/>
      <c r="B946" s="449" t="s">
        <v>185</v>
      </c>
      <c r="C946" s="450" t="s">
        <v>201</v>
      </c>
      <c r="D946" s="451"/>
      <c r="E946" s="452"/>
      <c r="F946" s="453" t="s">
        <v>183</v>
      </c>
      <c r="G946" s="512" t="s">
        <v>202</v>
      </c>
      <c r="H946" s="512"/>
      <c r="I946" s="454"/>
      <c r="J946" s="455"/>
      <c r="L946" s="449" t="s">
        <v>185</v>
      </c>
      <c r="M946" s="450" t="s">
        <v>201</v>
      </c>
      <c r="N946" s="451"/>
      <c r="O946" s="452"/>
      <c r="P946" s="453" t="s">
        <v>183</v>
      </c>
      <c r="Q946" s="512" t="s">
        <v>199</v>
      </c>
      <c r="R946" s="512"/>
      <c r="S946" s="454"/>
      <c r="T946" s="455"/>
      <c r="V946" s="449" t="s">
        <v>185</v>
      </c>
      <c r="W946" s="450" t="s">
        <v>200</v>
      </c>
      <c r="X946" s="451"/>
      <c r="Y946" s="452"/>
      <c r="Z946" s="453" t="s">
        <v>183</v>
      </c>
      <c r="AA946" s="512" t="s">
        <v>199</v>
      </c>
      <c r="AB946" s="512"/>
      <c r="AC946" s="454"/>
      <c r="AD946" s="455"/>
    </row>
    <row r="947" spans="1:30" s="444" customFormat="1" ht="14.7" x14ac:dyDescent="0.6">
      <c r="A947" s="447"/>
      <c r="B947" s="158" t="s">
        <v>405</v>
      </c>
      <c r="C947" s="456">
        <f>C79</f>
        <v>0</v>
      </c>
      <c r="D947" s="457">
        <f>D79</f>
        <v>0</v>
      </c>
      <c r="E947" s="458"/>
      <c r="F947" s="157" t="s">
        <v>406</v>
      </c>
      <c r="G947" s="1069" t="s">
        <v>198</v>
      </c>
      <c r="H947" s="1069"/>
      <c r="I947" s="1070"/>
      <c r="J947" s="460"/>
      <c r="L947" s="158" t="s">
        <v>405</v>
      </c>
      <c r="M947" s="456">
        <f>C79</f>
        <v>0</v>
      </c>
      <c r="N947" s="457">
        <f>D79</f>
        <v>0</v>
      </c>
      <c r="O947" s="458"/>
      <c r="P947" s="157" t="s">
        <v>406</v>
      </c>
      <c r="Q947" s="1069" t="s">
        <v>198</v>
      </c>
      <c r="R947" s="1069"/>
      <c r="S947" s="1070"/>
      <c r="T947" s="460"/>
      <c r="V947" s="158" t="s">
        <v>405</v>
      </c>
      <c r="W947" s="456">
        <f>C956</f>
        <v>0</v>
      </c>
      <c r="X947" s="457">
        <f>D79</f>
        <v>0</v>
      </c>
      <c r="Y947" s="458"/>
      <c r="Z947" s="157" t="s">
        <v>406</v>
      </c>
      <c r="AA947" s="1069" t="s">
        <v>198</v>
      </c>
      <c r="AB947" s="1069"/>
      <c r="AC947" s="1070"/>
      <c r="AD947" s="460"/>
    </row>
    <row r="948" spans="1:30" s="444" customFormat="1" ht="14.7" x14ac:dyDescent="0.6">
      <c r="A948" s="447"/>
      <c r="B948" s="158" t="s">
        <v>407</v>
      </c>
      <c r="C948" s="461">
        <f>C80</f>
        <v>0</v>
      </c>
      <c r="D948" s="462">
        <f>D80</f>
        <v>0</v>
      </c>
      <c r="E948" s="463"/>
      <c r="F948" s="157" t="s">
        <v>408</v>
      </c>
      <c r="G948" s="1072" t="s">
        <v>197</v>
      </c>
      <c r="H948" s="1072"/>
      <c r="I948" s="1073"/>
      <c r="L948" s="158" t="s">
        <v>407</v>
      </c>
      <c r="M948" s="461">
        <f>C80</f>
        <v>0</v>
      </c>
      <c r="N948" s="462">
        <f>D80</f>
        <v>0</v>
      </c>
      <c r="O948" s="463"/>
      <c r="P948" s="157" t="s">
        <v>408</v>
      </c>
      <c r="Q948" s="1072" t="s">
        <v>197</v>
      </c>
      <c r="R948" s="1072"/>
      <c r="S948" s="1073"/>
      <c r="V948" s="158" t="s">
        <v>407</v>
      </c>
      <c r="W948" s="461">
        <f>C80</f>
        <v>0</v>
      </c>
      <c r="X948" s="462">
        <f>D80</f>
        <v>0</v>
      </c>
      <c r="Y948" s="463"/>
      <c r="Z948" s="157" t="s">
        <v>408</v>
      </c>
      <c r="AA948" s="1072" t="s">
        <v>197</v>
      </c>
      <c r="AB948" s="1072"/>
      <c r="AC948" s="1073"/>
    </row>
    <row r="949" spans="1:30" s="444" customFormat="1" ht="12.3" x14ac:dyDescent="0.4">
      <c r="A949" s="447"/>
      <c r="B949" s="464" t="s">
        <v>180</v>
      </c>
      <c r="C949" s="465">
        <f>E998</f>
        <v>0</v>
      </c>
      <c r="D949" s="466"/>
      <c r="E949" s="467"/>
      <c r="F949" s="500"/>
      <c r="G949" s="468"/>
      <c r="H949" s="468"/>
      <c r="I949" s="156" t="s">
        <v>179</v>
      </c>
      <c r="J949" s="447"/>
      <c r="L949" s="464" t="s">
        <v>180</v>
      </c>
      <c r="M949" s="465">
        <f>O998</f>
        <v>0</v>
      </c>
      <c r="N949" s="466"/>
      <c r="O949" s="467"/>
      <c r="P949" s="500"/>
      <c r="Q949" s="468"/>
      <c r="R949" s="468"/>
      <c r="S949" s="156" t="s">
        <v>179</v>
      </c>
      <c r="T949" s="447"/>
      <c r="V949" s="464" t="s">
        <v>180</v>
      </c>
      <c r="W949" s="465">
        <f>Y998</f>
        <v>0</v>
      </c>
      <c r="X949" s="466"/>
      <c r="Y949" s="467"/>
      <c r="Z949" s="500"/>
      <c r="AA949" s="468"/>
      <c r="AB949" s="468"/>
      <c r="AC949" s="156" t="s">
        <v>179</v>
      </c>
      <c r="AD949" s="447"/>
    </row>
    <row r="950" spans="1:30" s="444" customFormat="1" ht="14.7" x14ac:dyDescent="0.6">
      <c r="A950" s="447"/>
      <c r="B950" s="464" t="s">
        <v>409</v>
      </c>
      <c r="C950" s="469">
        <f>I1010</f>
        <v>0</v>
      </c>
      <c r="D950" s="470"/>
      <c r="E950" s="471"/>
      <c r="F950" s="501"/>
      <c r="G950" s="472"/>
      <c r="H950" s="473"/>
      <c r="J950" s="474"/>
      <c r="L950" s="464" t="s">
        <v>409</v>
      </c>
      <c r="M950" s="469">
        <f>S1010</f>
        <v>0</v>
      </c>
      <c r="N950" s="470"/>
      <c r="O950" s="471"/>
      <c r="P950" s="501"/>
      <c r="Q950" s="472"/>
      <c r="R950" s="473"/>
      <c r="T950" s="474"/>
      <c r="V950" s="464" t="s">
        <v>409</v>
      </c>
      <c r="W950" s="469">
        <f>AC1010</f>
        <v>0</v>
      </c>
      <c r="X950" s="470"/>
      <c r="Y950" s="471"/>
      <c r="Z950" s="501"/>
      <c r="AA950" s="472"/>
      <c r="AB950" s="473"/>
      <c r="AD950" s="474"/>
    </row>
    <row r="951" spans="1:30" s="444" customFormat="1" ht="14.7" x14ac:dyDescent="0.6">
      <c r="A951" s="447"/>
      <c r="B951" s="475" t="s">
        <v>410</v>
      </c>
      <c r="C951" s="476">
        <f>J1010</f>
        <v>0</v>
      </c>
      <c r="D951" s="477"/>
      <c r="E951" s="478"/>
      <c r="F951" s="506">
        <f>IF(OR(SUMMARY!B20="NO",SUMMARY!B22="Release",AND(C956=0,C957=0)),0,C949/1000)</f>
        <v>0</v>
      </c>
      <c r="G951" s="447" t="s">
        <v>178</v>
      </c>
      <c r="H951" s="447"/>
      <c r="L951" s="475" t="s">
        <v>410</v>
      </c>
      <c r="M951" s="476">
        <f>T1010</f>
        <v>0</v>
      </c>
      <c r="N951" s="477"/>
      <c r="O951" s="478"/>
      <c r="P951" s="506">
        <f>IF(OR(SUMMARY!B20="NO",SUMMARY!B22="Release",AND(M956=0,M957=0)),0,M949/1000)</f>
        <v>0</v>
      </c>
      <c r="Q951" s="447" t="s">
        <v>178</v>
      </c>
      <c r="R951" s="447"/>
      <c r="V951" s="475" t="s">
        <v>410</v>
      </c>
      <c r="W951" s="476">
        <f>AD1010</f>
        <v>0</v>
      </c>
      <c r="X951" s="477"/>
      <c r="Y951" s="478"/>
      <c r="Z951" s="506">
        <f>IF(OR(SUMMARY!B20="NO",SUMMARY!B22="Release"),0,W949/1000)</f>
        <v>0</v>
      </c>
      <c r="AA951" s="447" t="s">
        <v>178</v>
      </c>
      <c r="AB951" s="447"/>
    </row>
    <row r="952" spans="1:30" s="444" customFormat="1" ht="12.3" x14ac:dyDescent="0.4">
      <c r="A952" s="447"/>
      <c r="B952" s="460"/>
      <c r="C952" s="487"/>
      <c r="D952" s="489"/>
      <c r="E952" s="489"/>
      <c r="F952" s="447"/>
      <c r="G952" s="460"/>
      <c r="L952" s="460"/>
      <c r="M952" s="487"/>
      <c r="N952" s="489"/>
      <c r="O952" s="489"/>
      <c r="P952" s="447"/>
      <c r="Q952" s="460"/>
      <c r="V952" s="460"/>
      <c r="W952" s="487"/>
      <c r="X952" s="489"/>
      <c r="Y952" s="489"/>
      <c r="Z952" s="447"/>
      <c r="AA952" s="460"/>
    </row>
    <row r="953" spans="1:30" s="444" customFormat="1" ht="12.3" x14ac:dyDescent="0.4">
      <c r="A953" s="447"/>
      <c r="B953" s="447"/>
      <c r="C953" s="503" t="s">
        <v>177</v>
      </c>
      <c r="D953" s="504"/>
      <c r="E953" s="503" t="s">
        <v>85</v>
      </c>
      <c r="F953" s="447"/>
      <c r="G953" s="460"/>
      <c r="H953" s="460"/>
      <c r="I953" s="447"/>
      <c r="L953" s="447"/>
      <c r="M953" s="503" t="s">
        <v>177</v>
      </c>
      <c r="N953" s="504"/>
      <c r="O953" s="503" t="s">
        <v>85</v>
      </c>
      <c r="P953" s="447"/>
      <c r="Q953" s="460"/>
      <c r="R953" s="460"/>
      <c r="S953" s="447"/>
      <c r="V953" s="447"/>
      <c r="W953" s="503" t="s">
        <v>177</v>
      </c>
      <c r="X953" s="504"/>
      <c r="Y953" s="503" t="s">
        <v>85</v>
      </c>
      <c r="Z953" s="447"/>
      <c r="AA953" s="460"/>
      <c r="AB953" s="460"/>
      <c r="AC953" s="447"/>
    </row>
    <row r="954" spans="1:30" s="444" customFormat="1" ht="14.7" x14ac:dyDescent="0.6">
      <c r="A954" s="447"/>
      <c r="B954" s="460" t="s">
        <v>411</v>
      </c>
      <c r="C954" s="485">
        <f>C947+D947/60</f>
        <v>0</v>
      </c>
      <c r="D954" s="447"/>
      <c r="E954" s="485">
        <f>C954*PI()/180</f>
        <v>0</v>
      </c>
      <c r="F954" s="447"/>
      <c r="G954" s="460"/>
      <c r="H954" s="460"/>
      <c r="I954" s="447"/>
      <c r="L954" s="460" t="s">
        <v>411</v>
      </c>
      <c r="M954" s="485">
        <f>M947+N947/60</f>
        <v>0</v>
      </c>
      <c r="N954" s="447"/>
      <c r="O954" s="485">
        <f>M954*PI()/180</f>
        <v>0</v>
      </c>
      <c r="P954" s="447"/>
      <c r="Q954" s="460"/>
      <c r="R954" s="460"/>
      <c r="S954" s="447"/>
      <c r="V954" s="460" t="s">
        <v>411</v>
      </c>
      <c r="W954" s="485">
        <f>C956</f>
        <v>0</v>
      </c>
      <c r="X954" s="447"/>
      <c r="Y954" s="485">
        <f>W954*PI()/180</f>
        <v>0</v>
      </c>
      <c r="Z954" s="447"/>
      <c r="AA954" s="460"/>
      <c r="AB954" s="460"/>
      <c r="AC954" s="447"/>
    </row>
    <row r="955" spans="1:30" s="444" customFormat="1" ht="14.7" x14ac:dyDescent="0.6">
      <c r="A955" s="447"/>
      <c r="B955" s="460" t="s">
        <v>412</v>
      </c>
      <c r="C955" s="485">
        <f>C948+D948/60</f>
        <v>0</v>
      </c>
      <c r="D955" s="447"/>
      <c r="E955" s="485">
        <f>C955*PI()/180</f>
        <v>0</v>
      </c>
      <c r="F955" s="447"/>
      <c r="G955" s="460"/>
      <c r="H955" s="485"/>
      <c r="I955" s="447"/>
      <c r="L955" s="460" t="s">
        <v>412</v>
      </c>
      <c r="M955" s="485">
        <f>M948+N948/60</f>
        <v>0</v>
      </c>
      <c r="N955" s="447"/>
      <c r="O955" s="485">
        <f>M955*PI()/180</f>
        <v>0</v>
      </c>
      <c r="P955" s="447"/>
      <c r="Q955" s="460"/>
      <c r="R955" s="485"/>
      <c r="S955" s="447"/>
      <c r="V955" s="460" t="s">
        <v>412</v>
      </c>
      <c r="W955" s="485">
        <f>C957</f>
        <v>0</v>
      </c>
      <c r="X955" s="447"/>
      <c r="Y955" s="485">
        <f>W955*PI()/180</f>
        <v>0</v>
      </c>
      <c r="Z955" s="447"/>
      <c r="AA955" s="460"/>
      <c r="AB955" s="485"/>
      <c r="AC955" s="447"/>
    </row>
    <row r="956" spans="1:30" s="444" customFormat="1" ht="14.7" x14ac:dyDescent="0.6">
      <c r="A956" s="447"/>
      <c r="B956" s="460" t="s">
        <v>413</v>
      </c>
      <c r="C956" s="485">
        <f>TPOrder!BA9</f>
        <v>0</v>
      </c>
      <c r="D956" s="447"/>
      <c r="E956" s="485">
        <f>C956*PI()/180</f>
        <v>0</v>
      </c>
      <c r="F956" s="447"/>
      <c r="G956" s="460"/>
      <c r="H956" s="460"/>
      <c r="I956" s="447"/>
      <c r="L956" s="460" t="s">
        <v>413</v>
      </c>
      <c r="M956" s="485">
        <f>TPOrder!BK9</f>
        <v>0</v>
      </c>
      <c r="N956" s="447"/>
      <c r="O956" s="485">
        <f>M956*PI()/180</f>
        <v>0</v>
      </c>
      <c r="P956" s="447"/>
      <c r="Q956" s="460"/>
      <c r="R956" s="460"/>
      <c r="S956" s="447"/>
      <c r="V956" s="460" t="s">
        <v>413</v>
      </c>
      <c r="W956" s="485">
        <f>M956</f>
        <v>0</v>
      </c>
      <c r="X956" s="447"/>
      <c r="Y956" s="485">
        <f>W956*PI()/180</f>
        <v>0</v>
      </c>
      <c r="Z956" s="447"/>
      <c r="AA956" s="460"/>
      <c r="AB956" s="460"/>
      <c r="AC956" s="447"/>
    </row>
    <row r="957" spans="1:30" s="444" customFormat="1" ht="14.7" x14ac:dyDescent="0.6">
      <c r="A957" s="447"/>
      <c r="B957" s="460" t="s">
        <v>414</v>
      </c>
      <c r="C957" s="485">
        <f>TPOrder!BC9</f>
        <v>0</v>
      </c>
      <c r="D957" s="447"/>
      <c r="E957" s="485">
        <f>C957*PI()/180</f>
        <v>0</v>
      </c>
      <c r="F957" s="447"/>
      <c r="G957" s="460"/>
      <c r="H957" s="485"/>
      <c r="I957" s="447"/>
      <c r="L957" s="460" t="s">
        <v>414</v>
      </c>
      <c r="M957" s="485">
        <f>TPOrder!BM9</f>
        <v>0</v>
      </c>
      <c r="N957" s="447"/>
      <c r="O957" s="485">
        <f>M957*PI()/180</f>
        <v>0</v>
      </c>
      <c r="P957" s="447"/>
      <c r="Q957" s="460"/>
      <c r="R957" s="485"/>
      <c r="S957" s="447"/>
      <c r="V957" s="460" t="s">
        <v>414</v>
      </c>
      <c r="W957" s="485">
        <f>M957</f>
        <v>0</v>
      </c>
      <c r="X957" s="447"/>
      <c r="Y957" s="485">
        <f>W957*PI()/180</f>
        <v>0</v>
      </c>
      <c r="Z957" s="447"/>
      <c r="AA957" s="460"/>
      <c r="AB957" s="485"/>
      <c r="AC957" s="447"/>
    </row>
    <row r="958" spans="1:30" s="444" customFormat="1" ht="12.3" x14ac:dyDescent="0.4">
      <c r="A958" s="447"/>
      <c r="B958" s="485"/>
      <c r="C958" s="485"/>
      <c r="D958" s="485"/>
      <c r="E958" s="485"/>
      <c r="F958" s="447"/>
      <c r="G958" s="460"/>
      <c r="H958" s="485"/>
      <c r="I958" s="447"/>
      <c r="L958" s="485"/>
      <c r="M958" s="485"/>
      <c r="N958" s="485"/>
      <c r="O958" s="485"/>
      <c r="P958" s="447"/>
      <c r="Q958" s="460"/>
      <c r="R958" s="485"/>
      <c r="S958" s="447"/>
      <c r="V958" s="485"/>
      <c r="W958" s="485"/>
      <c r="X958" s="485"/>
      <c r="Y958" s="485"/>
      <c r="Z958" s="447"/>
      <c r="AA958" s="460"/>
      <c r="AB958" s="485"/>
      <c r="AC958" s="447"/>
    </row>
    <row r="959" spans="1:30" s="444" customFormat="1" ht="12.3" x14ac:dyDescent="0.4">
      <c r="A959" s="447"/>
      <c r="B959" s="460" t="s">
        <v>176</v>
      </c>
      <c r="C959" s="487">
        <v>6378137</v>
      </c>
      <c r="D959" s="488"/>
      <c r="E959" s="489" t="s">
        <v>175</v>
      </c>
      <c r="F959" s="485">
        <f>C961+C961*C961</f>
        <v>3.3640520041011246E-3</v>
      </c>
      <c r="G959" s="460"/>
      <c r="H959" s="460"/>
      <c r="I959" s="447"/>
      <c r="L959" s="460" t="s">
        <v>176</v>
      </c>
      <c r="M959" s="487">
        <v>6378137</v>
      </c>
      <c r="N959" s="488"/>
      <c r="O959" s="489" t="s">
        <v>175</v>
      </c>
      <c r="P959" s="485">
        <f>M961+M961*M961</f>
        <v>3.3640520041011246E-3</v>
      </c>
      <c r="Q959" s="460"/>
      <c r="R959" s="460"/>
      <c r="S959" s="447"/>
      <c r="V959" s="460" t="s">
        <v>176</v>
      </c>
      <c r="W959" s="487">
        <v>6378137</v>
      </c>
      <c r="X959" s="488"/>
      <c r="Y959" s="489" t="s">
        <v>175</v>
      </c>
      <c r="Z959" s="485">
        <f>W961+W961*W961</f>
        <v>3.3640520041011246E-3</v>
      </c>
      <c r="AA959" s="460"/>
      <c r="AB959" s="460"/>
      <c r="AC959" s="447"/>
    </row>
    <row r="960" spans="1:30" s="444" customFormat="1" ht="12.3" x14ac:dyDescent="0.4">
      <c r="A960" s="447"/>
      <c r="B960" s="489" t="s">
        <v>174</v>
      </c>
      <c r="C960" s="487">
        <f>C959*(1-C961)</f>
        <v>6356752.3142451793</v>
      </c>
      <c r="D960" s="488"/>
      <c r="E960" s="489" t="s">
        <v>173</v>
      </c>
      <c r="F960" s="485">
        <f>F959/2</f>
        <v>1.6820260020505623E-3</v>
      </c>
      <c r="G960" s="460"/>
      <c r="H960" s="460"/>
      <c r="I960" s="447"/>
      <c r="L960" s="489" t="s">
        <v>174</v>
      </c>
      <c r="M960" s="487">
        <f>M959*(1-M961)</f>
        <v>6356752.3142451793</v>
      </c>
      <c r="N960" s="488"/>
      <c r="O960" s="489" t="s">
        <v>173</v>
      </c>
      <c r="P960" s="485">
        <f>P959/2</f>
        <v>1.6820260020505623E-3</v>
      </c>
      <c r="Q960" s="460"/>
      <c r="R960" s="460"/>
      <c r="S960" s="447"/>
      <c r="V960" s="489" t="s">
        <v>174</v>
      </c>
      <c r="W960" s="487">
        <f>W959*(1-W961)</f>
        <v>6356752.3142451793</v>
      </c>
      <c r="X960" s="488"/>
      <c r="Y960" s="489" t="s">
        <v>173</v>
      </c>
      <c r="Z960" s="485">
        <f>Z959/2</f>
        <v>1.6820260020505623E-3</v>
      </c>
      <c r="AA960" s="460"/>
      <c r="AB960" s="460"/>
      <c r="AC960" s="447"/>
    </row>
    <row r="961" spans="1:29" s="444" customFormat="1" ht="12.3" x14ac:dyDescent="0.4">
      <c r="A961" s="447"/>
      <c r="B961" s="489" t="s">
        <v>172</v>
      </c>
      <c r="C961" s="485">
        <v>3.3528106647474801E-3</v>
      </c>
      <c r="D961" s="489"/>
      <c r="E961" s="489" t="s">
        <v>171</v>
      </c>
      <c r="F961" s="485">
        <f>C961*C961/2</f>
        <v>5.6206696768222199E-6</v>
      </c>
      <c r="G961" s="460"/>
      <c r="H961" s="460"/>
      <c r="I961" s="447"/>
      <c r="L961" s="489" t="s">
        <v>172</v>
      </c>
      <c r="M961" s="485">
        <v>3.3528106647474801E-3</v>
      </c>
      <c r="N961" s="489"/>
      <c r="O961" s="489" t="s">
        <v>171</v>
      </c>
      <c r="P961" s="485">
        <f>M961*M961/2</f>
        <v>5.6206696768222199E-6</v>
      </c>
      <c r="Q961" s="460"/>
      <c r="R961" s="460"/>
      <c r="S961" s="447"/>
      <c r="V961" s="489" t="s">
        <v>172</v>
      </c>
      <c r="W961" s="485">
        <v>3.3528106647474801E-3</v>
      </c>
      <c r="X961" s="489"/>
      <c r="Y961" s="489" t="s">
        <v>171</v>
      </c>
      <c r="Z961" s="485">
        <f>W961*W961/2</f>
        <v>5.6206696768222199E-6</v>
      </c>
      <c r="AA961" s="460"/>
      <c r="AB961" s="460"/>
      <c r="AC961" s="447"/>
    </row>
    <row r="962" spans="1:29" s="444" customFormat="1" ht="12.3" x14ac:dyDescent="0.4">
      <c r="A962" s="447"/>
      <c r="B962" s="460" t="s">
        <v>415</v>
      </c>
      <c r="C962" s="485">
        <f>E957-E955</f>
        <v>0</v>
      </c>
      <c r="D962" s="447"/>
      <c r="E962" s="447" t="s">
        <v>170</v>
      </c>
      <c r="F962" s="485">
        <f>C961*C961/8</f>
        <v>1.405167419205555E-6</v>
      </c>
      <c r="G962" s="460"/>
      <c r="H962" s="460"/>
      <c r="I962" s="447"/>
      <c r="L962" s="460" t="s">
        <v>415</v>
      </c>
      <c r="M962" s="485">
        <f>O957-O955</f>
        <v>0</v>
      </c>
      <c r="N962" s="447"/>
      <c r="O962" s="447" t="s">
        <v>170</v>
      </c>
      <c r="P962" s="485">
        <f>M961*M961/8</f>
        <v>1.405167419205555E-6</v>
      </c>
      <c r="Q962" s="460"/>
      <c r="R962" s="460"/>
      <c r="S962" s="447"/>
      <c r="V962" s="460" t="s">
        <v>415</v>
      </c>
      <c r="W962" s="485">
        <f>Y957-Y955</f>
        <v>0</v>
      </c>
      <c r="X962" s="447"/>
      <c r="Y962" s="447" t="s">
        <v>170</v>
      </c>
      <c r="Z962" s="485">
        <f>W961*W961/8</f>
        <v>1.405167419205555E-6</v>
      </c>
      <c r="AA962" s="460"/>
      <c r="AB962" s="460"/>
      <c r="AC962" s="447"/>
    </row>
    <row r="963" spans="1:29" s="444" customFormat="1" ht="12.3" x14ac:dyDescent="0.4">
      <c r="A963" s="447"/>
      <c r="B963" s="447"/>
      <c r="C963" s="447"/>
      <c r="D963" s="447"/>
      <c r="E963" s="489" t="s">
        <v>169</v>
      </c>
      <c r="F963" s="485">
        <f>C961*C961/16</f>
        <v>7.0258370960277749E-7</v>
      </c>
      <c r="G963" s="460"/>
      <c r="H963" s="460"/>
      <c r="I963" s="447"/>
      <c r="L963" s="447"/>
      <c r="M963" s="447"/>
      <c r="N963" s="447"/>
      <c r="O963" s="489" t="s">
        <v>169</v>
      </c>
      <c r="P963" s="485">
        <f>M961*M961/16</f>
        <v>7.0258370960277749E-7</v>
      </c>
      <c r="Q963" s="460"/>
      <c r="R963" s="460"/>
      <c r="S963" s="447"/>
      <c r="V963" s="447"/>
      <c r="W963" s="447"/>
      <c r="X963" s="447"/>
      <c r="Y963" s="489" t="s">
        <v>169</v>
      </c>
      <c r="Z963" s="485">
        <f>W961*W961/16</f>
        <v>7.0258370960277749E-7</v>
      </c>
      <c r="AA963" s="460"/>
      <c r="AB963" s="460"/>
      <c r="AC963" s="447"/>
    </row>
    <row r="964" spans="1:29" s="444" customFormat="1" ht="12.3" x14ac:dyDescent="0.4">
      <c r="A964" s="447"/>
      <c r="B964" s="447" t="s">
        <v>168</v>
      </c>
      <c r="C964" s="490">
        <f>(1-C961)*TAN(E954)</f>
        <v>0</v>
      </c>
      <c r="D964" s="447"/>
      <c r="E964" s="489"/>
      <c r="F964" s="460"/>
      <c r="G964" s="460"/>
      <c r="H964" s="460"/>
      <c r="I964" s="447"/>
      <c r="L964" s="447" t="s">
        <v>168</v>
      </c>
      <c r="M964" s="490">
        <f>(1-M961)*TAN(O954)</f>
        <v>0</v>
      </c>
      <c r="N964" s="447"/>
      <c r="O964" s="489"/>
      <c r="P964" s="460"/>
      <c r="Q964" s="460"/>
      <c r="R964" s="460"/>
      <c r="S964" s="447"/>
      <c r="V964" s="447" t="s">
        <v>168</v>
      </c>
      <c r="W964" s="490">
        <f>(1-W961)*TAN(Y954)</f>
        <v>0</v>
      </c>
      <c r="X964" s="447"/>
      <c r="Y964" s="489"/>
      <c r="Z964" s="460"/>
      <c r="AA964" s="460"/>
      <c r="AB964" s="460"/>
      <c r="AC964" s="447"/>
    </row>
    <row r="965" spans="1:29" s="444" customFormat="1" ht="12.3" x14ac:dyDescent="0.4">
      <c r="A965" s="447"/>
      <c r="B965" s="460" t="s">
        <v>106</v>
      </c>
      <c r="C965" s="485">
        <f>ATAN(C964)</f>
        <v>0</v>
      </c>
      <c r="D965" s="489"/>
      <c r="E965" s="155"/>
      <c r="F965" s="485"/>
      <c r="G965" s="460"/>
      <c r="H965" s="460"/>
      <c r="I965" s="447"/>
      <c r="L965" s="460" t="s">
        <v>106</v>
      </c>
      <c r="M965" s="485">
        <f>ATAN(M964)</f>
        <v>0</v>
      </c>
      <c r="N965" s="489"/>
      <c r="O965" s="155"/>
      <c r="P965" s="485"/>
      <c r="Q965" s="460"/>
      <c r="R965" s="460"/>
      <c r="S965" s="447"/>
      <c r="V965" s="460" t="s">
        <v>106</v>
      </c>
      <c r="W965" s="485">
        <f>ATAN(W964)</f>
        <v>0</v>
      </c>
      <c r="X965" s="489"/>
      <c r="Y965" s="155"/>
      <c r="Z965" s="485"/>
      <c r="AA965" s="460"/>
      <c r="AB965" s="460"/>
      <c r="AC965" s="447"/>
    </row>
    <row r="966" spans="1:29" s="444" customFormat="1" ht="12.3" x14ac:dyDescent="0.4">
      <c r="A966" s="447"/>
      <c r="B966" s="460" t="s">
        <v>167</v>
      </c>
      <c r="C966" s="485">
        <f>SIN(C965)</f>
        <v>0</v>
      </c>
      <c r="D966" s="489"/>
      <c r="E966" s="148"/>
      <c r="F966" s="485"/>
      <c r="G966" s="460"/>
      <c r="H966" s="460"/>
      <c r="I966" s="447"/>
      <c r="L966" s="460" t="s">
        <v>167</v>
      </c>
      <c r="M966" s="485">
        <f>SIN(M965)</f>
        <v>0</v>
      </c>
      <c r="N966" s="489"/>
      <c r="O966" s="148"/>
      <c r="P966" s="485"/>
      <c r="Q966" s="460"/>
      <c r="R966" s="460"/>
      <c r="S966" s="447"/>
      <c r="V966" s="460" t="s">
        <v>167</v>
      </c>
      <c r="W966" s="485">
        <f>SIN(W965)</f>
        <v>0</v>
      </c>
      <c r="X966" s="489"/>
      <c r="Y966" s="148"/>
      <c r="Z966" s="485"/>
      <c r="AA966" s="460"/>
      <c r="AB966" s="460"/>
      <c r="AC966" s="447"/>
    </row>
    <row r="967" spans="1:29" s="444" customFormat="1" ht="12.3" x14ac:dyDescent="0.4">
      <c r="A967" s="447"/>
      <c r="B967" s="460" t="s">
        <v>166</v>
      </c>
      <c r="C967" s="485">
        <f>COS(C965)</f>
        <v>1</v>
      </c>
      <c r="D967" s="489"/>
      <c r="E967" s="460"/>
      <c r="F967" s="485"/>
      <c r="G967" s="460"/>
      <c r="H967" s="460"/>
      <c r="I967" s="447"/>
      <c r="L967" s="460" t="s">
        <v>166</v>
      </c>
      <c r="M967" s="485">
        <f>COS(M965)</f>
        <v>1</v>
      </c>
      <c r="N967" s="489"/>
      <c r="O967" s="460"/>
      <c r="P967" s="485"/>
      <c r="Q967" s="460"/>
      <c r="R967" s="460"/>
      <c r="S967" s="447"/>
      <c r="V967" s="460" t="s">
        <v>166</v>
      </c>
      <c r="W967" s="485">
        <f>COS(W965)</f>
        <v>1</v>
      </c>
      <c r="X967" s="489"/>
      <c r="Y967" s="460"/>
      <c r="Z967" s="485"/>
      <c r="AA967" s="460"/>
      <c r="AB967" s="460"/>
      <c r="AC967" s="447"/>
    </row>
    <row r="968" spans="1:29" s="444" customFormat="1" ht="12.3" x14ac:dyDescent="0.4">
      <c r="A968" s="447"/>
      <c r="B968" s="460" t="s">
        <v>165</v>
      </c>
      <c r="C968" s="491">
        <f>(1-C961)*TAN(E956)</f>
        <v>0</v>
      </c>
      <c r="D968" s="489"/>
      <c r="E968" s="460"/>
      <c r="F968" s="485"/>
      <c r="G968" s="460"/>
      <c r="H968" s="460"/>
      <c r="I968" s="447"/>
      <c r="L968" s="460" t="s">
        <v>165</v>
      </c>
      <c r="M968" s="491">
        <f>(1-M961)*TAN(O956)</f>
        <v>0</v>
      </c>
      <c r="N968" s="489"/>
      <c r="O968" s="460"/>
      <c r="P968" s="485"/>
      <c r="Q968" s="460"/>
      <c r="R968" s="460"/>
      <c r="S968" s="447"/>
      <c r="V968" s="460" t="s">
        <v>165</v>
      </c>
      <c r="W968" s="491">
        <f>(1-W961)*TAN(Y956)</f>
        <v>0</v>
      </c>
      <c r="X968" s="489"/>
      <c r="Y968" s="460"/>
      <c r="Z968" s="485"/>
      <c r="AA968" s="460"/>
      <c r="AB968" s="460"/>
      <c r="AC968" s="447"/>
    </row>
    <row r="969" spans="1:29" s="444" customFormat="1" ht="12.3" x14ac:dyDescent="0.4">
      <c r="A969" s="447"/>
      <c r="B969" s="460" t="s">
        <v>164</v>
      </c>
      <c r="C969" s="485">
        <f>ATAN(C968)</f>
        <v>0</v>
      </c>
      <c r="D969" s="489"/>
      <c r="E969" s="460"/>
      <c r="F969" s="485"/>
      <c r="G969" s="460"/>
      <c r="H969" s="460"/>
      <c r="I969" s="447"/>
      <c r="L969" s="460" t="s">
        <v>164</v>
      </c>
      <c r="M969" s="485">
        <f>ATAN(M968)</f>
        <v>0</v>
      </c>
      <c r="N969" s="489"/>
      <c r="O969" s="460"/>
      <c r="P969" s="485"/>
      <c r="Q969" s="460"/>
      <c r="R969" s="460"/>
      <c r="S969" s="447"/>
      <c r="V969" s="460" t="s">
        <v>164</v>
      </c>
      <c r="W969" s="485">
        <f>ATAN(W968)</f>
        <v>0</v>
      </c>
      <c r="X969" s="489"/>
      <c r="Y969" s="460"/>
      <c r="Z969" s="485"/>
      <c r="AA969" s="460"/>
      <c r="AB969" s="460"/>
      <c r="AC969" s="447"/>
    </row>
    <row r="970" spans="1:29" s="444" customFormat="1" ht="12.3" x14ac:dyDescent="0.4">
      <c r="A970" s="447"/>
      <c r="B970" s="460" t="s">
        <v>163</v>
      </c>
      <c r="C970" s="485">
        <f>SIN(C969)</f>
        <v>0</v>
      </c>
      <c r="D970" s="489"/>
      <c r="E970" s="460"/>
      <c r="F970" s="485"/>
      <c r="G970" s="460"/>
      <c r="H970" s="460"/>
      <c r="I970" s="447"/>
      <c r="L970" s="460" t="s">
        <v>163</v>
      </c>
      <c r="M970" s="485">
        <f>SIN(M969)</f>
        <v>0</v>
      </c>
      <c r="N970" s="489"/>
      <c r="O970" s="460"/>
      <c r="P970" s="485"/>
      <c r="Q970" s="460"/>
      <c r="R970" s="460"/>
      <c r="S970" s="447"/>
      <c r="V970" s="460" t="s">
        <v>163</v>
      </c>
      <c r="W970" s="485">
        <f>SIN(W969)</f>
        <v>0</v>
      </c>
      <c r="X970" s="489"/>
      <c r="Y970" s="460"/>
      <c r="Z970" s="485"/>
      <c r="AA970" s="460"/>
      <c r="AB970" s="460"/>
      <c r="AC970" s="447"/>
    </row>
    <row r="971" spans="1:29" s="444" customFormat="1" ht="12.3" x14ac:dyDescent="0.4">
      <c r="A971" s="447"/>
      <c r="B971" s="460" t="s">
        <v>162</v>
      </c>
      <c r="C971" s="485">
        <f>COS(C969)</f>
        <v>1</v>
      </c>
      <c r="D971" s="489"/>
      <c r="E971" s="460"/>
      <c r="F971" s="485"/>
      <c r="G971" s="460"/>
      <c r="H971" s="460"/>
      <c r="I971" s="447"/>
      <c r="L971" s="460" t="s">
        <v>162</v>
      </c>
      <c r="M971" s="485">
        <f>COS(M969)</f>
        <v>1</v>
      </c>
      <c r="N971" s="489"/>
      <c r="O971" s="460"/>
      <c r="P971" s="485"/>
      <c r="Q971" s="460"/>
      <c r="R971" s="460"/>
      <c r="S971" s="447"/>
      <c r="V971" s="460" t="s">
        <v>162</v>
      </c>
      <c r="W971" s="485">
        <f>COS(W969)</f>
        <v>1</v>
      </c>
      <c r="X971" s="489"/>
      <c r="Y971" s="460"/>
      <c r="Z971" s="485"/>
      <c r="AA971" s="460"/>
      <c r="AB971" s="460"/>
      <c r="AC971" s="447"/>
    </row>
    <row r="972" spans="1:29" s="444" customFormat="1" ht="12.3" x14ac:dyDescent="0.4">
      <c r="A972" s="447"/>
      <c r="B972" s="147" t="s">
        <v>161</v>
      </c>
      <c r="C972" s="485"/>
      <c r="D972" s="489"/>
      <c r="E972" s="460"/>
      <c r="F972" s="485"/>
      <c r="G972" s="460"/>
      <c r="H972" s="460"/>
      <c r="I972" s="447"/>
      <c r="L972" s="147" t="s">
        <v>161</v>
      </c>
      <c r="M972" s="485"/>
      <c r="N972" s="489"/>
      <c r="O972" s="460"/>
      <c r="P972" s="485"/>
      <c r="Q972" s="460"/>
      <c r="R972" s="460"/>
      <c r="S972" s="447"/>
      <c r="V972" s="147" t="s">
        <v>161</v>
      </c>
      <c r="W972" s="485"/>
      <c r="X972" s="489"/>
      <c r="Y972" s="460"/>
      <c r="Z972" s="485"/>
      <c r="AA972" s="460"/>
      <c r="AB972" s="460"/>
      <c r="AC972" s="447"/>
    </row>
    <row r="973" spans="1:29" s="444" customFormat="1" ht="12.3" x14ac:dyDescent="0.4">
      <c r="A973" s="447"/>
      <c r="B973" s="148" t="s">
        <v>144</v>
      </c>
      <c r="C973" s="485">
        <f>C962</f>
        <v>0</v>
      </c>
      <c r="D973" s="489"/>
      <c r="E973" s="485">
        <f ca="1">E996</f>
        <v>0</v>
      </c>
      <c r="F973" s="485"/>
      <c r="G973" s="460"/>
      <c r="H973" s="460"/>
      <c r="I973" s="447"/>
      <c r="L973" s="148" t="s">
        <v>144</v>
      </c>
      <c r="M973" s="485">
        <f>M962</f>
        <v>0</v>
      </c>
      <c r="N973" s="489"/>
      <c r="O973" s="485">
        <f ca="1">O996</f>
        <v>0</v>
      </c>
      <c r="P973" s="485"/>
      <c r="Q973" s="460"/>
      <c r="R973" s="460"/>
      <c r="S973" s="447"/>
      <c r="V973" s="148" t="s">
        <v>144</v>
      </c>
      <c r="W973" s="485">
        <f>W962</f>
        <v>0</v>
      </c>
      <c r="X973" s="489"/>
      <c r="Y973" s="485">
        <f ca="1">Y996</f>
        <v>0</v>
      </c>
      <c r="Z973" s="485"/>
      <c r="AA973" s="460"/>
      <c r="AB973" s="460"/>
      <c r="AC973" s="447"/>
    </row>
    <row r="974" spans="1:29" s="444" customFormat="1" ht="12.3" x14ac:dyDescent="0.4">
      <c r="A974" s="447"/>
      <c r="B974" s="147" t="s">
        <v>160</v>
      </c>
      <c r="C974" s="485"/>
      <c r="D974" s="489"/>
      <c r="E974" s="460"/>
      <c r="F974" s="485"/>
      <c r="G974" s="460"/>
      <c r="H974" s="460"/>
      <c r="I974" s="447"/>
      <c r="L974" s="147" t="s">
        <v>160</v>
      </c>
      <c r="M974" s="485"/>
      <c r="N974" s="489"/>
      <c r="O974" s="460"/>
      <c r="P974" s="485"/>
      <c r="Q974" s="460"/>
      <c r="R974" s="460"/>
      <c r="S974" s="447"/>
      <c r="V974" s="147" t="s">
        <v>160</v>
      </c>
      <c r="W974" s="485"/>
      <c r="X974" s="489"/>
      <c r="Y974" s="460"/>
      <c r="Z974" s="485"/>
      <c r="AA974" s="460"/>
      <c r="AB974" s="460"/>
      <c r="AC974" s="447"/>
    </row>
    <row r="975" spans="1:29" s="444" customFormat="1" ht="13.8" x14ac:dyDescent="0.4">
      <c r="A975" s="447"/>
      <c r="B975" s="460" t="s">
        <v>159</v>
      </c>
      <c r="C975" s="485">
        <f>(C971*SIN(C973)*C971*SIN(C973))+(C967*C970-C966*C971*COS(C973))*(C967*C970-C966*C971*COS(C973))</f>
        <v>0</v>
      </c>
      <c r="D975" s="489"/>
      <c r="E975" s="485">
        <f ca="1">(C971*SIN(E973)*C971*SIN(E973))+(C967*C970-C966*C971*COS(E973))*(C967*C970-C966*C971*COS(E973))</f>
        <v>0</v>
      </c>
      <c r="F975" s="485"/>
      <c r="G975" s="460"/>
      <c r="H975" s="460"/>
      <c r="I975" s="447"/>
      <c r="L975" s="460" t="s">
        <v>159</v>
      </c>
      <c r="M975" s="485">
        <f>(M971*SIN(M973)*M971*SIN(M973))+(M967*M970-M966*M971*COS(M973))*(M967*M970-M966*M971*COS(M973))</f>
        <v>0</v>
      </c>
      <c r="N975" s="489"/>
      <c r="O975" s="485">
        <f ca="1">(M971*SIN(O973)*M971*SIN(O973))+(M967*M970-M966*M971*COS(O973))*(M967*M970-M966*M971*COS(O973))</f>
        <v>0</v>
      </c>
      <c r="P975" s="485"/>
      <c r="Q975" s="460"/>
      <c r="R975" s="460"/>
      <c r="S975" s="447"/>
      <c r="V975" s="460" t="s">
        <v>159</v>
      </c>
      <c r="W975" s="485">
        <f>(W971*SIN(W973)*W971*SIN(W973))+(W967*W970-W966*W971*COS(W973))*(W967*W970-W966*W971*COS(W973))</f>
        <v>0</v>
      </c>
      <c r="X975" s="489"/>
      <c r="Y975" s="485">
        <f ca="1">(W971*SIN(Y973)*W971*SIN(Y973))+(W967*W970-W966*W971*COS(Y973))*(W967*W970-W966*W971*COS(Y973))</f>
        <v>0</v>
      </c>
      <c r="Z975" s="485"/>
      <c r="AA975" s="460"/>
      <c r="AB975" s="460"/>
      <c r="AC975" s="447"/>
    </row>
    <row r="976" spans="1:29" s="444" customFormat="1" ht="12.3" x14ac:dyDescent="0.4">
      <c r="A976" s="447"/>
      <c r="B976" s="154" t="s">
        <v>158</v>
      </c>
      <c r="C976" s="485"/>
      <c r="D976" s="489"/>
      <c r="E976" s="489"/>
      <c r="F976" s="485"/>
      <c r="G976" s="460"/>
      <c r="H976" s="460"/>
      <c r="I976" s="447"/>
      <c r="L976" s="154" t="s">
        <v>158</v>
      </c>
      <c r="M976" s="485"/>
      <c r="N976" s="489"/>
      <c r="O976" s="489"/>
      <c r="P976" s="485"/>
      <c r="Q976" s="460"/>
      <c r="R976" s="460"/>
      <c r="S976" s="447"/>
      <c r="V976" s="154" t="s">
        <v>158</v>
      </c>
      <c r="W976" s="485"/>
      <c r="X976" s="489"/>
      <c r="Y976" s="489"/>
      <c r="Z976" s="485"/>
      <c r="AA976" s="460"/>
      <c r="AB976" s="460"/>
      <c r="AC976" s="447"/>
    </row>
    <row r="977" spans="1:29" s="444" customFormat="1" ht="12.3" x14ac:dyDescent="0.4">
      <c r="A977" s="447"/>
      <c r="B977" s="447" t="s">
        <v>157</v>
      </c>
      <c r="C977" s="447">
        <f>(C966*C970)+(C967*C971*COS(C973))</f>
        <v>1</v>
      </c>
      <c r="D977" s="447"/>
      <c r="E977" s="447">
        <f ca="1">(C966*C970)+(C967*C971*COS(E973))</f>
        <v>1</v>
      </c>
      <c r="F977" s="447"/>
      <c r="G977" s="460"/>
      <c r="H977" s="460"/>
      <c r="I977" s="447"/>
      <c r="L977" s="447" t="s">
        <v>157</v>
      </c>
      <c r="M977" s="447">
        <f>(M966*M970)+(M967*M971*COS(M973))</f>
        <v>1</v>
      </c>
      <c r="N977" s="447"/>
      <c r="O977" s="447">
        <f ca="1">(M966*M970)+(M967*M971*COS(O973))</f>
        <v>1</v>
      </c>
      <c r="P977" s="447"/>
      <c r="Q977" s="460"/>
      <c r="R977" s="460"/>
      <c r="S977" s="447"/>
      <c r="V977" s="447" t="s">
        <v>157</v>
      </c>
      <c r="W977" s="447">
        <f>(W966*W970)+(W967*W971*COS(W973))</f>
        <v>1</v>
      </c>
      <c r="X977" s="447"/>
      <c r="Y977" s="447">
        <f ca="1">(W966*W970)+(W967*W971*COS(Y973))</f>
        <v>1</v>
      </c>
      <c r="Z977" s="447"/>
      <c r="AA977" s="460"/>
      <c r="AB977" s="460"/>
      <c r="AC977" s="447"/>
    </row>
    <row r="978" spans="1:29" s="444" customFormat="1" ht="12.3" x14ac:dyDescent="0.4">
      <c r="A978" s="447"/>
      <c r="B978" s="153" t="s">
        <v>156</v>
      </c>
      <c r="C978" s="489"/>
      <c r="D978" s="489"/>
      <c r="E978" s="489"/>
      <c r="F978" s="460"/>
      <c r="G978" s="460"/>
      <c r="H978" s="460"/>
      <c r="I978" s="447"/>
      <c r="L978" s="153" t="s">
        <v>156</v>
      </c>
      <c r="M978" s="489"/>
      <c r="N978" s="489"/>
      <c r="O978" s="489"/>
      <c r="P978" s="460"/>
      <c r="Q978" s="460"/>
      <c r="R978" s="460"/>
      <c r="S978" s="447"/>
      <c r="V978" s="153" t="s">
        <v>156</v>
      </c>
      <c r="W978" s="489"/>
      <c r="X978" s="489"/>
      <c r="Y978" s="489"/>
      <c r="Z978" s="460"/>
      <c r="AA978" s="460"/>
      <c r="AB978" s="460"/>
      <c r="AC978" s="447"/>
    </row>
    <row r="979" spans="1:29" s="444" customFormat="1" ht="12.3" x14ac:dyDescent="0.4">
      <c r="A979" s="447"/>
      <c r="B979" s="460" t="s">
        <v>155</v>
      </c>
      <c r="C979" s="485">
        <f>SQRT(C975)/C977</f>
        <v>0</v>
      </c>
      <c r="D979" s="489"/>
      <c r="E979" s="485">
        <f ca="1">SQRT(E975)/E977</f>
        <v>0</v>
      </c>
      <c r="F979" s="485"/>
      <c r="G979" s="447"/>
      <c r="H979" s="447"/>
      <c r="I979" s="492"/>
      <c r="L979" s="460" t="s">
        <v>155</v>
      </c>
      <c r="M979" s="485">
        <f>SQRT(M975)/M977</f>
        <v>0</v>
      </c>
      <c r="N979" s="489"/>
      <c r="O979" s="485">
        <f ca="1">SQRT(O975)/O977</f>
        <v>0</v>
      </c>
      <c r="P979" s="485"/>
      <c r="Q979" s="447"/>
      <c r="R979" s="447"/>
      <c r="S979" s="492"/>
      <c r="V979" s="460" t="s">
        <v>155</v>
      </c>
      <c r="W979" s="485">
        <f>SQRT(W975)/W977</f>
        <v>0</v>
      </c>
      <c r="X979" s="489"/>
      <c r="Y979" s="485">
        <f ca="1">SQRT(Y975)/Y977</f>
        <v>0</v>
      </c>
      <c r="Z979" s="485"/>
      <c r="AA979" s="447"/>
      <c r="AB979" s="447"/>
      <c r="AC979" s="492"/>
    </row>
    <row r="980" spans="1:29" s="444" customFormat="1" ht="12.3" x14ac:dyDescent="0.4">
      <c r="A980" s="447"/>
      <c r="B980" s="148" t="s">
        <v>142</v>
      </c>
      <c r="C980" s="485">
        <f>ATAN(C979)</f>
        <v>0</v>
      </c>
      <c r="D980" s="489"/>
      <c r="E980" s="485">
        <f ca="1">IF(ATAN(E979)&lt;0,ATAN(E979)+PI(),ATAN(E979))</f>
        <v>0</v>
      </c>
      <c r="F980" s="485"/>
      <c r="G980" s="447"/>
      <c r="H980" s="447"/>
      <c r="I980" s="492"/>
      <c r="L980" s="148" t="s">
        <v>142</v>
      </c>
      <c r="M980" s="485">
        <f>ATAN(M979)</f>
        <v>0</v>
      </c>
      <c r="N980" s="489"/>
      <c r="O980" s="485">
        <f ca="1">IF(ATAN(O979)&lt;0,ATAN(O979)+PI(),ATAN(O979))</f>
        <v>0</v>
      </c>
      <c r="P980" s="485"/>
      <c r="Q980" s="447"/>
      <c r="R980" s="447"/>
      <c r="S980" s="492"/>
      <c r="V980" s="148" t="s">
        <v>142</v>
      </c>
      <c r="W980" s="485">
        <f>ATAN(W979)</f>
        <v>0</v>
      </c>
      <c r="X980" s="489"/>
      <c r="Y980" s="485">
        <f ca="1">IF(ATAN(Y979)&lt;0,ATAN(Y979)+PI(),ATAN(Y979))</f>
        <v>0</v>
      </c>
      <c r="Z980" s="485"/>
      <c r="AA980" s="447"/>
      <c r="AB980" s="447"/>
      <c r="AC980" s="492"/>
    </row>
    <row r="981" spans="1:29" s="444" customFormat="1" ht="12.3" x14ac:dyDescent="0.4">
      <c r="A981" s="447"/>
      <c r="B981" s="147" t="s">
        <v>154</v>
      </c>
      <c r="C981" s="485"/>
      <c r="D981" s="489"/>
      <c r="E981" s="460"/>
      <c r="F981" s="485"/>
      <c r="G981" s="447"/>
      <c r="H981" s="447"/>
      <c r="I981" s="492"/>
      <c r="L981" s="147" t="s">
        <v>154</v>
      </c>
      <c r="M981" s="485"/>
      <c r="N981" s="489"/>
      <c r="O981" s="460"/>
      <c r="P981" s="485"/>
      <c r="Q981" s="447"/>
      <c r="R981" s="447"/>
      <c r="S981" s="492"/>
      <c r="V981" s="147" t="s">
        <v>154</v>
      </c>
      <c r="W981" s="485"/>
      <c r="X981" s="489"/>
      <c r="Y981" s="460"/>
      <c r="Z981" s="485"/>
      <c r="AA981" s="447"/>
      <c r="AB981" s="447"/>
      <c r="AC981" s="492"/>
    </row>
    <row r="982" spans="1:29" s="444" customFormat="1" ht="12.3" x14ac:dyDescent="0.4">
      <c r="A982" s="447"/>
      <c r="B982" s="460" t="s">
        <v>153</v>
      </c>
      <c r="C982" s="485">
        <f>IF(C975=0,0,C967*C971*SIN(C973)/SQRT(C975))</f>
        <v>0</v>
      </c>
      <c r="D982" s="489"/>
      <c r="E982" s="485">
        <f ca="1">IF(E975=0,0,C967*C971*SIN(E973)/SQRT(E975))</f>
        <v>0</v>
      </c>
      <c r="F982" s="485"/>
      <c r="G982" s="460"/>
      <c r="H982" s="460"/>
      <c r="I982" s="492"/>
      <c r="L982" s="460" t="s">
        <v>153</v>
      </c>
      <c r="M982" s="485">
        <f>IF(M975=0,0,M967*M971*SIN(M973)/SQRT(M975))</f>
        <v>0</v>
      </c>
      <c r="N982" s="489"/>
      <c r="O982" s="485">
        <f ca="1">IF(O975=0,0,M967*M971*SIN(O973)/SQRT(O975))</f>
        <v>0</v>
      </c>
      <c r="P982" s="485"/>
      <c r="Q982" s="460"/>
      <c r="R982" s="460"/>
      <c r="S982" s="492"/>
      <c r="V982" s="460" t="s">
        <v>153</v>
      </c>
      <c r="W982" s="485">
        <f>IF(W975=0,0,W967*W971*SIN(W973)/SQRT(W975))</f>
        <v>0</v>
      </c>
      <c r="X982" s="489"/>
      <c r="Y982" s="485">
        <f ca="1">IF(Y975=0,0,W967*W971*SIN(Y973)/SQRT(Y975))</f>
        <v>0</v>
      </c>
      <c r="Z982" s="485"/>
      <c r="AA982" s="460"/>
      <c r="AB982" s="460"/>
      <c r="AC982" s="492"/>
    </row>
    <row r="983" spans="1:29" s="444" customFormat="1" ht="12.3" x14ac:dyDescent="0.4">
      <c r="A983" s="447"/>
      <c r="B983" s="147" t="s">
        <v>152</v>
      </c>
      <c r="C983" s="485"/>
      <c r="D983" s="489"/>
      <c r="E983" s="489"/>
      <c r="F983" s="485"/>
      <c r="G983" s="460"/>
      <c r="H983" s="460"/>
      <c r="I983" s="447"/>
      <c r="L983" s="147" t="s">
        <v>152</v>
      </c>
      <c r="M983" s="485"/>
      <c r="N983" s="489"/>
      <c r="O983" s="489"/>
      <c r="P983" s="485"/>
      <c r="Q983" s="460"/>
      <c r="R983" s="460"/>
      <c r="S983" s="447"/>
      <c r="V983" s="147" t="s">
        <v>152</v>
      </c>
      <c r="W983" s="485"/>
      <c r="X983" s="489"/>
      <c r="Y983" s="489"/>
      <c r="Z983" s="485"/>
      <c r="AA983" s="460"/>
      <c r="AB983" s="460"/>
      <c r="AC983" s="447"/>
    </row>
    <row r="984" spans="1:29" s="444" customFormat="1" ht="16.2" x14ac:dyDescent="0.65">
      <c r="A984" s="447"/>
      <c r="B984" s="447" t="s">
        <v>416</v>
      </c>
      <c r="C984" s="447">
        <f>IF((COS(ASIN(C982))*COS(ASIN(C982)))=0,0,C977-2*C966*C970/(COS(ASIN(C982))*COS(ASIN(C982))))</f>
        <v>1</v>
      </c>
      <c r="D984" s="489"/>
      <c r="E984" s="447">
        <f ca="1">E977-2*C966*C970/(COS(ASIN(E982))*COS(ASIN(E982)))</f>
        <v>1</v>
      </c>
      <c r="F984" s="460"/>
      <c r="G984" s="460"/>
      <c r="H984" s="460"/>
      <c r="I984" s="447"/>
      <c r="L984" s="447" t="s">
        <v>416</v>
      </c>
      <c r="M984" s="447">
        <f>IF((COS(ASIN(M982))*COS(ASIN(M982)))=0,0,M977-2*M966*M970/(COS(ASIN(M982))*COS(ASIN(M982))))</f>
        <v>1</v>
      </c>
      <c r="N984" s="489"/>
      <c r="O984" s="447">
        <f ca="1">O977-2*M966*M970/(COS(ASIN(O982))*COS(ASIN(O982)))</f>
        <v>1</v>
      </c>
      <c r="P984" s="460"/>
      <c r="Q984" s="460"/>
      <c r="R984" s="460"/>
      <c r="S984" s="447"/>
      <c r="V984" s="447" t="s">
        <v>416</v>
      </c>
      <c r="W984" s="447">
        <f>IF((COS(ASIN(W982))*COS(ASIN(W982)))=0,0,W977-2*W966*W970/(COS(ASIN(W982))*COS(ASIN(W982))))</f>
        <v>1</v>
      </c>
      <c r="X984" s="489"/>
      <c r="Y984" s="447">
        <f ca="1">Y977-2*W966*W970/(COS(ASIN(Y982))*COS(ASIN(Y982)))</f>
        <v>1</v>
      </c>
      <c r="Z984" s="460"/>
      <c r="AA984" s="460"/>
      <c r="AB984" s="460"/>
      <c r="AC984" s="447"/>
    </row>
    <row r="985" spans="1:29" s="444" customFormat="1" ht="15.9" x14ac:dyDescent="0.45">
      <c r="A985" s="447"/>
      <c r="B985" s="447" t="s">
        <v>151</v>
      </c>
      <c r="C985" s="487">
        <f>COS(ASIN(C982))*COS(ASIN(C982))*(C959*C959-C960*C960)/(C960*C960)</f>
        <v>6.7394967422764341E-3</v>
      </c>
      <c r="D985" s="489"/>
      <c r="E985" s="487">
        <f ca="1">COS(ASIN(E982))*COS(ASIN(E982))*(C959*C959-C960*C960)/(C960*C960)</f>
        <v>6.7394967422764341E-3</v>
      </c>
      <c r="F985" s="447"/>
      <c r="G985" s="460"/>
      <c r="H985" s="460"/>
      <c r="I985" s="447"/>
      <c r="L985" s="447" t="s">
        <v>151</v>
      </c>
      <c r="M985" s="487">
        <f>COS(ASIN(M982))*COS(ASIN(M982))*(M959*M959-M960*M960)/(M960*M960)</f>
        <v>6.7394967422764341E-3</v>
      </c>
      <c r="N985" s="489"/>
      <c r="O985" s="487">
        <f ca="1">COS(ASIN(O982))*COS(ASIN(O982))*(M959*M959-M960*M960)/(M960*M960)</f>
        <v>6.7394967422764341E-3</v>
      </c>
      <c r="P985" s="447"/>
      <c r="Q985" s="460"/>
      <c r="R985" s="460"/>
      <c r="S985" s="447"/>
      <c r="V985" s="447" t="s">
        <v>151</v>
      </c>
      <c r="W985" s="487">
        <f>COS(ASIN(W982))*COS(ASIN(W982))*(W959*W959-W960*W960)/(W960*W960)</f>
        <v>6.7394967422764341E-3</v>
      </c>
      <c r="X985" s="489"/>
      <c r="Y985" s="487">
        <f ca="1">COS(ASIN(Y982))*COS(ASIN(Y982))*(W959*W959-W960*W960)/(W960*W960)</f>
        <v>6.7394967422764341E-3</v>
      </c>
      <c r="Z985" s="447"/>
      <c r="AA985" s="460"/>
      <c r="AB985" s="460"/>
      <c r="AC985" s="447"/>
    </row>
    <row r="986" spans="1:29" s="444" customFormat="1" ht="12.3" x14ac:dyDescent="0.4">
      <c r="A986" s="447"/>
      <c r="B986" s="152" t="s">
        <v>150</v>
      </c>
      <c r="C986" s="485"/>
      <c r="D986" s="489"/>
      <c r="E986" s="460"/>
      <c r="F986" s="485"/>
      <c r="G986" s="460"/>
      <c r="H986" s="460"/>
      <c r="I986" s="447"/>
      <c r="L986" s="152" t="s">
        <v>150</v>
      </c>
      <c r="M986" s="485"/>
      <c r="N986" s="489"/>
      <c r="O986" s="460"/>
      <c r="P986" s="485"/>
      <c r="Q986" s="460"/>
      <c r="R986" s="460"/>
      <c r="S986" s="447"/>
      <c r="V986" s="152" t="s">
        <v>150</v>
      </c>
      <c r="W986" s="485"/>
      <c r="X986" s="489"/>
      <c r="Y986" s="460"/>
      <c r="Z986" s="485"/>
      <c r="AA986" s="460"/>
      <c r="AB986" s="460"/>
      <c r="AC986" s="447"/>
    </row>
    <row r="987" spans="1:29" s="444" customFormat="1" ht="12.3" x14ac:dyDescent="0.4">
      <c r="A987" s="447"/>
      <c r="B987" s="460" t="s">
        <v>9</v>
      </c>
      <c r="C987" s="485">
        <f>1+C985/16384*(4096+C985*(-768+C985*(320-175*C985)))</f>
        <v>1.0016827510415456</v>
      </c>
      <c r="D987" s="489"/>
      <c r="E987" s="485">
        <f ca="1">1+E985/16384*(4096+E985*(-768+E985*(320-175*E985)))</f>
        <v>1.0016827510415456</v>
      </c>
      <c r="F987" s="485"/>
      <c r="G987" s="460"/>
      <c r="H987" s="460"/>
      <c r="I987" s="447"/>
      <c r="L987" s="460" t="s">
        <v>9</v>
      </c>
      <c r="M987" s="485">
        <f>1+M985/16384*(4096+M985*(-768+M985*(320-175*M985)))</f>
        <v>1.0016827510415456</v>
      </c>
      <c r="N987" s="489"/>
      <c r="O987" s="485">
        <f ca="1">1+O985/16384*(4096+O985*(-768+O985*(320-175*O985)))</f>
        <v>1.0016827510415456</v>
      </c>
      <c r="P987" s="485"/>
      <c r="Q987" s="460"/>
      <c r="R987" s="460"/>
      <c r="S987" s="447"/>
      <c r="V987" s="460" t="s">
        <v>9</v>
      </c>
      <c r="W987" s="485">
        <f>1+W985/16384*(4096+W985*(-768+W985*(320-175*W985)))</f>
        <v>1.0016827510415456</v>
      </c>
      <c r="X987" s="489"/>
      <c r="Y987" s="485">
        <f ca="1">1+Y985/16384*(4096+Y985*(-768+Y985*(320-175*Y985)))</f>
        <v>1.0016827510415456</v>
      </c>
      <c r="Z987" s="485"/>
      <c r="AA987" s="460"/>
      <c r="AB987" s="460"/>
      <c r="AC987" s="447"/>
    </row>
    <row r="988" spans="1:29" s="444" customFormat="1" ht="12.3" x14ac:dyDescent="0.4">
      <c r="A988" s="447"/>
      <c r="B988" s="147" t="s">
        <v>149</v>
      </c>
      <c r="C988" s="485"/>
      <c r="D988" s="489"/>
      <c r="E988" s="460"/>
      <c r="F988" s="485"/>
      <c r="G988" s="460"/>
      <c r="H988" s="460"/>
      <c r="I988" s="490"/>
      <c r="L988" s="147" t="s">
        <v>149</v>
      </c>
      <c r="M988" s="485"/>
      <c r="N988" s="489"/>
      <c r="O988" s="460"/>
      <c r="P988" s="485"/>
      <c r="Q988" s="460"/>
      <c r="R988" s="460"/>
      <c r="S988" s="490"/>
      <c r="V988" s="147" t="s">
        <v>149</v>
      </c>
      <c r="W988" s="485"/>
      <c r="X988" s="489"/>
      <c r="Y988" s="460"/>
      <c r="Z988" s="485"/>
      <c r="AA988" s="460"/>
      <c r="AB988" s="460"/>
      <c r="AC988" s="490"/>
    </row>
    <row r="989" spans="1:29" s="444" customFormat="1" ht="12.3" x14ac:dyDescent="0.4">
      <c r="A989" s="447"/>
      <c r="B989" s="460" t="s">
        <v>10</v>
      </c>
      <c r="C989" s="485">
        <f>C985/1024*(256+C985*(-128+C985*(74-47*C985)))</f>
        <v>1.6792186103152505E-3</v>
      </c>
      <c r="D989" s="489"/>
      <c r="E989" s="485">
        <f ca="1">E985/1024*(256+E985*(-128+E985*(74-47*E985)))</f>
        <v>1.6792186103152505E-3</v>
      </c>
      <c r="F989" s="485"/>
      <c r="G989" s="460"/>
      <c r="H989" s="460"/>
      <c r="I989" s="447"/>
      <c r="L989" s="460" t="s">
        <v>10</v>
      </c>
      <c r="M989" s="485">
        <f>M985/1024*(256+M985*(-128+M985*(74-47*M985)))</f>
        <v>1.6792186103152505E-3</v>
      </c>
      <c r="N989" s="489"/>
      <c r="O989" s="485">
        <f ca="1">O985/1024*(256+O985*(-128+O985*(74-47*O985)))</f>
        <v>1.6792186103152505E-3</v>
      </c>
      <c r="P989" s="485"/>
      <c r="Q989" s="460"/>
      <c r="R989" s="460"/>
      <c r="S989" s="447"/>
      <c r="V989" s="460" t="s">
        <v>10</v>
      </c>
      <c r="W989" s="485">
        <f>W985/1024*(256+W985*(-128+W985*(74-47*W985)))</f>
        <v>1.6792186103152505E-3</v>
      </c>
      <c r="X989" s="489"/>
      <c r="Y989" s="485">
        <f ca="1">Y985/1024*(256+Y985*(-128+Y985*(74-47*Y985)))</f>
        <v>1.6792186103152505E-3</v>
      </c>
      <c r="Z989" s="485"/>
      <c r="AA989" s="460"/>
      <c r="AB989" s="460"/>
      <c r="AC989" s="447"/>
    </row>
    <row r="990" spans="1:29" s="444" customFormat="1" ht="12.3" x14ac:dyDescent="0.4">
      <c r="A990" s="447"/>
      <c r="B990" s="147" t="s">
        <v>148</v>
      </c>
      <c r="C990" s="485"/>
      <c r="D990" s="489"/>
      <c r="E990" s="460"/>
      <c r="F990" s="485"/>
      <c r="G990" s="460"/>
      <c r="H990" s="460"/>
      <c r="I990" s="447"/>
      <c r="L990" s="147" t="s">
        <v>148</v>
      </c>
      <c r="M990" s="485"/>
      <c r="N990" s="489"/>
      <c r="O990" s="460"/>
      <c r="P990" s="485"/>
      <c r="Q990" s="460"/>
      <c r="R990" s="460"/>
      <c r="S990" s="447"/>
      <c r="V990" s="147" t="s">
        <v>148</v>
      </c>
      <c r="W990" s="485"/>
      <c r="X990" s="489"/>
      <c r="Y990" s="460"/>
      <c r="Z990" s="485"/>
      <c r="AA990" s="460"/>
      <c r="AB990" s="460"/>
      <c r="AC990" s="447"/>
    </row>
    <row r="991" spans="1:29" s="444" customFormat="1" ht="12.3" x14ac:dyDescent="0.4">
      <c r="A991" s="447"/>
      <c r="B991" s="148" t="s">
        <v>147</v>
      </c>
      <c r="C991" s="485">
        <f>C989*SQRT(C975)*(C984+C989/4*(C977*(-1+2*C984*C984)-C989/6*C984*(-3+4*C975)*(-3+4*C984*C984)))</f>
        <v>0</v>
      </c>
      <c r="D991" s="489"/>
      <c r="E991" s="485">
        <f ca="1">E989*SQRT(E975)*(E984+E989/4*(E977*(-1+2*E984*E984)-E989/6*E984*(-3+4*E975)*(-3+4*E984*E984)))</f>
        <v>0</v>
      </c>
      <c r="F991" s="485"/>
      <c r="G991" s="460"/>
      <c r="H991" s="460"/>
      <c r="I991" s="447"/>
      <c r="L991" s="148" t="s">
        <v>147</v>
      </c>
      <c r="M991" s="485">
        <f>M989*SQRT(M975)*(M984+M989/4*(M977*(-1+2*M984*M984)-M989/6*M984*(-3+4*M975)*(-3+4*M984*M984)))</f>
        <v>0</v>
      </c>
      <c r="N991" s="489"/>
      <c r="O991" s="485">
        <f ca="1">O989*SQRT(O975)*(O984+O989/4*(O977*(-1+2*O984*O984)-O989/6*O984*(-3+4*O975)*(-3+4*O984*O984)))</f>
        <v>0</v>
      </c>
      <c r="P991" s="485"/>
      <c r="Q991" s="460"/>
      <c r="R991" s="460"/>
      <c r="S991" s="447"/>
      <c r="V991" s="148" t="s">
        <v>147</v>
      </c>
      <c r="W991" s="485">
        <f>W989*SQRT(W975)*(W984+W989/4*(W977*(-1+2*W984*W984)-W989/6*W984*(-3+4*W975)*(-3+4*W984*W984)))</f>
        <v>0</v>
      </c>
      <c r="X991" s="489"/>
      <c r="Y991" s="485">
        <f ca="1">Y989*SQRT(Y975)*(Y984+Y989/4*(Y977*(-1+2*Y984*Y984)-Y989/6*Y984*(-3+4*Y975)*(-3+4*Y984*Y984)))</f>
        <v>0</v>
      </c>
      <c r="Z991" s="485"/>
      <c r="AA991" s="460"/>
      <c r="AB991" s="460"/>
      <c r="AC991" s="447"/>
    </row>
    <row r="992" spans="1:29" s="444" customFormat="1" ht="12.3" x14ac:dyDescent="0.4">
      <c r="A992" s="447"/>
      <c r="B992" s="460"/>
      <c r="C992" s="485"/>
      <c r="D992" s="489"/>
      <c r="E992" s="460"/>
      <c r="F992" s="485"/>
      <c r="G992" s="460"/>
      <c r="H992" s="460"/>
      <c r="I992" s="447"/>
      <c r="L992" s="460"/>
      <c r="M992" s="485"/>
      <c r="N992" s="489"/>
      <c r="O992" s="460"/>
      <c r="P992" s="485"/>
      <c r="Q992" s="460"/>
      <c r="R992" s="460"/>
      <c r="S992" s="447"/>
      <c r="V992" s="460"/>
      <c r="W992" s="485"/>
      <c r="X992" s="489"/>
      <c r="Y992" s="460"/>
      <c r="Z992" s="485"/>
      <c r="AA992" s="460"/>
      <c r="AB992" s="460"/>
      <c r="AC992" s="447"/>
    </row>
    <row r="993" spans="1:30" s="444" customFormat="1" ht="12.3" x14ac:dyDescent="0.4">
      <c r="A993" s="447"/>
      <c r="B993" s="147" t="s">
        <v>146</v>
      </c>
      <c r="C993" s="485"/>
      <c r="D993" s="494"/>
      <c r="E993" s="460"/>
      <c r="F993" s="485"/>
      <c r="G993" s="460"/>
      <c r="H993" s="460"/>
      <c r="I993" s="150"/>
      <c r="L993" s="147" t="s">
        <v>146</v>
      </c>
      <c r="M993" s="485"/>
      <c r="N993" s="494"/>
      <c r="O993" s="460"/>
      <c r="P993" s="485"/>
      <c r="Q993" s="460"/>
      <c r="R993" s="460"/>
      <c r="S993" s="150"/>
      <c r="V993" s="147" t="s">
        <v>146</v>
      </c>
      <c r="W993" s="485"/>
      <c r="X993" s="494"/>
      <c r="Y993" s="460"/>
      <c r="Z993" s="485"/>
      <c r="AA993" s="460"/>
      <c r="AB993" s="460"/>
      <c r="AC993" s="150"/>
    </row>
    <row r="994" spans="1:30" s="444" customFormat="1" ht="12.3" x14ac:dyDescent="0.4">
      <c r="A994" s="447"/>
      <c r="B994" s="460" t="s">
        <v>11</v>
      </c>
      <c r="C994" s="485">
        <f>C961/16*COS(ASIN(C982))*COS(ASIN(C982))*(4+C961*(4-3*COS(ASIN(C982))*COS(ASIN(C982))))</f>
        <v>8.389052498964728E-4</v>
      </c>
      <c r="D994" s="494"/>
      <c r="E994" s="485">
        <f ca="1">C961/16*COS(ASIN(E982))*COS(ASIN(E982))*(4+C961*(4-3*COS(ASIN(E982))*COS(ASIN(E982))))</f>
        <v>8.389052498964728E-4</v>
      </c>
      <c r="F994" s="485"/>
      <c r="G994" s="460"/>
      <c r="H994" s="460"/>
      <c r="I994" s="150"/>
      <c r="L994" s="460" t="s">
        <v>11</v>
      </c>
      <c r="M994" s="485">
        <f>M961/16*COS(ASIN(M982))*COS(ASIN(M982))*(4+M961*(4-3*COS(ASIN(M982))*COS(ASIN(M982))))</f>
        <v>8.389052498964728E-4</v>
      </c>
      <c r="N994" s="494"/>
      <c r="O994" s="485">
        <f ca="1">M961/16*COS(ASIN(O982))*COS(ASIN(O982))*(4+M961*(4-3*COS(ASIN(O982))*COS(ASIN(O982))))</f>
        <v>8.389052498964728E-4</v>
      </c>
      <c r="P994" s="485"/>
      <c r="Q994" s="460"/>
      <c r="R994" s="460"/>
      <c r="S994" s="150"/>
      <c r="V994" s="460" t="s">
        <v>11</v>
      </c>
      <c r="W994" s="485">
        <f>W961/16*COS(ASIN(W982))*COS(ASIN(W982))*(4+W961*(4-3*COS(ASIN(W982))*COS(ASIN(W982))))</f>
        <v>8.389052498964728E-4</v>
      </c>
      <c r="X994" s="494"/>
      <c r="Y994" s="485">
        <f ca="1">W961/16*COS(ASIN(Y982))*COS(ASIN(Y982))*(4+W961*(4-3*COS(ASIN(Y982))*COS(ASIN(Y982))))</f>
        <v>8.389052498964728E-4</v>
      </c>
      <c r="Z994" s="485"/>
      <c r="AA994" s="460"/>
      <c r="AB994" s="460"/>
      <c r="AC994" s="150"/>
    </row>
    <row r="995" spans="1:30" s="444" customFormat="1" ht="12.3" x14ac:dyDescent="0.4">
      <c r="A995" s="447"/>
      <c r="B995" s="147" t="s">
        <v>145</v>
      </c>
      <c r="C995" s="485"/>
      <c r="D995" s="494"/>
      <c r="E995" s="460">
        <f>C961+(1-E993)*C960*E981*(ACOS(E976)+E993*SIN(ACOS(E976))*(E983+E993*E976*(-1+2*E983*E983)))</f>
        <v>3.3528106647474801E-3</v>
      </c>
      <c r="F995" s="485"/>
      <c r="G995" s="460"/>
      <c r="H995" s="460"/>
      <c r="I995" s="150"/>
      <c r="L995" s="147" t="s">
        <v>145</v>
      </c>
      <c r="M995" s="485"/>
      <c r="N995" s="494"/>
      <c r="O995" s="460"/>
      <c r="P995" s="485"/>
      <c r="Q995" s="460"/>
      <c r="R995" s="460"/>
      <c r="S995" s="150"/>
      <c r="V995" s="147" t="s">
        <v>145</v>
      </c>
      <c r="W995" s="485"/>
      <c r="X995" s="494"/>
      <c r="Y995" s="460"/>
      <c r="Z995" s="485"/>
      <c r="AA995" s="460"/>
      <c r="AB995" s="460"/>
      <c r="AC995" s="150"/>
    </row>
    <row r="996" spans="1:30" s="444" customFormat="1" ht="12.3" x14ac:dyDescent="0.4">
      <c r="A996" s="447"/>
      <c r="B996" s="151" t="s">
        <v>144</v>
      </c>
      <c r="C996" s="485">
        <f>C962+(1-C994)*C961*C982*(ACOS(C977)+C994*SIN(ACOS(C977))*(C984+C994*C977*(-1+2*C984*C984)))</f>
        <v>0</v>
      </c>
      <c r="D996" s="494"/>
      <c r="E996" s="511">
        <f ca="1">C962+(1-E994)*C961*E982*(ACOS(E977)+E994*SIN(ACOS(E977))*(E984+E994*E977*(-1+2*E984*E984)))</f>
        <v>0</v>
      </c>
      <c r="F996" s="485"/>
      <c r="G996" s="460"/>
      <c r="H996" s="460"/>
      <c r="I996" s="150"/>
      <c r="L996" s="151" t="s">
        <v>144</v>
      </c>
      <c r="M996" s="485">
        <f>M962+(1-M994)*M961*M982*(ACOS(M977)+M994*SIN(ACOS(M977))*(M984+M994*M977*(-1+2*M984*M984)))</f>
        <v>0</v>
      </c>
      <c r="N996" s="494"/>
      <c r="O996" s="511">
        <f ca="1">M962+(1-O994)*M961*O982*(ACOS(O977)+O994*SIN(ACOS(O977))*(O984+O994*O977*(-1+2*O984*O984)))</f>
        <v>0</v>
      </c>
      <c r="P996" s="485"/>
      <c r="Q996" s="460"/>
      <c r="R996" s="460"/>
      <c r="S996" s="150"/>
      <c r="V996" s="151" t="s">
        <v>144</v>
      </c>
      <c r="W996" s="485">
        <f>W962+(1-W994)*W961*W982*(ACOS(W977)+W994*SIN(ACOS(W977))*(W984+W994*W977*(-1+2*W984*W984)))</f>
        <v>0</v>
      </c>
      <c r="X996" s="494"/>
      <c r="Y996" s="511">
        <f ca="1">W962+(1-Y994)*W961*Y982*(ACOS(Y977)+Y994*SIN(ACOS(Y977))*(Y984+Y994*Y977*(-1+2*Y984*Y984)))</f>
        <v>0</v>
      </c>
      <c r="Z996" s="485"/>
      <c r="AA996" s="460"/>
      <c r="AB996" s="460"/>
      <c r="AC996" s="150"/>
    </row>
    <row r="997" spans="1:30" s="444" customFormat="1" ht="12.3" x14ac:dyDescent="0.4">
      <c r="A997" s="447"/>
      <c r="B997" s="149" t="s">
        <v>143</v>
      </c>
      <c r="C997" s="485"/>
      <c r="D997" s="494"/>
      <c r="E997" s="148"/>
      <c r="F997" s="485"/>
      <c r="G997" s="460"/>
      <c r="H997" s="460"/>
      <c r="I997" s="496"/>
      <c r="L997" s="149" t="s">
        <v>143</v>
      </c>
      <c r="M997" s="485"/>
      <c r="N997" s="494"/>
      <c r="O997" s="148"/>
      <c r="P997" s="485"/>
      <c r="Q997" s="460"/>
      <c r="R997" s="460"/>
      <c r="S997" s="496"/>
      <c r="V997" s="149" t="s">
        <v>143</v>
      </c>
      <c r="W997" s="485"/>
      <c r="X997" s="494"/>
      <c r="Y997" s="148"/>
      <c r="Z997" s="485"/>
      <c r="AA997" s="460"/>
      <c r="AB997" s="460"/>
      <c r="AC997" s="496"/>
    </row>
    <row r="998" spans="1:30" s="444" customFormat="1" ht="12.3" x14ac:dyDescent="0.4">
      <c r="A998" s="447"/>
      <c r="B998" s="460" t="s">
        <v>142</v>
      </c>
      <c r="C998" s="485">
        <f>IF(B1013="samepoint",0,C960*C987*(ATAN(C979)-C991))</f>
        <v>0</v>
      </c>
      <c r="D998" s="494"/>
      <c r="E998" s="485">
        <f>IF(B1013="samepoint",0,C960*E987*(E980-E991))</f>
        <v>0</v>
      </c>
      <c r="F998" s="460"/>
      <c r="G998" s="460"/>
      <c r="H998" s="460"/>
      <c r="I998" s="496"/>
      <c r="L998" s="460" t="s">
        <v>142</v>
      </c>
      <c r="M998" s="485">
        <f>IF(L1013="samepoint",0,M960*M987*(ATAN(M979)-M991))</f>
        <v>0</v>
      </c>
      <c r="N998" s="494"/>
      <c r="O998" s="485">
        <f>IF(L1013="samepoint",0,M960*O987*(O980-O991))</f>
        <v>0</v>
      </c>
      <c r="P998" s="460"/>
      <c r="Q998" s="460"/>
      <c r="R998" s="460"/>
      <c r="S998" s="496"/>
      <c r="V998" s="460" t="s">
        <v>142</v>
      </c>
      <c r="W998" s="485">
        <f>IF(V1013="samepoint",0,W960*W987*(ATAN(W979)-W991))</f>
        <v>0</v>
      </c>
      <c r="X998" s="494"/>
      <c r="Y998" s="485">
        <f>IF(V1013="samepoint",0,W960*Y987*(Y980-Y991))</f>
        <v>0</v>
      </c>
      <c r="Z998" s="460"/>
      <c r="AA998" s="460"/>
      <c r="AB998" s="460"/>
      <c r="AC998" s="496"/>
    </row>
    <row r="999" spans="1:30" s="444" customFormat="1" ht="12.3" x14ac:dyDescent="0.4">
      <c r="A999" s="447"/>
      <c r="B999" s="147" t="s">
        <v>141</v>
      </c>
      <c r="C999" s="485"/>
      <c r="D999" s="494"/>
      <c r="E999" s="485"/>
      <c r="F999" s="460"/>
      <c r="G999" s="460"/>
      <c r="H999" s="460"/>
      <c r="I999" s="496"/>
      <c r="L999" s="147" t="s">
        <v>141</v>
      </c>
      <c r="M999" s="485"/>
      <c r="N999" s="494"/>
      <c r="O999" s="485"/>
      <c r="P999" s="460"/>
      <c r="Q999" s="460"/>
      <c r="R999" s="460"/>
      <c r="S999" s="496"/>
      <c r="V999" s="147" t="s">
        <v>141</v>
      </c>
      <c r="W999" s="485"/>
      <c r="X999" s="494"/>
      <c r="Y999" s="485"/>
      <c r="Z999" s="460"/>
      <c r="AA999" s="460"/>
      <c r="AB999" s="460"/>
      <c r="AC999" s="496"/>
    </row>
    <row r="1000" spans="1:30" s="444" customFormat="1" ht="16.2" x14ac:dyDescent="0.65">
      <c r="A1000" s="447"/>
      <c r="B1000" s="460" t="s">
        <v>140</v>
      </c>
      <c r="C1000" s="485"/>
      <c r="D1000" s="494"/>
      <c r="E1000" s="485" t="e">
        <f ca="1">C971*SIN(E996)/(C967*C970-C966*C971*COS(E996))</f>
        <v>#DIV/0!</v>
      </c>
      <c r="F1000" s="460"/>
      <c r="G1000" s="460"/>
      <c r="H1000" s="460"/>
      <c r="I1000" s="496"/>
      <c r="L1000" s="460" t="s">
        <v>140</v>
      </c>
      <c r="M1000" s="485"/>
      <c r="N1000" s="494"/>
      <c r="O1000" s="485" t="e">
        <f ca="1">M971*SIN(O996)/(M967*M970-M966*M971*COS(O996))</f>
        <v>#DIV/0!</v>
      </c>
      <c r="P1000" s="460"/>
      <c r="Q1000" s="460"/>
      <c r="R1000" s="460"/>
      <c r="S1000" s="496"/>
      <c r="V1000" s="460" t="s">
        <v>140</v>
      </c>
      <c r="W1000" s="485"/>
      <c r="X1000" s="494"/>
      <c r="Y1000" s="485" t="e">
        <f ca="1">W971*SIN(Y996)/(W967*W970-W966*W971*COS(Y996))</f>
        <v>#DIV/0!</v>
      </c>
      <c r="Z1000" s="460"/>
      <c r="AA1000" s="460"/>
      <c r="AB1000" s="460"/>
      <c r="AC1000" s="496"/>
    </row>
    <row r="1001" spans="1:30" s="444" customFormat="1" ht="12.3" x14ac:dyDescent="0.4">
      <c r="A1001" s="447"/>
      <c r="B1001" s="147" t="s">
        <v>139</v>
      </c>
      <c r="C1001" s="485"/>
      <c r="D1001" s="494"/>
      <c r="E1001" s="485"/>
      <c r="F1001" s="460"/>
      <c r="G1001" s="460"/>
      <c r="H1001" s="460"/>
      <c r="I1001" s="496"/>
      <c r="L1001" s="147" t="s">
        <v>139</v>
      </c>
      <c r="M1001" s="485"/>
      <c r="N1001" s="494"/>
      <c r="O1001" s="485"/>
      <c r="P1001" s="460"/>
      <c r="Q1001" s="460"/>
      <c r="R1001" s="460"/>
      <c r="S1001" s="496"/>
      <c r="V1001" s="147" t="s">
        <v>139</v>
      </c>
      <c r="W1001" s="485"/>
      <c r="X1001" s="494"/>
      <c r="Y1001" s="485"/>
      <c r="Z1001" s="460"/>
      <c r="AA1001" s="460"/>
      <c r="AB1001" s="460"/>
      <c r="AC1001" s="496"/>
    </row>
    <row r="1002" spans="1:30" s="444" customFormat="1" ht="16.8" x14ac:dyDescent="0.7">
      <c r="A1002" s="447"/>
      <c r="B1002" s="460" t="s">
        <v>138</v>
      </c>
      <c r="C1002" s="485"/>
      <c r="D1002" s="494"/>
      <c r="E1002" s="485" t="e">
        <f>C967*SIN(C996)/(-C966*C971+C967*C970*COS(C996))</f>
        <v>#DIV/0!</v>
      </c>
      <c r="F1002" s="460"/>
      <c r="G1002" s="460"/>
      <c r="H1002" s="460"/>
      <c r="I1002" s="496"/>
      <c r="L1002" s="460" t="s">
        <v>138</v>
      </c>
      <c r="M1002" s="485"/>
      <c r="N1002" s="494"/>
      <c r="O1002" s="485" t="e">
        <f>M967*SIN(M996)/(-M966*M971+M967*M970*COS(M996))</f>
        <v>#DIV/0!</v>
      </c>
      <c r="P1002" s="460"/>
      <c r="Q1002" s="460"/>
      <c r="R1002" s="460"/>
      <c r="S1002" s="496"/>
      <c r="V1002" s="460" t="s">
        <v>138</v>
      </c>
      <c r="W1002" s="485"/>
      <c r="X1002" s="494"/>
      <c r="Y1002" s="485" t="e">
        <f>W967*SIN(W996)/(-W966*W971+W967*W970*COS(W996))</f>
        <v>#DIV/0!</v>
      </c>
      <c r="Z1002" s="460"/>
      <c r="AA1002" s="460"/>
      <c r="AB1002" s="460"/>
      <c r="AC1002" s="496"/>
    </row>
    <row r="1003" spans="1:30" s="444" customFormat="1" ht="12.3" x14ac:dyDescent="0.4">
      <c r="A1003" s="447"/>
      <c r="B1003" s="460"/>
      <c r="C1003" s="485"/>
      <c r="D1003" s="494"/>
      <c r="E1003" s="460"/>
      <c r="F1003" s="485"/>
      <c r="G1003" s="460"/>
      <c r="H1003" s="460"/>
      <c r="I1003" s="496"/>
      <c r="L1003" s="460"/>
      <c r="M1003" s="485"/>
      <c r="N1003" s="494"/>
      <c r="O1003" s="460"/>
      <c r="P1003" s="485"/>
      <c r="Q1003" s="460"/>
      <c r="R1003" s="460"/>
      <c r="S1003" s="496"/>
      <c r="V1003" s="460"/>
      <c r="W1003" s="485"/>
      <c r="X1003" s="494"/>
      <c r="Y1003" s="460"/>
      <c r="Z1003" s="485"/>
      <c r="AA1003" s="460"/>
      <c r="AB1003" s="460"/>
      <c r="AC1003" s="496"/>
    </row>
    <row r="1004" spans="1:30" s="444" customFormat="1" ht="12.3" x14ac:dyDescent="0.4">
      <c r="A1004" s="447"/>
      <c r="B1004" s="460"/>
      <c r="C1004" s="497"/>
      <c r="D1004" s="447"/>
      <c r="E1004" s="460"/>
      <c r="F1004" s="485"/>
      <c r="G1004" s="460"/>
      <c r="H1004" s="460"/>
      <c r="I1004" s="496"/>
      <c r="L1004" s="460"/>
      <c r="M1004" s="497"/>
      <c r="N1004" s="447"/>
      <c r="O1004" s="460"/>
      <c r="P1004" s="485"/>
      <c r="Q1004" s="460"/>
      <c r="R1004" s="460"/>
      <c r="S1004" s="496"/>
      <c r="V1004" s="460"/>
      <c r="W1004" s="497"/>
      <c r="X1004" s="447"/>
      <c r="Y1004" s="460"/>
      <c r="Z1004" s="485"/>
      <c r="AA1004" s="460"/>
      <c r="AB1004" s="460"/>
      <c r="AC1004" s="496"/>
    </row>
    <row r="1005" spans="1:30" s="444" customFormat="1" ht="12.3" x14ac:dyDescent="0.4">
      <c r="A1005" s="447"/>
      <c r="B1005" s="460"/>
      <c r="C1005" s="460"/>
      <c r="D1005" s="447"/>
      <c r="E1005" s="489"/>
      <c r="F1005" s="494"/>
      <c r="G1005" s="460"/>
      <c r="H1005" s="460"/>
      <c r="I1005" s="496"/>
      <c r="L1005" s="460"/>
      <c r="M1005" s="460"/>
      <c r="N1005" s="447"/>
      <c r="O1005" s="489"/>
      <c r="P1005" s="494"/>
      <c r="Q1005" s="460"/>
      <c r="R1005" s="460"/>
      <c r="S1005" s="496"/>
      <c r="V1005" s="460"/>
      <c r="W1005" s="460"/>
      <c r="X1005" s="447"/>
      <c r="Y1005" s="489"/>
      <c r="Z1005" s="494"/>
      <c r="AA1005" s="460"/>
      <c r="AB1005" s="460"/>
      <c r="AC1005" s="496"/>
    </row>
    <row r="1006" spans="1:30" s="444" customFormat="1" ht="12.3" x14ac:dyDescent="0.4">
      <c r="A1006" s="447"/>
      <c r="B1006" s="146" t="s">
        <v>137</v>
      </c>
      <c r="C1006" s="146"/>
      <c r="D1006" s="489"/>
      <c r="E1006" s="146" t="s">
        <v>136</v>
      </c>
      <c r="F1006" s="146"/>
      <c r="G1006" s="460"/>
      <c r="H1006" s="460"/>
      <c r="I1006" s="496"/>
      <c r="L1006" s="146" t="s">
        <v>137</v>
      </c>
      <c r="M1006" s="146"/>
      <c r="N1006" s="489"/>
      <c r="O1006" s="146" t="s">
        <v>136</v>
      </c>
      <c r="P1006" s="146"/>
      <c r="Q1006" s="460"/>
      <c r="R1006" s="460"/>
      <c r="S1006" s="496"/>
      <c r="V1006" s="146" t="s">
        <v>137</v>
      </c>
      <c r="W1006" s="146"/>
      <c r="X1006" s="489"/>
      <c r="Y1006" s="146" t="s">
        <v>136</v>
      </c>
      <c r="Z1006" s="146"/>
      <c r="AA1006" s="460"/>
      <c r="AB1006" s="460"/>
      <c r="AC1006" s="496"/>
    </row>
    <row r="1007" spans="1:30" s="444" customFormat="1" ht="14.7" x14ac:dyDescent="0.6">
      <c r="A1007" s="447"/>
      <c r="B1007" s="145" t="s">
        <v>417</v>
      </c>
      <c r="C1007" s="485" t="e">
        <f ca="1">ATAN(E1000)</f>
        <v>#DIV/0!</v>
      </c>
      <c r="D1007" s="447"/>
      <c r="E1007" s="145" t="s">
        <v>418</v>
      </c>
      <c r="F1007" s="485" t="e">
        <f>ATAN(E1002)</f>
        <v>#DIV/0!</v>
      </c>
      <c r="G1007" s="460"/>
      <c r="H1007" s="460"/>
      <c r="I1007" s="496" t="e">
        <f>ATAN2(E956-E954,E957-E955)*180/PI()</f>
        <v>#DIV/0!</v>
      </c>
      <c r="J1007" s="496" t="e">
        <f>ATAN2(E954-E956,E955-E957)*180/PI()</f>
        <v>#DIV/0!</v>
      </c>
      <c r="L1007" s="145" t="s">
        <v>417</v>
      </c>
      <c r="M1007" s="485" t="e">
        <f ca="1">ATAN(O1000)</f>
        <v>#DIV/0!</v>
      </c>
      <c r="N1007" s="447"/>
      <c r="O1007" s="145" t="s">
        <v>418</v>
      </c>
      <c r="P1007" s="485" t="e">
        <f>ATAN(O1002)</f>
        <v>#DIV/0!</v>
      </c>
      <c r="Q1007" s="460"/>
      <c r="R1007" s="460"/>
      <c r="S1007" s="496" t="e">
        <f>ATAN2(O956-O954,O957-O955)*180/PI()</f>
        <v>#DIV/0!</v>
      </c>
      <c r="T1007" s="496" t="e">
        <f>ATAN2(O954-O956,O955-O957)*180/PI()</f>
        <v>#DIV/0!</v>
      </c>
      <c r="V1007" s="145" t="s">
        <v>417</v>
      </c>
      <c r="W1007" s="485" t="e">
        <f ca="1">ATAN(Y1000)</f>
        <v>#DIV/0!</v>
      </c>
      <c r="X1007" s="447"/>
      <c r="Y1007" s="145" t="s">
        <v>418</v>
      </c>
      <c r="Z1007" s="485" t="e">
        <f>ATAN(Y1002)</f>
        <v>#DIV/0!</v>
      </c>
      <c r="AA1007" s="460"/>
      <c r="AB1007" s="460"/>
      <c r="AC1007" s="496" t="e">
        <f>ATAN2(Y956-Y954,Y957-Y955)*180/PI()</f>
        <v>#DIV/0!</v>
      </c>
      <c r="AD1007" s="496" t="e">
        <f>ATAN2(Y954-Y956,Y955-Y957)*180/PI()</f>
        <v>#DIV/0!</v>
      </c>
    </row>
    <row r="1008" spans="1:30" s="444" customFormat="1" ht="14.7" x14ac:dyDescent="0.6">
      <c r="A1008" s="447"/>
      <c r="B1008" s="145" t="s">
        <v>419</v>
      </c>
      <c r="C1008" s="485" t="e">
        <f ca="1">(C1007/PI())*180+360</f>
        <v>#DIV/0!</v>
      </c>
      <c r="D1008" s="447"/>
      <c r="E1008" s="145" t="s">
        <v>420</v>
      </c>
      <c r="F1008" s="485" t="e">
        <f>(F1007/PI())*180+180</f>
        <v>#DIV/0!</v>
      </c>
      <c r="G1008" s="460"/>
      <c r="H1008" s="460"/>
      <c r="I1008" s="496" t="e">
        <f>IF(I1007&lt;0,C1007*180/PI()+360,C1007*180/PI())</f>
        <v>#DIV/0!</v>
      </c>
      <c r="J1008" s="498" t="e">
        <f>IF(J1007&gt;0,F1007*180/PI()+180,F1007*180/PI())</f>
        <v>#DIV/0!</v>
      </c>
      <c r="L1008" s="145" t="s">
        <v>419</v>
      </c>
      <c r="M1008" s="485" t="e">
        <f ca="1">(M1007/PI())*180+360</f>
        <v>#DIV/0!</v>
      </c>
      <c r="N1008" s="447"/>
      <c r="O1008" s="145" t="s">
        <v>420</v>
      </c>
      <c r="P1008" s="485" t="e">
        <f>(P1007/PI())*180+180</f>
        <v>#DIV/0!</v>
      </c>
      <c r="Q1008" s="460"/>
      <c r="R1008" s="460"/>
      <c r="S1008" s="496" t="e">
        <f>IF(S1007&lt;0,M1007*180/PI()+360,M1007*180/PI())</f>
        <v>#DIV/0!</v>
      </c>
      <c r="T1008" s="498" t="e">
        <f>IF(T1007&gt;0,P1007*180/PI()+180,P1007*180/PI())</f>
        <v>#DIV/0!</v>
      </c>
      <c r="V1008" s="145" t="s">
        <v>419</v>
      </c>
      <c r="W1008" s="485" t="e">
        <f ca="1">(W1007/PI())*180+360</f>
        <v>#DIV/0!</v>
      </c>
      <c r="X1008" s="447"/>
      <c r="Y1008" s="145" t="s">
        <v>420</v>
      </c>
      <c r="Z1008" s="485" t="e">
        <f>(Z1007/PI())*180+180</f>
        <v>#DIV/0!</v>
      </c>
      <c r="AA1008" s="460"/>
      <c r="AB1008" s="460"/>
      <c r="AC1008" s="496" t="e">
        <f>IF(AC1007&lt;0,W1007*180/PI()+360,W1007*180/PI())</f>
        <v>#DIV/0!</v>
      </c>
      <c r="AD1008" s="498" t="e">
        <f>IF(AD1007&gt;0,Z1007*180/PI()+180,Z1007*180/PI())</f>
        <v>#DIV/0!</v>
      </c>
    </row>
    <row r="1009" spans="1:30" s="444" customFormat="1" ht="14.7" x14ac:dyDescent="0.6">
      <c r="A1009" s="447"/>
      <c r="B1009" s="145" t="s">
        <v>419</v>
      </c>
      <c r="C1009" s="485" t="e">
        <f ca="1">IF(C1008&gt;=360,C1008-360,C1008)</f>
        <v>#DIV/0!</v>
      </c>
      <c r="D1009" s="447"/>
      <c r="E1009" s="145" t="s">
        <v>420</v>
      </c>
      <c r="F1009" s="485" t="e">
        <f>IF(F1008&gt;=360,F1008-360,F1008)</f>
        <v>#DIV/0!</v>
      </c>
      <c r="G1009" s="460"/>
      <c r="H1009" s="460"/>
      <c r="I1009" s="496" t="e">
        <f ca="1">ATAN2((C967*C970-C966*C971*COS(E996)),C971*SIN(E996))</f>
        <v>#DIV/0!</v>
      </c>
      <c r="J1009" s="485" t="e">
        <f ca="1">ATAN2((-C966*C971+C967*C970*COS(E996)),C967*SIN(E996))</f>
        <v>#DIV/0!</v>
      </c>
      <c r="L1009" s="145" t="s">
        <v>419</v>
      </c>
      <c r="M1009" s="485" t="e">
        <f ca="1">IF(M1008&gt;=360,M1008-360,M1008)</f>
        <v>#DIV/0!</v>
      </c>
      <c r="N1009" s="447"/>
      <c r="O1009" s="145" t="s">
        <v>420</v>
      </c>
      <c r="P1009" s="485" t="e">
        <f>IF(P1008&gt;=360,P1008-360,P1008)</f>
        <v>#DIV/0!</v>
      </c>
      <c r="Q1009" s="460"/>
      <c r="R1009" s="460"/>
      <c r="S1009" s="496" t="e">
        <f ca="1">ATAN2((M967*M970-M966*M971*COS(O996)),M971*SIN(O996))</f>
        <v>#DIV/0!</v>
      </c>
      <c r="T1009" s="485" t="e">
        <f ca="1">ATAN2((-M966*M971+M967*M970*COS(O996)),M967*SIN(O996))</f>
        <v>#DIV/0!</v>
      </c>
      <c r="V1009" s="145" t="s">
        <v>419</v>
      </c>
      <c r="W1009" s="485" t="e">
        <f ca="1">IF(W1008&gt;=360,W1008-360,W1008)</f>
        <v>#DIV/0!</v>
      </c>
      <c r="X1009" s="447"/>
      <c r="Y1009" s="145" t="s">
        <v>420</v>
      </c>
      <c r="Z1009" s="485" t="e">
        <f>IF(Z1008&gt;=360,Z1008-360,Z1008)</f>
        <v>#DIV/0!</v>
      </c>
      <c r="AA1009" s="460"/>
      <c r="AB1009" s="460"/>
      <c r="AC1009" s="496" t="e">
        <f ca="1">ATAN2((W967*W970-W966*W971*COS(Y996)),W971*SIN(Y996))</f>
        <v>#DIV/0!</v>
      </c>
      <c r="AD1009" s="485" t="e">
        <f ca="1">ATAN2((-W966*W971+W967*W970*COS(Y996)),W967*SIN(Y996))</f>
        <v>#DIV/0!</v>
      </c>
    </row>
    <row r="1010" spans="1:30" s="444" customFormat="1" ht="14.7" x14ac:dyDescent="0.6">
      <c r="A1010" s="447"/>
      <c r="B1010" s="145" t="s">
        <v>419</v>
      </c>
      <c r="C1010" s="485">
        <f>IF(B1013="samepoint",0,IF(B1014="northsouth",0,IF(B1015="southnorth",180,C1009)))</f>
        <v>0</v>
      </c>
      <c r="D1010" s="447"/>
      <c r="E1010" s="145" t="s">
        <v>420</v>
      </c>
      <c r="F1010" s="485">
        <f>IF(B1013="samepoint",0,IF(B1014="northsouth",180,IF(B1015="southnorth",0,F1009)))</f>
        <v>0</v>
      </c>
      <c r="G1010" s="447"/>
      <c r="H1010" s="447"/>
      <c r="I1010" s="485">
        <f>IF(B1013="samepoint",0,IF(B1014="northsouth",0,IF(B1015="southnorth",180,IF(I1009&lt;0,I1009*180/PI()+360,I1009*180/PI()))))</f>
        <v>0</v>
      </c>
      <c r="J1010" s="485">
        <f>IF(B1013="samepoint",0,IF(B1014="northsouth",180,IF(B1015="southnorth",0,J1009*180/PI()+180)))</f>
        <v>0</v>
      </c>
      <c r="L1010" s="145" t="s">
        <v>419</v>
      </c>
      <c r="M1010" s="485">
        <f>IF(L1013="samepoint",0,IF(L1014="northsouth",0,IF(L1015="southnorth",180,M1009)))</f>
        <v>0</v>
      </c>
      <c r="N1010" s="447"/>
      <c r="O1010" s="145" t="s">
        <v>420</v>
      </c>
      <c r="P1010" s="485">
        <f>IF(L1013="samepoint",0,IF(L1014="northsouth",180,IF(L1015="southnorth",0,P1009)))</f>
        <v>0</v>
      </c>
      <c r="Q1010" s="447"/>
      <c r="R1010" s="447"/>
      <c r="S1010" s="485">
        <f>IF(L1013="samepoint",0,IF(L1014="northsouth",0,IF(L1015="southnorth",180,IF(S1009&lt;0,S1009*180/PI()+360,S1009*180/PI()))))</f>
        <v>0</v>
      </c>
      <c r="T1010" s="485">
        <f>IF(L1013="samepoint",0,IF(L1014="northsouth",180,IF(L1015="southnorth",0,T1009*180/PI()+180)))</f>
        <v>0</v>
      </c>
      <c r="V1010" s="145" t="s">
        <v>419</v>
      </c>
      <c r="W1010" s="485">
        <f>IF(V1013="samepoint",0,IF(V1014="northsouth",0,IF(V1015="southnorth",180,W1009)))</f>
        <v>0</v>
      </c>
      <c r="X1010" s="447"/>
      <c r="Y1010" s="145" t="s">
        <v>420</v>
      </c>
      <c r="Z1010" s="485">
        <f>IF(V1013="samepoint",0,IF(V1014="northsouth",180,IF(V1015="southnorth",0,Z1009)))</f>
        <v>0</v>
      </c>
      <c r="AA1010" s="447"/>
      <c r="AB1010" s="447"/>
      <c r="AC1010" s="485">
        <f>IF(V1013="samepoint",0,IF(V1014="northsouth",0,IF(V1015="southnorth",180,IF(AC1009&lt;0,AC1009*180/PI()+360,AC1009*180/PI()))))</f>
        <v>0</v>
      </c>
      <c r="AD1010" s="485">
        <f>IF(V1013="samepoint",0,IF(V1014="northsouth",180,IF(V1015="southnorth",0,AD1009*180/PI()+180)))</f>
        <v>0</v>
      </c>
    </row>
    <row r="1011" spans="1:30" s="444" customFormat="1" ht="12.3" x14ac:dyDescent="0.4">
      <c r="A1011" s="447"/>
      <c r="B1011" s="145"/>
      <c r="C1011" s="447"/>
      <c r="D1011" s="447"/>
      <c r="E1011" s="145"/>
      <c r="F1011" s="447"/>
      <c r="G1011" s="447"/>
      <c r="H1011" s="447"/>
      <c r="I1011" s="447"/>
      <c r="L1011" s="145"/>
      <c r="M1011" s="447"/>
      <c r="N1011" s="447"/>
      <c r="O1011" s="145"/>
      <c r="P1011" s="447"/>
      <c r="Q1011" s="447"/>
      <c r="R1011" s="447"/>
      <c r="S1011" s="447"/>
      <c r="V1011" s="145"/>
      <c r="W1011" s="447"/>
      <c r="X1011" s="447"/>
      <c r="Y1011" s="145"/>
      <c r="Z1011" s="447"/>
      <c r="AA1011" s="447"/>
      <c r="AB1011" s="447"/>
      <c r="AC1011" s="447"/>
    </row>
    <row r="1012" spans="1:30" s="444" customFormat="1" ht="12.3" x14ac:dyDescent="0.4">
      <c r="A1012" s="447"/>
      <c r="B1012" s="144" t="s">
        <v>135</v>
      </c>
      <c r="C1012" s="144"/>
      <c r="D1012" s="447"/>
      <c r="E1012" s="447"/>
      <c r="F1012" s="447"/>
      <c r="G1012" s="447"/>
      <c r="H1012" s="447"/>
      <c r="I1012" s="447"/>
      <c r="L1012" s="144" t="s">
        <v>135</v>
      </c>
      <c r="M1012" s="144"/>
      <c r="N1012" s="447"/>
      <c r="O1012" s="447"/>
      <c r="P1012" s="447"/>
      <c r="Q1012" s="447"/>
      <c r="R1012" s="447"/>
      <c r="S1012" s="447"/>
      <c r="V1012" s="144" t="s">
        <v>135</v>
      </c>
      <c r="W1012" s="144"/>
      <c r="X1012" s="447"/>
      <c r="Y1012" s="447"/>
      <c r="Z1012" s="447"/>
      <c r="AA1012" s="447"/>
      <c r="AB1012" s="447"/>
      <c r="AC1012" s="447"/>
    </row>
    <row r="1013" spans="1:30" s="444" customFormat="1" ht="12.3" x14ac:dyDescent="0.4">
      <c r="A1013" s="447"/>
      <c r="B1013" s="447" t="str">
        <f>IF(AND(C954=C956,C955=C957),"samepoint","N.A. " )</f>
        <v>samepoint</v>
      </c>
      <c r="C1013" s="447" t="s">
        <v>134</v>
      </c>
      <c r="D1013" s="447"/>
      <c r="E1013" s="447"/>
      <c r="F1013" s="447"/>
      <c r="G1013" s="447"/>
      <c r="H1013" s="447"/>
      <c r="I1013" s="447"/>
      <c r="L1013" s="447" t="str">
        <f>IF(AND(M954=M956,M955=M957),"samepoint","N.A. " )</f>
        <v>samepoint</v>
      </c>
      <c r="M1013" s="447" t="s">
        <v>134</v>
      </c>
      <c r="N1013" s="447"/>
      <c r="O1013" s="447"/>
      <c r="P1013" s="447"/>
      <c r="Q1013" s="447"/>
      <c r="R1013" s="447"/>
      <c r="S1013" s="447"/>
      <c r="V1013" s="447" t="str">
        <f>IF(AND(W954=W956,W955=W957),"samepoint","N.A. " )</f>
        <v>samepoint</v>
      </c>
      <c r="W1013" s="447" t="s">
        <v>134</v>
      </c>
      <c r="X1013" s="447"/>
      <c r="Y1013" s="447"/>
      <c r="Z1013" s="447"/>
      <c r="AA1013" s="447"/>
      <c r="AB1013" s="447"/>
      <c r="AC1013" s="447"/>
    </row>
    <row r="1014" spans="1:30" s="444" customFormat="1" ht="12.3" x14ac:dyDescent="0.4">
      <c r="A1014" s="447"/>
      <c r="B1014" s="447" t="str">
        <f>IF(AND(C955=C957,C956&gt;C954),"northsouth","N.A. ")</f>
        <v xml:space="preserve">N.A. </v>
      </c>
      <c r="C1014" s="447" t="s">
        <v>133</v>
      </c>
      <c r="D1014" s="447"/>
      <c r="E1014" s="447"/>
      <c r="F1014" s="447"/>
      <c r="G1014" s="447"/>
      <c r="H1014" s="447"/>
      <c r="I1014" s="447"/>
      <c r="L1014" s="447" t="str">
        <f>IF(AND(M955=M957,M956&gt;M954),"northsouth","N.A. ")</f>
        <v xml:space="preserve">N.A. </v>
      </c>
      <c r="M1014" s="447" t="s">
        <v>133</v>
      </c>
      <c r="N1014" s="447"/>
      <c r="O1014" s="447"/>
      <c r="P1014" s="447"/>
      <c r="Q1014" s="447"/>
      <c r="R1014" s="447"/>
      <c r="S1014" s="447"/>
      <c r="V1014" s="447" t="str">
        <f>IF(AND(W955=W957,W956&gt;W954),"northsouth","N.A. ")</f>
        <v xml:space="preserve">N.A. </v>
      </c>
      <c r="W1014" s="447" t="s">
        <v>133</v>
      </c>
      <c r="X1014" s="447"/>
      <c r="Y1014" s="447"/>
      <c r="Z1014" s="447"/>
      <c r="AA1014" s="447"/>
      <c r="AB1014" s="447"/>
      <c r="AC1014" s="447"/>
    </row>
    <row r="1015" spans="1:30" s="444" customFormat="1" ht="12.3" x14ac:dyDescent="0.4">
      <c r="A1015" s="447"/>
      <c r="B1015" s="447" t="str">
        <f>IF(AND(C955=C957,C954&gt;C956),"southnorth","N.A. ")</f>
        <v xml:space="preserve">N.A. </v>
      </c>
      <c r="C1015" s="447" t="s">
        <v>132</v>
      </c>
      <c r="D1015" s="447"/>
      <c r="E1015" s="447"/>
      <c r="F1015" s="447"/>
      <c r="G1015" s="447"/>
      <c r="H1015" s="447"/>
      <c r="I1015" s="447"/>
      <c r="L1015" s="447" t="str">
        <f>IF(AND(M955=M957,M954&gt;M956),"southnorth","N.A. ")</f>
        <v xml:space="preserve">N.A. </v>
      </c>
      <c r="M1015" s="447" t="s">
        <v>132</v>
      </c>
      <c r="N1015" s="447"/>
      <c r="O1015" s="447"/>
      <c r="P1015" s="447"/>
      <c r="Q1015" s="447"/>
      <c r="R1015" s="447"/>
      <c r="S1015" s="447"/>
      <c r="V1015" s="447" t="str">
        <f>IF(AND(W955=W957,W954&gt;W956),"southnorth","N.A. ")</f>
        <v xml:space="preserve">N.A. </v>
      </c>
      <c r="W1015" s="447" t="s">
        <v>132</v>
      </c>
      <c r="X1015" s="447"/>
      <c r="Y1015" s="447"/>
      <c r="Z1015" s="447"/>
      <c r="AA1015" s="447"/>
      <c r="AB1015" s="447"/>
      <c r="AC1015" s="447"/>
    </row>
    <row r="1016" spans="1:30" s="444" customFormat="1" ht="12.3" x14ac:dyDescent="0.4">
      <c r="A1016" s="447"/>
      <c r="B1016" s="447"/>
      <c r="C1016" s="447"/>
      <c r="D1016" s="447"/>
      <c r="E1016" s="447"/>
      <c r="F1016" s="447"/>
      <c r="G1016" s="447"/>
      <c r="H1016" s="447"/>
      <c r="I1016" s="447"/>
      <c r="L1016" s="447"/>
      <c r="M1016" s="447"/>
      <c r="N1016" s="447"/>
      <c r="O1016" s="447"/>
      <c r="P1016" s="447"/>
      <c r="Q1016" s="447"/>
      <c r="R1016" s="447"/>
      <c r="S1016" s="447"/>
      <c r="V1016" s="447"/>
      <c r="W1016" s="447"/>
      <c r="X1016" s="447"/>
      <c r="Y1016" s="447"/>
      <c r="Z1016" s="447"/>
      <c r="AA1016" s="447"/>
      <c r="AB1016" s="447"/>
      <c r="AC1016" s="447"/>
    </row>
    <row r="1017" spans="1:30" s="444" customFormat="1" ht="12.3" x14ac:dyDescent="0.4">
      <c r="A1017" s="447"/>
      <c r="B1017" s="447"/>
      <c r="C1017" s="447"/>
      <c r="D1017" s="447"/>
      <c r="E1017" s="447"/>
      <c r="F1017" s="447"/>
      <c r="G1017" s="447"/>
      <c r="H1017" s="447"/>
      <c r="I1017" s="447"/>
    </row>
    <row r="1018" spans="1:30" s="444" customFormat="1" ht="15" x14ac:dyDescent="0.5">
      <c r="A1018" s="447"/>
      <c r="B1018" s="448" t="s">
        <v>187</v>
      </c>
      <c r="C1018" s="448" t="s">
        <v>186</v>
      </c>
      <c r="D1018" s="447"/>
      <c r="E1018" s="447"/>
      <c r="F1018" s="447"/>
      <c r="G1018" s="447"/>
      <c r="H1018" s="447"/>
      <c r="I1018" s="447"/>
    </row>
    <row r="1019" spans="1:30" s="444" customFormat="1" ht="17.399999999999999" x14ac:dyDescent="0.55000000000000004">
      <c r="A1019" s="447"/>
      <c r="B1019" s="449" t="s">
        <v>185</v>
      </c>
      <c r="C1019" s="450" t="s">
        <v>193</v>
      </c>
      <c r="D1019" s="451"/>
      <c r="E1019" s="452"/>
      <c r="F1019" s="453" t="s">
        <v>183</v>
      </c>
      <c r="G1019" s="1074" t="s">
        <v>196</v>
      </c>
      <c r="H1019" s="1074"/>
      <c r="I1019" s="454"/>
      <c r="J1019" s="455"/>
    </row>
    <row r="1020" spans="1:30" s="444" customFormat="1" ht="14.7" x14ac:dyDescent="0.6">
      <c r="A1020" s="447"/>
      <c r="B1020" s="158" t="s">
        <v>405</v>
      </c>
      <c r="C1020" s="1068" t="s">
        <v>181</v>
      </c>
      <c r="D1020" s="1069"/>
      <c r="E1020" s="458"/>
      <c r="F1020" s="157" t="s">
        <v>406</v>
      </c>
      <c r="G1020" s="1069" t="s">
        <v>181</v>
      </c>
      <c r="H1020" s="1069"/>
      <c r="I1020" s="1070"/>
      <c r="J1020" s="460"/>
    </row>
    <row r="1021" spans="1:30" s="444" customFormat="1" ht="14.7" x14ac:dyDescent="0.6">
      <c r="A1021" s="447"/>
      <c r="B1021" s="158" t="s">
        <v>407</v>
      </c>
      <c r="C1021" s="1071" t="s">
        <v>181</v>
      </c>
      <c r="D1021" s="1072"/>
      <c r="E1021" s="463"/>
      <c r="F1021" s="157" t="s">
        <v>408</v>
      </c>
      <c r="G1021" s="1072" t="s">
        <v>181</v>
      </c>
      <c r="H1021" s="1072"/>
      <c r="I1021" s="1073"/>
    </row>
    <row r="1022" spans="1:30" s="444" customFormat="1" ht="12.3" x14ac:dyDescent="0.4">
      <c r="A1022" s="447"/>
      <c r="B1022" s="464" t="s">
        <v>180</v>
      </c>
      <c r="C1022" s="465">
        <f>E1071</f>
        <v>0</v>
      </c>
      <c r="D1022" s="513"/>
      <c r="E1022" s="514"/>
      <c r="F1022" s="500"/>
      <c r="G1022" s="468"/>
      <c r="H1022" s="468"/>
      <c r="I1022" s="156" t="s">
        <v>179</v>
      </c>
      <c r="J1022" s="447"/>
    </row>
    <row r="1023" spans="1:30" s="444" customFormat="1" ht="14.7" x14ac:dyDescent="0.6">
      <c r="A1023" s="447"/>
      <c r="B1023" s="464" t="s">
        <v>409</v>
      </c>
      <c r="C1023" s="469">
        <f>I1083</f>
        <v>0</v>
      </c>
      <c r="D1023" s="470"/>
      <c r="E1023" s="471"/>
      <c r="F1023" s="501"/>
      <c r="G1023" s="472"/>
      <c r="H1023" s="473"/>
      <c r="J1023" s="474"/>
    </row>
    <row r="1024" spans="1:30" s="444" customFormat="1" ht="14.7" x14ac:dyDescent="0.6">
      <c r="A1024" s="447"/>
      <c r="B1024" s="475" t="s">
        <v>410</v>
      </c>
      <c r="C1024" s="476">
        <f>J1083</f>
        <v>0</v>
      </c>
      <c r="D1024" s="477"/>
      <c r="E1024" s="478"/>
      <c r="F1024" s="506" t="str">
        <f>IF(OR(C1027=0,C1029=0,SUMMARY!B22="Release"),"N/A",C1022/1000)</f>
        <v>N/A</v>
      </c>
      <c r="G1024" s="447" t="s">
        <v>178</v>
      </c>
      <c r="H1024" s="447"/>
    </row>
    <row r="1025" spans="1:9" s="444" customFormat="1" ht="12.3" x14ac:dyDescent="0.4">
      <c r="A1025" s="447"/>
      <c r="B1025" s="460"/>
      <c r="C1025" s="487"/>
      <c r="D1025" s="489"/>
      <c r="E1025" s="489"/>
      <c r="F1025" s="447"/>
      <c r="G1025" s="460"/>
    </row>
    <row r="1026" spans="1:9" s="444" customFormat="1" ht="12.3" x14ac:dyDescent="0.4">
      <c r="A1026" s="447"/>
      <c r="B1026" s="447"/>
      <c r="C1026" s="503" t="s">
        <v>177</v>
      </c>
      <c r="D1026" s="504"/>
      <c r="E1026" s="503" t="s">
        <v>85</v>
      </c>
      <c r="F1026" s="447"/>
      <c r="G1026" s="460"/>
      <c r="H1026" s="460"/>
      <c r="I1026" s="447"/>
    </row>
    <row r="1027" spans="1:9" s="444" customFormat="1" ht="14.7" x14ac:dyDescent="0.6">
      <c r="A1027" s="447"/>
      <c r="B1027" s="460" t="s">
        <v>411</v>
      </c>
      <c r="C1027" s="485">
        <f>IF(SUMMARY!B20="NO",0,TPOrder!AZ9)</f>
        <v>0</v>
      </c>
      <c r="D1027" s="447"/>
      <c r="E1027" s="485">
        <f>C1027*PI()/180</f>
        <v>0</v>
      </c>
      <c r="F1027" s="447"/>
      <c r="G1027" s="460"/>
      <c r="H1027" s="460"/>
      <c r="I1027" s="447"/>
    </row>
    <row r="1028" spans="1:9" s="444" customFormat="1" ht="14.7" x14ac:dyDescent="0.6">
      <c r="A1028" s="447"/>
      <c r="B1028" s="460" t="s">
        <v>412</v>
      </c>
      <c r="C1028" s="485">
        <f>IF(SUMMARY!B20="NO",0,TPOrder!BB9)</f>
        <v>0</v>
      </c>
      <c r="D1028" s="447"/>
      <c r="E1028" s="485">
        <f>C1028*PI()/180</f>
        <v>0</v>
      </c>
      <c r="F1028" s="447"/>
      <c r="G1028" s="460"/>
      <c r="H1028" s="485"/>
      <c r="I1028" s="447"/>
    </row>
    <row r="1029" spans="1:9" s="444" customFormat="1" ht="14.7" x14ac:dyDescent="0.6">
      <c r="A1029" s="447"/>
      <c r="B1029" s="460" t="s">
        <v>413</v>
      </c>
      <c r="C1029" s="485">
        <f>TPOrder!BJ9</f>
        <v>0</v>
      </c>
      <c r="D1029" s="447"/>
      <c r="E1029" s="485">
        <f>C1029*PI()/180</f>
        <v>0</v>
      </c>
      <c r="F1029" s="447"/>
      <c r="G1029" s="460"/>
      <c r="H1029" s="460"/>
      <c r="I1029" s="447"/>
    </row>
    <row r="1030" spans="1:9" s="444" customFormat="1" ht="14.7" x14ac:dyDescent="0.6">
      <c r="A1030" s="447"/>
      <c r="B1030" s="460" t="s">
        <v>414</v>
      </c>
      <c r="C1030" s="485">
        <f>TPOrder!BL9</f>
        <v>0</v>
      </c>
      <c r="D1030" s="447"/>
      <c r="E1030" s="485">
        <f>C1030*PI()/180</f>
        <v>0</v>
      </c>
      <c r="F1030" s="447"/>
      <c r="G1030" s="460"/>
      <c r="H1030" s="485"/>
      <c r="I1030" s="447"/>
    </row>
    <row r="1031" spans="1:9" s="444" customFormat="1" ht="12.3" x14ac:dyDescent="0.4">
      <c r="A1031" s="447"/>
      <c r="B1031" s="485"/>
      <c r="C1031" s="485"/>
      <c r="D1031" s="485"/>
      <c r="E1031" s="485"/>
      <c r="F1031" s="447"/>
      <c r="G1031" s="460"/>
      <c r="H1031" s="485"/>
      <c r="I1031" s="447"/>
    </row>
    <row r="1032" spans="1:9" s="444" customFormat="1" ht="12.3" x14ac:dyDescent="0.4">
      <c r="A1032" s="447"/>
      <c r="B1032" s="460" t="s">
        <v>176</v>
      </c>
      <c r="C1032" s="487">
        <v>6378137</v>
      </c>
      <c r="D1032" s="488"/>
      <c r="E1032" s="489" t="s">
        <v>175</v>
      </c>
      <c r="F1032" s="485">
        <f>C1034+C1034*C1034</f>
        <v>3.3640520041011246E-3</v>
      </c>
      <c r="G1032" s="460"/>
      <c r="H1032" s="460"/>
      <c r="I1032" s="447"/>
    </row>
    <row r="1033" spans="1:9" s="444" customFormat="1" ht="12.3" x14ac:dyDescent="0.4">
      <c r="A1033" s="447"/>
      <c r="B1033" s="489" t="s">
        <v>174</v>
      </c>
      <c r="C1033" s="487">
        <f>C1032*(1-C1034)</f>
        <v>6356752.3142451793</v>
      </c>
      <c r="D1033" s="488"/>
      <c r="E1033" s="489" t="s">
        <v>173</v>
      </c>
      <c r="F1033" s="485">
        <f>F1032/2</f>
        <v>1.6820260020505623E-3</v>
      </c>
      <c r="G1033" s="460"/>
      <c r="H1033" s="460"/>
      <c r="I1033" s="447"/>
    </row>
    <row r="1034" spans="1:9" s="444" customFormat="1" ht="12.3" x14ac:dyDescent="0.4">
      <c r="A1034" s="447"/>
      <c r="B1034" s="489" t="s">
        <v>172</v>
      </c>
      <c r="C1034" s="485">
        <v>3.3528106647474801E-3</v>
      </c>
      <c r="D1034" s="489"/>
      <c r="E1034" s="489" t="s">
        <v>171</v>
      </c>
      <c r="F1034" s="485">
        <f>C1034*C1034/2</f>
        <v>5.6206696768222199E-6</v>
      </c>
      <c r="G1034" s="460"/>
      <c r="H1034" s="460"/>
      <c r="I1034" s="447"/>
    </row>
    <row r="1035" spans="1:9" s="444" customFormat="1" ht="12.3" x14ac:dyDescent="0.4">
      <c r="A1035" s="447"/>
      <c r="B1035" s="460" t="s">
        <v>415</v>
      </c>
      <c r="C1035" s="485">
        <f>E1030-E1028</f>
        <v>0</v>
      </c>
      <c r="D1035" s="447"/>
      <c r="E1035" s="447" t="s">
        <v>170</v>
      </c>
      <c r="F1035" s="485">
        <f>C1034*C1034/8</f>
        <v>1.405167419205555E-6</v>
      </c>
      <c r="G1035" s="460"/>
      <c r="H1035" s="460"/>
      <c r="I1035" s="447"/>
    </row>
    <row r="1036" spans="1:9" s="444" customFormat="1" ht="12.3" x14ac:dyDescent="0.4">
      <c r="A1036" s="447"/>
      <c r="B1036" s="447"/>
      <c r="C1036" s="447"/>
      <c r="D1036" s="447"/>
      <c r="E1036" s="489" t="s">
        <v>169</v>
      </c>
      <c r="F1036" s="485">
        <f>C1034*C1034/16</f>
        <v>7.0258370960277749E-7</v>
      </c>
      <c r="G1036" s="460"/>
      <c r="H1036" s="460"/>
      <c r="I1036" s="447"/>
    </row>
    <row r="1037" spans="1:9" s="444" customFormat="1" ht="12.3" x14ac:dyDescent="0.4">
      <c r="A1037" s="447"/>
      <c r="B1037" s="447" t="s">
        <v>168</v>
      </c>
      <c r="C1037" s="490">
        <f>(1-C1034)*TAN(E1027)</f>
        <v>0</v>
      </c>
      <c r="D1037" s="447"/>
      <c r="E1037" s="489"/>
      <c r="F1037" s="460"/>
      <c r="G1037" s="460"/>
      <c r="H1037" s="460"/>
      <c r="I1037" s="447"/>
    </row>
    <row r="1038" spans="1:9" s="444" customFormat="1" ht="12.3" x14ac:dyDescent="0.4">
      <c r="A1038" s="447"/>
      <c r="B1038" s="460" t="s">
        <v>106</v>
      </c>
      <c r="C1038" s="485">
        <f>ATAN(C1037)</f>
        <v>0</v>
      </c>
      <c r="D1038" s="489"/>
      <c r="E1038" s="155"/>
      <c r="F1038" s="485"/>
      <c r="G1038" s="460"/>
      <c r="H1038" s="460"/>
      <c r="I1038" s="447"/>
    </row>
    <row r="1039" spans="1:9" s="444" customFormat="1" ht="12.3" x14ac:dyDescent="0.4">
      <c r="A1039" s="447"/>
      <c r="B1039" s="460" t="s">
        <v>167</v>
      </c>
      <c r="C1039" s="485">
        <f>SIN(C1038)</f>
        <v>0</v>
      </c>
      <c r="D1039" s="489"/>
      <c r="E1039" s="148"/>
      <c r="F1039" s="485"/>
      <c r="G1039" s="460"/>
      <c r="H1039" s="460"/>
      <c r="I1039" s="447"/>
    </row>
    <row r="1040" spans="1:9" s="444" customFormat="1" ht="12.3" x14ac:dyDescent="0.4">
      <c r="A1040" s="447"/>
      <c r="B1040" s="460" t="s">
        <v>166</v>
      </c>
      <c r="C1040" s="485">
        <f>COS(C1038)</f>
        <v>1</v>
      </c>
      <c r="D1040" s="489"/>
      <c r="E1040" s="460"/>
      <c r="F1040" s="485"/>
      <c r="G1040" s="460"/>
      <c r="H1040" s="460"/>
      <c r="I1040" s="447"/>
    </row>
    <row r="1041" spans="1:9" s="444" customFormat="1" ht="12.3" x14ac:dyDescent="0.4">
      <c r="A1041" s="447"/>
      <c r="B1041" s="460" t="s">
        <v>165</v>
      </c>
      <c r="C1041" s="491">
        <f>(1-C1034)*TAN(E1029)</f>
        <v>0</v>
      </c>
      <c r="D1041" s="489"/>
      <c r="E1041" s="460"/>
      <c r="F1041" s="485"/>
      <c r="G1041" s="460"/>
      <c r="H1041" s="460"/>
      <c r="I1041" s="447"/>
    </row>
    <row r="1042" spans="1:9" s="444" customFormat="1" ht="12.3" x14ac:dyDescent="0.4">
      <c r="A1042" s="447"/>
      <c r="B1042" s="460" t="s">
        <v>164</v>
      </c>
      <c r="C1042" s="485">
        <f>ATAN(C1041)</f>
        <v>0</v>
      </c>
      <c r="D1042" s="489"/>
      <c r="E1042" s="460"/>
      <c r="F1042" s="485"/>
      <c r="G1042" s="460"/>
      <c r="H1042" s="460"/>
      <c r="I1042" s="447"/>
    </row>
    <row r="1043" spans="1:9" s="444" customFormat="1" ht="12.3" x14ac:dyDescent="0.4">
      <c r="A1043" s="447"/>
      <c r="B1043" s="460" t="s">
        <v>163</v>
      </c>
      <c r="C1043" s="485">
        <f>SIN(C1042)</f>
        <v>0</v>
      </c>
      <c r="D1043" s="489"/>
      <c r="E1043" s="460"/>
      <c r="F1043" s="485"/>
      <c r="G1043" s="460"/>
      <c r="H1043" s="460"/>
      <c r="I1043" s="447"/>
    </row>
    <row r="1044" spans="1:9" s="444" customFormat="1" ht="12.3" x14ac:dyDescent="0.4">
      <c r="A1044" s="447"/>
      <c r="B1044" s="460" t="s">
        <v>162</v>
      </c>
      <c r="C1044" s="485">
        <f>COS(C1042)</f>
        <v>1</v>
      </c>
      <c r="D1044" s="489"/>
      <c r="E1044" s="460"/>
      <c r="F1044" s="485"/>
      <c r="G1044" s="460"/>
      <c r="H1044" s="460"/>
      <c r="I1044" s="447"/>
    </row>
    <row r="1045" spans="1:9" s="444" customFormat="1" ht="12.3" x14ac:dyDescent="0.4">
      <c r="A1045" s="447"/>
      <c r="B1045" s="147" t="s">
        <v>161</v>
      </c>
      <c r="C1045" s="485"/>
      <c r="D1045" s="489"/>
      <c r="E1045" s="460"/>
      <c r="F1045" s="485"/>
      <c r="G1045" s="460"/>
      <c r="H1045" s="460"/>
      <c r="I1045" s="447"/>
    </row>
    <row r="1046" spans="1:9" s="444" customFormat="1" ht="12.3" x14ac:dyDescent="0.4">
      <c r="A1046" s="447"/>
      <c r="B1046" s="148" t="s">
        <v>144</v>
      </c>
      <c r="C1046" s="485">
        <f>C1035</f>
        <v>0</v>
      </c>
      <c r="D1046" s="489"/>
      <c r="E1046" s="485">
        <f ca="1">E1069</f>
        <v>0</v>
      </c>
      <c r="F1046" s="485"/>
      <c r="G1046" s="460"/>
      <c r="H1046" s="460"/>
      <c r="I1046" s="447"/>
    </row>
    <row r="1047" spans="1:9" s="444" customFormat="1" ht="12.3" x14ac:dyDescent="0.4">
      <c r="A1047" s="447"/>
      <c r="B1047" s="147" t="s">
        <v>160</v>
      </c>
      <c r="C1047" s="485"/>
      <c r="D1047" s="489"/>
      <c r="E1047" s="460"/>
      <c r="F1047" s="485"/>
      <c r="G1047" s="460"/>
      <c r="H1047" s="460"/>
      <c r="I1047" s="447"/>
    </row>
    <row r="1048" spans="1:9" s="444" customFormat="1" ht="13.8" x14ac:dyDescent="0.4">
      <c r="A1048" s="447"/>
      <c r="B1048" s="460" t="s">
        <v>159</v>
      </c>
      <c r="C1048" s="485">
        <f>(C1044*SIN(C1046)*C1044*SIN(C1046))+(C1040*C1043-C1039*C1044*COS(C1046))*(C1040*C1043-C1039*C1044*COS(C1046))</f>
        <v>0</v>
      </c>
      <c r="D1048" s="489"/>
      <c r="E1048" s="485">
        <f ca="1">(C1044*SIN(E1046)*C1044*SIN(E1046))+(C1040*C1043-C1039*C1044*COS(E1046))*(C1040*C1043-C1039*C1044*COS(E1046))</f>
        <v>0</v>
      </c>
      <c r="F1048" s="485"/>
      <c r="G1048" s="460"/>
      <c r="H1048" s="460"/>
      <c r="I1048" s="447"/>
    </row>
    <row r="1049" spans="1:9" s="444" customFormat="1" ht="12.3" x14ac:dyDescent="0.4">
      <c r="A1049" s="447"/>
      <c r="B1049" s="154" t="s">
        <v>158</v>
      </c>
      <c r="C1049" s="485"/>
      <c r="D1049" s="489"/>
      <c r="E1049" s="489"/>
      <c r="F1049" s="485"/>
      <c r="G1049" s="460"/>
      <c r="H1049" s="460"/>
      <c r="I1049" s="447"/>
    </row>
    <row r="1050" spans="1:9" s="444" customFormat="1" ht="12.3" x14ac:dyDescent="0.4">
      <c r="A1050" s="447"/>
      <c r="B1050" s="447" t="s">
        <v>157</v>
      </c>
      <c r="C1050" s="447">
        <f>(C1039*C1043)+(C1040*C1044*COS(C1046))</f>
        <v>1</v>
      </c>
      <c r="D1050" s="447"/>
      <c r="E1050" s="447">
        <f ca="1">(C1039*C1043)+(C1040*C1044*COS(E1046))</f>
        <v>1</v>
      </c>
      <c r="F1050" s="447"/>
      <c r="G1050" s="460"/>
      <c r="H1050" s="460"/>
      <c r="I1050" s="447"/>
    </row>
    <row r="1051" spans="1:9" s="444" customFormat="1" ht="12.3" x14ac:dyDescent="0.4">
      <c r="A1051" s="447"/>
      <c r="B1051" s="153" t="s">
        <v>156</v>
      </c>
      <c r="C1051" s="489"/>
      <c r="D1051" s="489"/>
      <c r="E1051" s="489"/>
      <c r="F1051" s="460"/>
      <c r="G1051" s="460"/>
      <c r="H1051" s="460"/>
      <c r="I1051" s="447"/>
    </row>
    <row r="1052" spans="1:9" s="444" customFormat="1" ht="12.3" x14ac:dyDescent="0.4">
      <c r="A1052" s="447"/>
      <c r="B1052" s="460" t="s">
        <v>155</v>
      </c>
      <c r="C1052" s="485">
        <f>SQRT(C1048)/C1050</f>
        <v>0</v>
      </c>
      <c r="D1052" s="489"/>
      <c r="E1052" s="485">
        <f ca="1">SQRT(E1048)/E1050</f>
        <v>0</v>
      </c>
      <c r="F1052" s="485"/>
      <c r="G1052" s="447"/>
      <c r="H1052" s="447"/>
      <c r="I1052" s="492"/>
    </row>
    <row r="1053" spans="1:9" s="444" customFormat="1" ht="12.3" x14ac:dyDescent="0.4">
      <c r="A1053" s="447"/>
      <c r="B1053" s="148" t="s">
        <v>142</v>
      </c>
      <c r="C1053" s="485">
        <f>ATAN(C1052)</f>
        <v>0</v>
      </c>
      <c r="D1053" s="489"/>
      <c r="E1053" s="485">
        <f ca="1">IF(ATAN(E1052)&lt;0,ATAN(E1052)+PI(),ATAN(E1052))</f>
        <v>0</v>
      </c>
      <c r="F1053" s="485"/>
      <c r="G1053" s="447"/>
      <c r="H1053" s="447"/>
      <c r="I1053" s="492"/>
    </row>
    <row r="1054" spans="1:9" s="444" customFormat="1" ht="12.3" x14ac:dyDescent="0.4">
      <c r="A1054" s="447"/>
      <c r="B1054" s="147" t="s">
        <v>154</v>
      </c>
      <c r="C1054" s="485"/>
      <c r="D1054" s="489"/>
      <c r="E1054" s="460"/>
      <c r="F1054" s="485"/>
      <c r="G1054" s="447"/>
      <c r="H1054" s="447"/>
      <c r="I1054" s="492"/>
    </row>
    <row r="1055" spans="1:9" s="444" customFormat="1" ht="12.3" x14ac:dyDescent="0.4">
      <c r="A1055" s="447"/>
      <c r="B1055" s="460" t="s">
        <v>153</v>
      </c>
      <c r="C1055" s="485">
        <f>IF(C1048=0,0,C1040*C1044*SIN(C1046)/SQRT(C1048))</f>
        <v>0</v>
      </c>
      <c r="D1055" s="489"/>
      <c r="E1055" s="485">
        <f ca="1">IF(E1048=0,0,C1040*C1044*SIN(E1046)/SQRT(E1048))</f>
        <v>0</v>
      </c>
      <c r="F1055" s="485"/>
      <c r="G1055" s="460"/>
      <c r="H1055" s="460"/>
      <c r="I1055" s="492"/>
    </row>
    <row r="1056" spans="1:9" s="444" customFormat="1" ht="12.3" x14ac:dyDescent="0.4">
      <c r="A1056" s="447"/>
      <c r="B1056" s="147" t="s">
        <v>152</v>
      </c>
      <c r="C1056" s="485"/>
      <c r="D1056" s="489"/>
      <c r="E1056" s="489"/>
      <c r="F1056" s="485"/>
      <c r="G1056" s="460"/>
      <c r="H1056" s="460"/>
      <c r="I1056" s="447"/>
    </row>
    <row r="1057" spans="1:9" s="444" customFormat="1" ht="16.2" x14ac:dyDescent="0.65">
      <c r="A1057" s="447"/>
      <c r="B1057" s="447" t="s">
        <v>416</v>
      </c>
      <c r="C1057" s="447">
        <f>IF((COS(ASIN(C1055))*COS(ASIN(C1055)))=0,0,C1050-2*C1039*C1043/(COS(ASIN(C1055))*COS(ASIN(C1055))))</f>
        <v>1</v>
      </c>
      <c r="D1057" s="489"/>
      <c r="E1057" s="447">
        <f ca="1">E1050-2*C1039*C1043/(COS(ASIN(E1055))*COS(ASIN(E1055)))</f>
        <v>1</v>
      </c>
      <c r="F1057" s="460"/>
      <c r="G1057" s="460"/>
      <c r="H1057" s="460"/>
      <c r="I1057" s="447"/>
    </row>
    <row r="1058" spans="1:9" s="444" customFormat="1" ht="15.9" x14ac:dyDescent="0.45">
      <c r="A1058" s="447"/>
      <c r="B1058" s="447" t="s">
        <v>151</v>
      </c>
      <c r="C1058" s="487">
        <f>COS(ASIN(C1055))*COS(ASIN(C1055))*(C1032*C1032-C1033*C1033)/(C1033*C1033)</f>
        <v>6.7394967422764341E-3</v>
      </c>
      <c r="D1058" s="489"/>
      <c r="E1058" s="487">
        <f ca="1">COS(ASIN(E1055))*COS(ASIN(E1055))*(C1032*C1032-C1033*C1033)/(C1033*C1033)</f>
        <v>6.7394967422764341E-3</v>
      </c>
      <c r="F1058" s="447"/>
      <c r="G1058" s="460"/>
      <c r="H1058" s="460"/>
      <c r="I1058" s="447"/>
    </row>
    <row r="1059" spans="1:9" s="444" customFormat="1" ht="12.3" x14ac:dyDescent="0.4">
      <c r="A1059" s="447"/>
      <c r="B1059" s="152" t="s">
        <v>150</v>
      </c>
      <c r="C1059" s="485"/>
      <c r="D1059" s="489"/>
      <c r="E1059" s="460"/>
      <c r="F1059" s="485"/>
      <c r="G1059" s="460"/>
      <c r="H1059" s="460"/>
      <c r="I1059" s="447"/>
    </row>
    <row r="1060" spans="1:9" s="444" customFormat="1" ht="12.3" x14ac:dyDescent="0.4">
      <c r="A1060" s="447"/>
      <c r="B1060" s="460" t="s">
        <v>9</v>
      </c>
      <c r="C1060" s="485">
        <f>1+C1058/16384*(4096+C1058*(-768+C1058*(320-175*C1058)))</f>
        <v>1.0016827510415456</v>
      </c>
      <c r="D1060" s="489"/>
      <c r="E1060" s="485">
        <f ca="1">1+E1058/16384*(4096+E1058*(-768+E1058*(320-175*E1058)))</f>
        <v>1.0016827510415456</v>
      </c>
      <c r="F1060" s="485"/>
      <c r="G1060" s="460"/>
      <c r="H1060" s="460"/>
      <c r="I1060" s="447"/>
    </row>
    <row r="1061" spans="1:9" s="444" customFormat="1" ht="12.3" x14ac:dyDescent="0.4">
      <c r="A1061" s="447"/>
      <c r="B1061" s="147" t="s">
        <v>149</v>
      </c>
      <c r="C1061" s="485"/>
      <c r="D1061" s="489"/>
      <c r="E1061" s="460"/>
      <c r="F1061" s="485"/>
      <c r="G1061" s="460"/>
      <c r="H1061" s="460"/>
      <c r="I1061" s="490"/>
    </row>
    <row r="1062" spans="1:9" s="444" customFormat="1" ht="12.3" x14ac:dyDescent="0.4">
      <c r="A1062" s="447"/>
      <c r="B1062" s="460" t="s">
        <v>10</v>
      </c>
      <c r="C1062" s="485">
        <f>C1058/1024*(256+C1058*(-128+C1058*(74-47*C1058)))</f>
        <v>1.6792186103152505E-3</v>
      </c>
      <c r="D1062" s="489"/>
      <c r="E1062" s="485">
        <f ca="1">E1058/1024*(256+E1058*(-128+E1058*(74-47*E1058)))</f>
        <v>1.6792186103152505E-3</v>
      </c>
      <c r="F1062" s="485"/>
      <c r="G1062" s="460"/>
      <c r="H1062" s="460"/>
      <c r="I1062" s="447"/>
    </row>
    <row r="1063" spans="1:9" s="444" customFormat="1" ht="12.3" x14ac:dyDescent="0.4">
      <c r="A1063" s="447"/>
      <c r="B1063" s="147" t="s">
        <v>148</v>
      </c>
      <c r="C1063" s="485"/>
      <c r="D1063" s="489"/>
      <c r="E1063" s="460"/>
      <c r="F1063" s="485"/>
      <c r="G1063" s="460"/>
      <c r="H1063" s="460"/>
      <c r="I1063" s="447"/>
    </row>
    <row r="1064" spans="1:9" s="444" customFormat="1" ht="12.3" x14ac:dyDescent="0.4">
      <c r="A1064" s="447"/>
      <c r="B1064" s="148" t="s">
        <v>147</v>
      </c>
      <c r="C1064" s="485">
        <f>C1062*SQRT(C1048)*(C1057+C1062/4*(C1050*(-1+2*C1057*C1057)-C1062/6*C1057*(-3+4*C1048)*(-3+4*C1057*C1057)))</f>
        <v>0</v>
      </c>
      <c r="D1064" s="489"/>
      <c r="E1064" s="485">
        <f ca="1">E1062*SQRT(E1048)*(E1057+E1062/4*(E1050*(-1+2*E1057*E1057)-E1062/6*E1057*(-3+4*E1048)*(-3+4*E1057*E1057)))</f>
        <v>0</v>
      </c>
      <c r="F1064" s="485"/>
      <c r="G1064" s="460"/>
      <c r="H1064" s="460"/>
      <c r="I1064" s="447"/>
    </row>
    <row r="1065" spans="1:9" s="444" customFormat="1" ht="12.3" x14ac:dyDescent="0.4">
      <c r="A1065" s="447"/>
      <c r="B1065" s="460"/>
      <c r="C1065" s="485"/>
      <c r="D1065" s="489"/>
      <c r="E1065" s="460"/>
      <c r="F1065" s="485"/>
      <c r="G1065" s="460"/>
      <c r="H1065" s="460"/>
      <c r="I1065" s="447"/>
    </row>
    <row r="1066" spans="1:9" s="444" customFormat="1" ht="12.3" x14ac:dyDescent="0.4">
      <c r="A1066" s="447"/>
      <c r="B1066" s="147" t="s">
        <v>146</v>
      </c>
      <c r="C1066" s="485"/>
      <c r="D1066" s="494"/>
      <c r="E1066" s="460"/>
      <c r="F1066" s="485"/>
      <c r="G1066" s="460"/>
      <c r="H1066" s="460"/>
      <c r="I1066" s="150"/>
    </row>
    <row r="1067" spans="1:9" s="444" customFormat="1" ht="12.3" x14ac:dyDescent="0.4">
      <c r="A1067" s="447"/>
      <c r="B1067" s="460" t="s">
        <v>11</v>
      </c>
      <c r="C1067" s="485">
        <f>C1034/16*COS(ASIN(C1055))*COS(ASIN(C1055))*(4+C1034*(4-3*COS(ASIN(C1055))*COS(ASIN(C1055))))</f>
        <v>8.389052498964728E-4</v>
      </c>
      <c r="D1067" s="494"/>
      <c r="E1067" s="485">
        <f ca="1">C1034/16*COS(ASIN(E1055))*COS(ASIN(E1055))*(4+C1034*(4-3*COS(ASIN(E1055))*COS(ASIN(E1055))))</f>
        <v>8.389052498964728E-4</v>
      </c>
      <c r="F1067" s="485"/>
      <c r="G1067" s="460"/>
      <c r="H1067" s="460"/>
      <c r="I1067" s="150"/>
    </row>
    <row r="1068" spans="1:9" s="444" customFormat="1" ht="12.3" x14ac:dyDescent="0.4">
      <c r="A1068" s="447"/>
      <c r="B1068" s="147" t="s">
        <v>145</v>
      </c>
      <c r="C1068" s="485"/>
      <c r="D1068" s="494"/>
      <c r="E1068" s="460"/>
      <c r="F1068" s="485"/>
      <c r="G1068" s="460"/>
      <c r="H1068" s="460"/>
      <c r="I1068" s="150"/>
    </row>
    <row r="1069" spans="1:9" s="444" customFormat="1" ht="12.3" x14ac:dyDescent="0.4">
      <c r="A1069" s="447"/>
      <c r="B1069" s="151" t="s">
        <v>144</v>
      </c>
      <c r="C1069" s="485">
        <f>C1035+(1-C1067)*C1034*C1055*(ACOS(C1050)+C1067*SIN(ACOS(C1050))*(C1057+C1067*C1050*(-1+2*C1057*C1057)))</f>
        <v>0</v>
      </c>
      <c r="D1069" s="494"/>
      <c r="E1069" s="511">
        <f ca="1">C1035+(1-E1067)*C1034*E1055*(ACOS(E1050)+E1067*SIN(ACOS(E1050))*(E1057+E1067*E1050*(-1+2*E1057*E1057)))</f>
        <v>0</v>
      </c>
      <c r="F1069" s="485"/>
      <c r="G1069" s="460"/>
      <c r="H1069" s="460"/>
      <c r="I1069" s="150"/>
    </row>
    <row r="1070" spans="1:9" s="444" customFormat="1" ht="12.3" x14ac:dyDescent="0.4">
      <c r="A1070" s="447"/>
      <c r="B1070" s="149" t="s">
        <v>143</v>
      </c>
      <c r="C1070" s="485"/>
      <c r="D1070" s="494"/>
      <c r="E1070" s="148"/>
      <c r="F1070" s="485"/>
      <c r="G1070" s="460"/>
      <c r="H1070" s="460"/>
      <c r="I1070" s="496"/>
    </row>
    <row r="1071" spans="1:9" s="444" customFormat="1" ht="12.3" x14ac:dyDescent="0.4">
      <c r="A1071" s="447"/>
      <c r="B1071" s="460" t="s">
        <v>142</v>
      </c>
      <c r="C1071" s="485">
        <f>IF(B1086="samepoint",0,C1033*C1060*(ATAN(C1052)-C1064))</f>
        <v>0</v>
      </c>
      <c r="D1071" s="494"/>
      <c r="E1071" s="485">
        <f>IF(B1086="samepoint",0,C1033*E1060*(E1053-E1064))</f>
        <v>0</v>
      </c>
      <c r="F1071" s="460"/>
      <c r="G1071" s="460"/>
      <c r="H1071" s="460"/>
      <c r="I1071" s="496"/>
    </row>
    <row r="1072" spans="1:9" s="444" customFormat="1" ht="12.3" x14ac:dyDescent="0.4">
      <c r="A1072" s="447"/>
      <c r="B1072" s="147" t="s">
        <v>141</v>
      </c>
      <c r="C1072" s="485"/>
      <c r="D1072" s="494"/>
      <c r="E1072" s="485"/>
      <c r="F1072" s="460"/>
      <c r="G1072" s="460"/>
      <c r="H1072" s="460"/>
      <c r="I1072" s="496"/>
    </row>
    <row r="1073" spans="1:10" s="444" customFormat="1" ht="16.2" x14ac:dyDescent="0.65">
      <c r="A1073" s="447"/>
      <c r="B1073" s="460" t="s">
        <v>140</v>
      </c>
      <c r="C1073" s="485"/>
      <c r="D1073" s="494"/>
      <c r="E1073" s="485" t="e">
        <f ca="1">C1044*SIN(E1069)/(C1040*C1043-C1039*C1044*COS(E1069))</f>
        <v>#DIV/0!</v>
      </c>
      <c r="F1073" s="460"/>
      <c r="G1073" s="460"/>
      <c r="H1073" s="460"/>
      <c r="I1073" s="496"/>
    </row>
    <row r="1074" spans="1:10" s="444" customFormat="1" ht="12.3" x14ac:dyDescent="0.4">
      <c r="A1074" s="447"/>
      <c r="B1074" s="147" t="s">
        <v>139</v>
      </c>
      <c r="C1074" s="485"/>
      <c r="D1074" s="494"/>
      <c r="E1074" s="485"/>
      <c r="F1074" s="460"/>
      <c r="G1074" s="460"/>
      <c r="H1074" s="460"/>
      <c r="I1074" s="496"/>
    </row>
    <row r="1075" spans="1:10" s="444" customFormat="1" ht="16.8" x14ac:dyDescent="0.7">
      <c r="A1075" s="447"/>
      <c r="B1075" s="460" t="s">
        <v>138</v>
      </c>
      <c r="C1075" s="485"/>
      <c r="D1075" s="494"/>
      <c r="E1075" s="485" t="e">
        <f>C1040*SIN(C1069)/(-C1039*C1044+C1040*C1043*COS(C1069))</f>
        <v>#DIV/0!</v>
      </c>
      <c r="F1075" s="460"/>
      <c r="G1075" s="460"/>
      <c r="H1075" s="460"/>
      <c r="I1075" s="496"/>
    </row>
    <row r="1076" spans="1:10" s="444" customFormat="1" ht="12.3" x14ac:dyDescent="0.4">
      <c r="A1076" s="447"/>
      <c r="B1076" s="460"/>
      <c r="C1076" s="485"/>
      <c r="D1076" s="494"/>
      <c r="E1076" s="460"/>
      <c r="F1076" s="485"/>
      <c r="G1076" s="460"/>
      <c r="H1076" s="460"/>
      <c r="I1076" s="496"/>
    </row>
    <row r="1077" spans="1:10" s="444" customFormat="1" ht="12.3" x14ac:dyDescent="0.4">
      <c r="A1077" s="447"/>
      <c r="B1077" s="460"/>
      <c r="C1077" s="497"/>
      <c r="D1077" s="447"/>
      <c r="E1077" s="460"/>
      <c r="F1077" s="485"/>
      <c r="G1077" s="460"/>
      <c r="H1077" s="460"/>
      <c r="I1077" s="496"/>
    </row>
    <row r="1078" spans="1:10" s="444" customFormat="1" ht="12.3" x14ac:dyDescent="0.4">
      <c r="A1078" s="447"/>
      <c r="B1078" s="460"/>
      <c r="C1078" s="460"/>
      <c r="D1078" s="447"/>
      <c r="E1078" s="489"/>
      <c r="F1078" s="494"/>
      <c r="G1078" s="460"/>
      <c r="H1078" s="460"/>
      <c r="I1078" s="496"/>
    </row>
    <row r="1079" spans="1:10" s="444" customFormat="1" ht="12.3" x14ac:dyDescent="0.4">
      <c r="A1079" s="447"/>
      <c r="B1079" s="146" t="s">
        <v>137</v>
      </c>
      <c r="C1079" s="146"/>
      <c r="D1079" s="489"/>
      <c r="E1079" s="146" t="s">
        <v>136</v>
      </c>
      <c r="F1079" s="146"/>
      <c r="G1079" s="460"/>
      <c r="H1079" s="460"/>
      <c r="I1079" s="496"/>
    </row>
    <row r="1080" spans="1:10" s="444" customFormat="1" ht="14.7" x14ac:dyDescent="0.6">
      <c r="A1080" s="447"/>
      <c r="B1080" s="145" t="s">
        <v>417</v>
      </c>
      <c r="C1080" s="485" t="e">
        <f ca="1">ATAN(E1073)</f>
        <v>#DIV/0!</v>
      </c>
      <c r="D1080" s="447"/>
      <c r="E1080" s="145" t="s">
        <v>418</v>
      </c>
      <c r="F1080" s="485" t="e">
        <f>ATAN(E1075)</f>
        <v>#DIV/0!</v>
      </c>
      <c r="G1080" s="460"/>
      <c r="H1080" s="460"/>
      <c r="I1080" s="496" t="e">
        <f>ATAN2(E1029-E1027,E1030-E1028)*180/PI()</f>
        <v>#DIV/0!</v>
      </c>
      <c r="J1080" s="496" t="e">
        <f>ATAN2(E1027-E1029,E1028-E1030)*180/PI()</f>
        <v>#DIV/0!</v>
      </c>
    </row>
    <row r="1081" spans="1:10" s="444" customFormat="1" ht="14.7" x14ac:dyDescent="0.6">
      <c r="A1081" s="447"/>
      <c r="B1081" s="145" t="s">
        <v>419</v>
      </c>
      <c r="C1081" s="485" t="e">
        <f ca="1">(C1080/PI())*180+360</f>
        <v>#DIV/0!</v>
      </c>
      <c r="D1081" s="447"/>
      <c r="E1081" s="145" t="s">
        <v>420</v>
      </c>
      <c r="F1081" s="485" t="e">
        <f>(F1080/PI())*180+180</f>
        <v>#DIV/0!</v>
      </c>
      <c r="G1081" s="460"/>
      <c r="H1081" s="460"/>
      <c r="I1081" s="496" t="e">
        <f>IF(I1080&lt;0,C1080*180/PI()+360,C1080*180/PI())</f>
        <v>#DIV/0!</v>
      </c>
      <c r="J1081" s="498" t="e">
        <f>IF(J1080&gt;0,F1080*180/PI()+180,F1080*180/PI())</f>
        <v>#DIV/0!</v>
      </c>
    </row>
    <row r="1082" spans="1:10" s="444" customFormat="1" ht="14.7" x14ac:dyDescent="0.6">
      <c r="A1082" s="447"/>
      <c r="B1082" s="145" t="s">
        <v>419</v>
      </c>
      <c r="C1082" s="485" t="e">
        <f ca="1">IF(C1081&gt;=360,C1081-360,C1081)</f>
        <v>#DIV/0!</v>
      </c>
      <c r="D1082" s="447"/>
      <c r="E1082" s="145" t="s">
        <v>420</v>
      </c>
      <c r="F1082" s="485" t="e">
        <f>IF(F1081&gt;=360,F1081-360,F1081)</f>
        <v>#DIV/0!</v>
      </c>
      <c r="G1082" s="460"/>
      <c r="H1082" s="460"/>
      <c r="I1082" s="496" t="e">
        <f ca="1">ATAN2((C1040*C1043-C1039*C1044*COS(E1069)),C1044*SIN(E1069))</f>
        <v>#DIV/0!</v>
      </c>
      <c r="J1082" s="485" t="e">
        <f ca="1">ATAN2((-C1039*C1044+C1040*C1043*COS(E1069)),C1040*SIN(E1069))</f>
        <v>#DIV/0!</v>
      </c>
    </row>
    <row r="1083" spans="1:10" s="444" customFormat="1" ht="14.7" x14ac:dyDescent="0.6">
      <c r="A1083" s="447"/>
      <c r="B1083" s="145" t="s">
        <v>419</v>
      </c>
      <c r="C1083" s="485">
        <f>IF(B1086="samepoint",0,IF(B1087="northsouth",0,IF(B1088="southnorth",180,C1082)))</f>
        <v>0</v>
      </c>
      <c r="D1083" s="447"/>
      <c r="E1083" s="145" t="s">
        <v>420</v>
      </c>
      <c r="F1083" s="485">
        <f>IF(B1086="samepoint",0,IF(B1087="northsouth",180,IF(B1088="southnorth",0,F1082)))</f>
        <v>0</v>
      </c>
      <c r="G1083" s="447"/>
      <c r="H1083" s="447"/>
      <c r="I1083" s="485">
        <f>IF(B1086="samepoint",0,IF(B1087="northsouth",0,IF(B1088="southnorth",180,IF(I1082&lt;0,I1082*180/PI()+360,I1082*180/PI()))))</f>
        <v>0</v>
      </c>
      <c r="J1083" s="485">
        <f>IF(B1086="samepoint",0,IF(B1087="northsouth",180,IF(B1088="southnorth",0,J1082*180/PI()+180)))</f>
        <v>0</v>
      </c>
    </row>
    <row r="1084" spans="1:10" s="444" customFormat="1" ht="12.3" x14ac:dyDescent="0.4">
      <c r="A1084" s="447"/>
      <c r="B1084" s="145"/>
      <c r="C1084" s="447"/>
      <c r="D1084" s="447"/>
      <c r="E1084" s="145"/>
      <c r="F1084" s="447"/>
      <c r="G1084" s="447"/>
      <c r="H1084" s="447"/>
      <c r="I1084" s="447"/>
    </row>
    <row r="1085" spans="1:10" s="444" customFormat="1" ht="12.3" x14ac:dyDescent="0.4">
      <c r="A1085" s="447"/>
      <c r="B1085" s="144" t="s">
        <v>135</v>
      </c>
      <c r="C1085" s="144"/>
      <c r="D1085" s="447"/>
      <c r="E1085" s="447"/>
      <c r="F1085" s="447"/>
      <c r="G1085" s="447"/>
      <c r="H1085" s="447"/>
      <c r="I1085" s="447"/>
    </row>
    <row r="1086" spans="1:10" s="444" customFormat="1" ht="12.3" x14ac:dyDescent="0.4">
      <c r="A1086" s="447"/>
      <c r="B1086" s="447" t="str">
        <f>IF(AND(C1027=C1029,C1028=C1030),"samepoint","N.A. " )</f>
        <v>samepoint</v>
      </c>
      <c r="C1086" s="447" t="s">
        <v>134</v>
      </c>
      <c r="D1086" s="447"/>
      <c r="E1086" s="447"/>
      <c r="F1086" s="447"/>
      <c r="G1086" s="447"/>
      <c r="H1086" s="447"/>
      <c r="I1086" s="447"/>
    </row>
    <row r="1087" spans="1:10" s="444" customFormat="1" ht="12.3" x14ac:dyDescent="0.4">
      <c r="A1087" s="447"/>
      <c r="B1087" s="447" t="str">
        <f>IF(AND(C1028=C1030,C1029&gt;C1027),"northsouth","N.A. ")</f>
        <v xml:space="preserve">N.A. </v>
      </c>
      <c r="C1087" s="447" t="s">
        <v>133</v>
      </c>
      <c r="D1087" s="447"/>
      <c r="E1087" s="447"/>
      <c r="F1087" s="447"/>
      <c r="G1087" s="447"/>
      <c r="H1087" s="447"/>
      <c r="I1087" s="447"/>
    </row>
    <row r="1088" spans="1:10" s="444" customFormat="1" ht="12.3" x14ac:dyDescent="0.4">
      <c r="A1088" s="447"/>
      <c r="B1088" s="447" t="str">
        <f>IF(AND(C1028=C1030,C1027&gt;C1029),"southnorth","N.A. ")</f>
        <v xml:space="preserve">N.A. </v>
      </c>
      <c r="C1088" s="447" t="s">
        <v>132</v>
      </c>
      <c r="D1088" s="447"/>
      <c r="E1088" s="447"/>
      <c r="F1088" s="447"/>
      <c r="G1088" s="447"/>
      <c r="H1088" s="447"/>
      <c r="I1088" s="447"/>
    </row>
    <row r="1089" spans="1:10" s="444" customFormat="1" ht="12.3" x14ac:dyDescent="0.4">
      <c r="A1089" s="447"/>
      <c r="B1089" s="447"/>
      <c r="C1089" s="447"/>
      <c r="D1089" s="447"/>
      <c r="E1089" s="447"/>
      <c r="F1089" s="447"/>
      <c r="G1089" s="447"/>
      <c r="H1089" s="447"/>
      <c r="I1089" s="447"/>
    </row>
    <row r="1090" spans="1:10" s="444" customFormat="1" ht="12.3" x14ac:dyDescent="0.4">
      <c r="A1090" s="447"/>
      <c r="B1090" s="447"/>
      <c r="C1090" s="447"/>
      <c r="D1090" s="447"/>
      <c r="E1090" s="447"/>
      <c r="F1090" s="447"/>
      <c r="G1090" s="447"/>
      <c r="H1090" s="447"/>
      <c r="I1090" s="447"/>
    </row>
    <row r="1091" spans="1:10" s="444" customFormat="1" ht="15" x14ac:dyDescent="0.5">
      <c r="A1091" s="447"/>
      <c r="B1091" s="448" t="s">
        <v>187</v>
      </c>
      <c r="C1091" s="448" t="s">
        <v>186</v>
      </c>
      <c r="D1091" s="447"/>
      <c r="E1091" s="447"/>
      <c r="F1091" s="447"/>
      <c r="G1091" s="447"/>
      <c r="H1091" s="447"/>
      <c r="I1091" s="447"/>
    </row>
    <row r="1092" spans="1:10" s="444" customFormat="1" ht="17.399999999999999" x14ac:dyDescent="0.55000000000000004">
      <c r="A1092" s="447"/>
      <c r="B1092" s="449" t="s">
        <v>185</v>
      </c>
      <c r="C1092" s="450" t="s">
        <v>195</v>
      </c>
      <c r="D1092" s="451"/>
      <c r="E1092" s="452"/>
      <c r="F1092" s="453" t="s">
        <v>183</v>
      </c>
      <c r="G1092" s="512" t="s">
        <v>194</v>
      </c>
      <c r="H1092" s="512"/>
      <c r="I1092" s="454"/>
      <c r="J1092" s="455"/>
    </row>
    <row r="1093" spans="1:10" s="444" customFormat="1" ht="14.7" x14ac:dyDescent="0.6">
      <c r="A1093" s="447"/>
      <c r="B1093" s="158" t="s">
        <v>405</v>
      </c>
      <c r="C1093" s="1068" t="s">
        <v>181</v>
      </c>
      <c r="D1093" s="1069"/>
      <c r="E1093" s="458"/>
      <c r="F1093" s="157" t="s">
        <v>406</v>
      </c>
      <c r="G1093" s="1069" t="s">
        <v>181</v>
      </c>
      <c r="H1093" s="1069"/>
      <c r="I1093" s="1070"/>
      <c r="J1093" s="460"/>
    </row>
    <row r="1094" spans="1:10" s="444" customFormat="1" ht="14.7" x14ac:dyDescent="0.6">
      <c r="A1094" s="447"/>
      <c r="B1094" s="158" t="s">
        <v>407</v>
      </c>
      <c r="C1094" s="1071" t="s">
        <v>181</v>
      </c>
      <c r="D1094" s="1072"/>
      <c r="E1094" s="463"/>
      <c r="F1094" s="157" t="s">
        <v>408</v>
      </c>
      <c r="G1094" s="1072" t="s">
        <v>181</v>
      </c>
      <c r="H1094" s="1072"/>
      <c r="I1094" s="1073"/>
    </row>
    <row r="1095" spans="1:10" s="444" customFormat="1" ht="12.3" x14ac:dyDescent="0.4">
      <c r="A1095" s="447"/>
      <c r="B1095" s="464" t="s">
        <v>180</v>
      </c>
      <c r="C1095" s="465">
        <f>E1144</f>
        <v>0</v>
      </c>
      <c r="D1095" s="513"/>
      <c r="E1095" s="514"/>
      <c r="F1095" s="500"/>
      <c r="G1095" s="468"/>
      <c r="H1095" s="468"/>
      <c r="I1095" s="156" t="s">
        <v>179</v>
      </c>
      <c r="J1095" s="447"/>
    </row>
    <row r="1096" spans="1:10" s="444" customFormat="1" ht="14.7" x14ac:dyDescent="0.6">
      <c r="A1096" s="447"/>
      <c r="B1096" s="464" t="s">
        <v>409</v>
      </c>
      <c r="C1096" s="469">
        <f>I1156</f>
        <v>0</v>
      </c>
      <c r="D1096" s="470"/>
      <c r="E1096" s="471"/>
      <c r="F1096" s="501"/>
      <c r="G1096" s="472"/>
      <c r="H1096" s="473"/>
      <c r="J1096" s="474"/>
    </row>
    <row r="1097" spans="1:10" s="444" customFormat="1" ht="14.7" x14ac:dyDescent="0.6">
      <c r="A1097" s="447"/>
      <c r="B1097" s="475" t="s">
        <v>410</v>
      </c>
      <c r="C1097" s="476">
        <f>J1156</f>
        <v>0</v>
      </c>
      <c r="D1097" s="477"/>
      <c r="E1097" s="478"/>
      <c r="F1097" s="506" t="str">
        <f>IF(OR(C1100=0,C1102=0),"N/A",C1095/1000)</f>
        <v>N/A</v>
      </c>
      <c r="G1097" s="447" t="s">
        <v>178</v>
      </c>
      <c r="H1097" s="447"/>
    </row>
    <row r="1098" spans="1:10" s="444" customFormat="1" ht="12.3" x14ac:dyDescent="0.4">
      <c r="A1098" s="447"/>
      <c r="B1098" s="460"/>
      <c r="C1098" s="487"/>
      <c r="D1098" s="489"/>
      <c r="E1098" s="489"/>
      <c r="F1098" s="447"/>
      <c r="G1098" s="460"/>
    </row>
    <row r="1099" spans="1:10" s="444" customFormat="1" ht="12.3" x14ac:dyDescent="0.4">
      <c r="A1099" s="447"/>
      <c r="B1099" s="447"/>
      <c r="C1099" s="503" t="s">
        <v>177</v>
      </c>
      <c r="D1099" s="504"/>
      <c r="E1099" s="503" t="s">
        <v>85</v>
      </c>
      <c r="F1099" s="447"/>
      <c r="G1099" s="460"/>
      <c r="H1099" s="460"/>
      <c r="I1099" s="447"/>
    </row>
    <row r="1100" spans="1:10" s="444" customFormat="1" ht="14.7" x14ac:dyDescent="0.6">
      <c r="A1100" s="447"/>
      <c r="B1100" s="460" t="s">
        <v>411</v>
      </c>
      <c r="C1100" s="485">
        <f>IF(SUMMARY!B20="NO",0,TPOrder!FJ9)</f>
        <v>0</v>
      </c>
      <c r="D1100" s="447"/>
      <c r="E1100" s="485">
        <f>C1100*PI()/180</f>
        <v>0</v>
      </c>
      <c r="F1100" s="447"/>
      <c r="G1100" s="460"/>
      <c r="H1100" s="460"/>
      <c r="I1100" s="447"/>
    </row>
    <row r="1101" spans="1:10" s="444" customFormat="1" ht="14.7" x14ac:dyDescent="0.6">
      <c r="A1101" s="447"/>
      <c r="B1101" s="460" t="s">
        <v>412</v>
      </c>
      <c r="C1101" s="485">
        <f>TPOrder!FL9</f>
        <v>0</v>
      </c>
      <c r="D1101" s="447"/>
      <c r="E1101" s="485">
        <f>C1101*PI()/180</f>
        <v>0</v>
      </c>
      <c r="F1101" s="447"/>
      <c r="G1101" s="460"/>
      <c r="H1101" s="485"/>
      <c r="I1101" s="447"/>
    </row>
    <row r="1102" spans="1:10" s="444" customFormat="1" ht="14.7" x14ac:dyDescent="0.6">
      <c r="A1102" s="447"/>
      <c r="B1102" s="460" t="s">
        <v>413</v>
      </c>
      <c r="C1102" s="485">
        <f>IF(SUMMARY!B20="NO",0,TPOrder!EZ9)</f>
        <v>0</v>
      </c>
      <c r="D1102" s="447"/>
      <c r="E1102" s="485">
        <f>C1102*PI()/180</f>
        <v>0</v>
      </c>
      <c r="F1102" s="447"/>
      <c r="G1102" s="460"/>
      <c r="H1102" s="460"/>
      <c r="I1102" s="447"/>
    </row>
    <row r="1103" spans="1:10" s="444" customFormat="1" ht="14.7" x14ac:dyDescent="0.6">
      <c r="A1103" s="447"/>
      <c r="B1103" s="460" t="s">
        <v>414</v>
      </c>
      <c r="C1103" s="485">
        <f>TPOrder!FB9</f>
        <v>0</v>
      </c>
      <c r="D1103" s="447"/>
      <c r="E1103" s="485">
        <f>C1103*PI()/180</f>
        <v>0</v>
      </c>
      <c r="F1103" s="447"/>
      <c r="G1103" s="460"/>
      <c r="H1103" s="485"/>
      <c r="I1103" s="447"/>
    </row>
    <row r="1104" spans="1:10" s="444" customFormat="1" ht="12.3" x14ac:dyDescent="0.4">
      <c r="A1104" s="447"/>
      <c r="B1104" s="485"/>
      <c r="C1104" s="485"/>
      <c r="D1104" s="485"/>
      <c r="E1104" s="485"/>
      <c r="F1104" s="447"/>
      <c r="G1104" s="460"/>
      <c r="H1104" s="485"/>
      <c r="I1104" s="447"/>
    </row>
    <row r="1105" spans="2:8" s="447" customFormat="1" ht="12.3" x14ac:dyDescent="0.4">
      <c r="B1105" s="460" t="s">
        <v>176</v>
      </c>
      <c r="C1105" s="487">
        <v>6378137</v>
      </c>
      <c r="D1105" s="488"/>
      <c r="E1105" s="489" t="s">
        <v>175</v>
      </c>
      <c r="F1105" s="485">
        <f>C1107+C1107*C1107</f>
        <v>3.3640520041011246E-3</v>
      </c>
      <c r="G1105" s="460"/>
      <c r="H1105" s="460"/>
    </row>
    <row r="1106" spans="2:8" s="447" customFormat="1" ht="12.3" x14ac:dyDescent="0.4">
      <c r="B1106" s="489" t="s">
        <v>174</v>
      </c>
      <c r="C1106" s="487">
        <f>C1105*(1-C1107)</f>
        <v>6356752.3142451793</v>
      </c>
      <c r="D1106" s="488"/>
      <c r="E1106" s="489" t="s">
        <v>173</v>
      </c>
      <c r="F1106" s="485">
        <f>F1105/2</f>
        <v>1.6820260020505623E-3</v>
      </c>
      <c r="G1106" s="460"/>
      <c r="H1106" s="460"/>
    </row>
    <row r="1107" spans="2:8" s="447" customFormat="1" ht="12.3" x14ac:dyDescent="0.4">
      <c r="B1107" s="489" t="s">
        <v>172</v>
      </c>
      <c r="C1107" s="485">
        <v>3.3528106647474801E-3</v>
      </c>
      <c r="D1107" s="489"/>
      <c r="E1107" s="489" t="s">
        <v>171</v>
      </c>
      <c r="F1107" s="485">
        <f>C1107*C1107/2</f>
        <v>5.6206696768222199E-6</v>
      </c>
      <c r="G1107" s="460"/>
      <c r="H1107" s="460"/>
    </row>
    <row r="1108" spans="2:8" s="447" customFormat="1" ht="12.3" x14ac:dyDescent="0.4">
      <c r="B1108" s="460" t="s">
        <v>415</v>
      </c>
      <c r="C1108" s="485">
        <f>E1103-E1101</f>
        <v>0</v>
      </c>
      <c r="E1108" s="447" t="s">
        <v>170</v>
      </c>
      <c r="F1108" s="485">
        <f>C1107*C1107/8</f>
        <v>1.405167419205555E-6</v>
      </c>
      <c r="G1108" s="460"/>
      <c r="H1108" s="460"/>
    </row>
    <row r="1109" spans="2:8" s="447" customFormat="1" ht="12.3" x14ac:dyDescent="0.4">
      <c r="E1109" s="489" t="s">
        <v>169</v>
      </c>
      <c r="F1109" s="485">
        <f>C1107*C1107/16</f>
        <v>7.0258370960277749E-7</v>
      </c>
      <c r="G1109" s="460"/>
      <c r="H1109" s="460"/>
    </row>
    <row r="1110" spans="2:8" s="447" customFormat="1" ht="12.3" x14ac:dyDescent="0.4">
      <c r="B1110" s="447" t="s">
        <v>168</v>
      </c>
      <c r="C1110" s="490">
        <f>(1-C1107)*TAN(E1100)</f>
        <v>0</v>
      </c>
      <c r="E1110" s="489"/>
      <c r="F1110" s="460"/>
      <c r="G1110" s="460"/>
      <c r="H1110" s="460"/>
    </row>
    <row r="1111" spans="2:8" s="447" customFormat="1" ht="12.3" x14ac:dyDescent="0.4">
      <c r="B1111" s="460" t="s">
        <v>106</v>
      </c>
      <c r="C1111" s="485">
        <f>ATAN(C1110)</f>
        <v>0</v>
      </c>
      <c r="D1111" s="489"/>
      <c r="E1111" s="155"/>
      <c r="F1111" s="485"/>
      <c r="G1111" s="460"/>
      <c r="H1111" s="460"/>
    </row>
    <row r="1112" spans="2:8" s="447" customFormat="1" ht="12.3" x14ac:dyDescent="0.4">
      <c r="B1112" s="460" t="s">
        <v>167</v>
      </c>
      <c r="C1112" s="485">
        <f>SIN(C1111)</f>
        <v>0</v>
      </c>
      <c r="D1112" s="489"/>
      <c r="E1112" s="148"/>
      <c r="F1112" s="485"/>
      <c r="G1112" s="460"/>
      <c r="H1112" s="460"/>
    </row>
    <row r="1113" spans="2:8" s="447" customFormat="1" ht="12.3" x14ac:dyDescent="0.4">
      <c r="B1113" s="460" t="s">
        <v>166</v>
      </c>
      <c r="C1113" s="485">
        <f>COS(C1111)</f>
        <v>1</v>
      </c>
      <c r="D1113" s="489"/>
      <c r="E1113" s="460"/>
      <c r="F1113" s="485"/>
      <c r="G1113" s="460"/>
      <c r="H1113" s="460"/>
    </row>
    <row r="1114" spans="2:8" s="447" customFormat="1" ht="12.3" x14ac:dyDescent="0.4">
      <c r="B1114" s="460" t="s">
        <v>165</v>
      </c>
      <c r="C1114" s="491">
        <f>(1-C1107)*TAN(E1102)</f>
        <v>0</v>
      </c>
      <c r="D1114" s="489"/>
      <c r="E1114" s="460"/>
      <c r="F1114" s="485"/>
      <c r="G1114" s="460"/>
      <c r="H1114" s="460"/>
    </row>
    <row r="1115" spans="2:8" s="447" customFormat="1" ht="12.3" x14ac:dyDescent="0.4">
      <c r="B1115" s="460" t="s">
        <v>164</v>
      </c>
      <c r="C1115" s="485">
        <f>ATAN(C1114)</f>
        <v>0</v>
      </c>
      <c r="D1115" s="489"/>
      <c r="E1115" s="460"/>
      <c r="F1115" s="485"/>
      <c r="G1115" s="460"/>
      <c r="H1115" s="460"/>
    </row>
    <row r="1116" spans="2:8" s="447" customFormat="1" ht="12.3" x14ac:dyDescent="0.4">
      <c r="B1116" s="460" t="s">
        <v>163</v>
      </c>
      <c r="C1116" s="485">
        <f>SIN(C1115)</f>
        <v>0</v>
      </c>
      <c r="D1116" s="489"/>
      <c r="E1116" s="460"/>
      <c r="F1116" s="485"/>
      <c r="G1116" s="460"/>
      <c r="H1116" s="460"/>
    </row>
    <row r="1117" spans="2:8" s="447" customFormat="1" ht="12.3" x14ac:dyDescent="0.4">
      <c r="B1117" s="460" t="s">
        <v>162</v>
      </c>
      <c r="C1117" s="485">
        <f>COS(C1115)</f>
        <v>1</v>
      </c>
      <c r="D1117" s="489"/>
      <c r="E1117" s="460"/>
      <c r="F1117" s="485"/>
      <c r="G1117" s="460"/>
      <c r="H1117" s="460"/>
    </row>
    <row r="1118" spans="2:8" s="447" customFormat="1" ht="12.3" x14ac:dyDescent="0.4">
      <c r="B1118" s="147" t="s">
        <v>161</v>
      </c>
      <c r="C1118" s="485"/>
      <c r="D1118" s="489"/>
      <c r="E1118" s="460"/>
      <c r="F1118" s="485"/>
      <c r="G1118" s="460"/>
      <c r="H1118" s="460"/>
    </row>
    <row r="1119" spans="2:8" s="447" customFormat="1" ht="12.3" x14ac:dyDescent="0.4">
      <c r="B1119" s="148" t="s">
        <v>144</v>
      </c>
      <c r="C1119" s="485">
        <f>C1108</f>
        <v>0</v>
      </c>
      <c r="D1119" s="489"/>
      <c r="E1119" s="485">
        <f ca="1">E1142</f>
        <v>0</v>
      </c>
      <c r="F1119" s="485"/>
      <c r="G1119" s="460"/>
      <c r="H1119" s="460"/>
    </row>
    <row r="1120" spans="2:8" s="447" customFormat="1" ht="12.3" x14ac:dyDescent="0.4">
      <c r="B1120" s="147" t="s">
        <v>160</v>
      </c>
      <c r="C1120" s="485"/>
      <c r="D1120" s="489"/>
      <c r="E1120" s="460"/>
      <c r="F1120" s="485"/>
      <c r="G1120" s="460"/>
      <c r="H1120" s="460"/>
    </row>
    <row r="1121" spans="1:9" s="444" customFormat="1" ht="13.8" x14ac:dyDescent="0.4">
      <c r="A1121" s="447"/>
      <c r="B1121" s="460" t="s">
        <v>159</v>
      </c>
      <c r="C1121" s="485">
        <f>(C1117*SIN(C1119)*C1117*SIN(C1119))+(C1113*C1116-C1112*C1117*COS(C1119))*(C1113*C1116-C1112*C1117*COS(C1119))</f>
        <v>0</v>
      </c>
      <c r="D1121" s="489"/>
      <c r="E1121" s="485">
        <f ca="1">(C1117*SIN(E1119)*C1117*SIN(E1119))+(C1113*C1116-C1112*C1117*COS(E1119))*(C1113*C1116-C1112*C1117*COS(E1119))</f>
        <v>0</v>
      </c>
      <c r="F1121" s="485"/>
      <c r="G1121" s="460"/>
      <c r="H1121" s="460"/>
      <c r="I1121" s="447"/>
    </row>
    <row r="1122" spans="1:9" s="444" customFormat="1" ht="12.3" x14ac:dyDescent="0.4">
      <c r="A1122" s="447"/>
      <c r="B1122" s="154" t="s">
        <v>158</v>
      </c>
      <c r="C1122" s="485"/>
      <c r="D1122" s="489"/>
      <c r="E1122" s="489"/>
      <c r="F1122" s="485"/>
      <c r="G1122" s="460"/>
      <c r="H1122" s="460"/>
      <c r="I1122" s="447"/>
    </row>
    <row r="1123" spans="1:9" s="444" customFormat="1" ht="12.3" x14ac:dyDescent="0.4">
      <c r="A1123" s="447"/>
      <c r="B1123" s="447" t="s">
        <v>157</v>
      </c>
      <c r="C1123" s="447">
        <f>(C1112*C1116)+(C1113*C1117*COS(C1119))</f>
        <v>1</v>
      </c>
      <c r="D1123" s="447"/>
      <c r="E1123" s="447">
        <f ca="1">(C1112*C1116)+(C1113*C1117*COS(E1119))</f>
        <v>1</v>
      </c>
      <c r="F1123" s="447"/>
      <c r="G1123" s="460"/>
      <c r="H1123" s="460"/>
      <c r="I1123" s="447"/>
    </row>
    <row r="1124" spans="1:9" s="444" customFormat="1" ht="12.3" x14ac:dyDescent="0.4">
      <c r="A1124" s="447"/>
      <c r="B1124" s="153" t="s">
        <v>156</v>
      </c>
      <c r="C1124" s="489"/>
      <c r="D1124" s="489"/>
      <c r="E1124" s="489"/>
      <c r="F1124" s="460"/>
      <c r="G1124" s="460"/>
      <c r="H1124" s="460"/>
      <c r="I1124" s="447"/>
    </row>
    <row r="1125" spans="1:9" s="444" customFormat="1" ht="12.3" x14ac:dyDescent="0.4">
      <c r="A1125" s="447"/>
      <c r="B1125" s="460" t="s">
        <v>155</v>
      </c>
      <c r="C1125" s="485">
        <f>SQRT(C1121)/C1123</f>
        <v>0</v>
      </c>
      <c r="D1125" s="489"/>
      <c r="E1125" s="485">
        <f ca="1">SQRT(E1121)/E1123</f>
        <v>0</v>
      </c>
      <c r="F1125" s="485"/>
      <c r="G1125" s="447"/>
      <c r="H1125" s="447"/>
      <c r="I1125" s="492"/>
    </row>
    <row r="1126" spans="1:9" s="444" customFormat="1" ht="12.3" x14ac:dyDescent="0.4">
      <c r="A1126" s="447"/>
      <c r="B1126" s="148" t="s">
        <v>142</v>
      </c>
      <c r="C1126" s="485">
        <f>ATAN(C1125)</f>
        <v>0</v>
      </c>
      <c r="D1126" s="489"/>
      <c r="E1126" s="485">
        <f ca="1">IF(ATAN(E1125)&lt;0,ATAN(E1125)+PI(),ATAN(E1125))</f>
        <v>0</v>
      </c>
      <c r="F1126" s="485"/>
      <c r="G1126" s="447"/>
      <c r="H1126" s="447"/>
      <c r="I1126" s="492"/>
    </row>
    <row r="1127" spans="1:9" s="444" customFormat="1" ht="12.3" x14ac:dyDescent="0.4">
      <c r="A1127" s="447"/>
      <c r="B1127" s="147" t="s">
        <v>154</v>
      </c>
      <c r="C1127" s="485"/>
      <c r="D1127" s="489"/>
      <c r="E1127" s="460"/>
      <c r="F1127" s="485"/>
      <c r="G1127" s="447"/>
      <c r="H1127" s="447"/>
      <c r="I1127" s="492"/>
    </row>
    <row r="1128" spans="1:9" s="444" customFormat="1" ht="12.3" x14ac:dyDescent="0.4">
      <c r="A1128" s="447"/>
      <c r="B1128" s="460" t="s">
        <v>153</v>
      </c>
      <c r="C1128" s="485">
        <f>IF(C1121=0,0,C1113*C1117*SIN(C1119)/SQRT(C1121))</f>
        <v>0</v>
      </c>
      <c r="D1128" s="489"/>
      <c r="E1128" s="485">
        <f ca="1">IF(E1121=0,0,C1113*C1117*SIN(E1119)/SQRT(E1121))</f>
        <v>0</v>
      </c>
      <c r="F1128" s="485"/>
      <c r="G1128" s="460"/>
      <c r="H1128" s="460"/>
      <c r="I1128" s="492"/>
    </row>
    <row r="1129" spans="1:9" s="444" customFormat="1" ht="12.3" x14ac:dyDescent="0.4">
      <c r="A1129" s="447"/>
      <c r="B1129" s="147" t="s">
        <v>152</v>
      </c>
      <c r="C1129" s="485"/>
      <c r="D1129" s="489"/>
      <c r="E1129" s="489"/>
      <c r="F1129" s="485"/>
      <c r="G1129" s="460"/>
      <c r="H1129" s="460"/>
      <c r="I1129" s="447"/>
    </row>
    <row r="1130" spans="1:9" s="444" customFormat="1" ht="16.2" x14ac:dyDescent="0.65">
      <c r="A1130" s="447"/>
      <c r="B1130" s="447" t="s">
        <v>416</v>
      </c>
      <c r="C1130" s="447">
        <f>IF((COS(ASIN(C1128))*COS(ASIN(C1128)))=0,0,C1123-2*C1112*C1116/(COS(ASIN(C1128))*COS(ASIN(C1128))))</f>
        <v>1</v>
      </c>
      <c r="D1130" s="489"/>
      <c r="E1130" s="447">
        <f ca="1">E1123-2*C1112*C1116/(COS(ASIN(E1128))*COS(ASIN(E1128)))</f>
        <v>1</v>
      </c>
      <c r="F1130" s="460"/>
      <c r="G1130" s="460"/>
      <c r="H1130" s="460"/>
      <c r="I1130" s="447"/>
    </row>
    <row r="1131" spans="1:9" s="444" customFormat="1" ht="15.9" x14ac:dyDescent="0.45">
      <c r="A1131" s="447"/>
      <c r="B1131" s="447" t="s">
        <v>151</v>
      </c>
      <c r="C1131" s="487">
        <f>COS(ASIN(C1128))*COS(ASIN(C1128))*(C1105*C1105-C1106*C1106)/(C1106*C1106)</f>
        <v>6.7394967422764341E-3</v>
      </c>
      <c r="D1131" s="489"/>
      <c r="E1131" s="487">
        <f ca="1">COS(ASIN(E1128))*COS(ASIN(E1128))*(C1105*C1105-C1106*C1106)/(C1106*C1106)</f>
        <v>6.7394967422764341E-3</v>
      </c>
      <c r="F1131" s="447"/>
      <c r="G1131" s="460"/>
      <c r="H1131" s="460"/>
      <c r="I1131" s="447"/>
    </row>
    <row r="1132" spans="1:9" s="444" customFormat="1" ht="12.3" x14ac:dyDescent="0.4">
      <c r="A1132" s="447"/>
      <c r="B1132" s="152" t="s">
        <v>150</v>
      </c>
      <c r="C1132" s="485"/>
      <c r="D1132" s="489"/>
      <c r="E1132" s="460"/>
      <c r="F1132" s="485"/>
      <c r="G1132" s="460"/>
      <c r="H1132" s="460"/>
      <c r="I1132" s="447"/>
    </row>
    <row r="1133" spans="1:9" s="444" customFormat="1" ht="12.3" x14ac:dyDescent="0.4">
      <c r="A1133" s="447"/>
      <c r="B1133" s="460" t="s">
        <v>9</v>
      </c>
      <c r="C1133" s="485">
        <f>1+C1131/16384*(4096+C1131*(-768+C1131*(320-175*C1131)))</f>
        <v>1.0016827510415456</v>
      </c>
      <c r="D1133" s="489"/>
      <c r="E1133" s="485">
        <f ca="1">1+E1131/16384*(4096+E1131*(-768+E1131*(320-175*E1131)))</f>
        <v>1.0016827510415456</v>
      </c>
      <c r="F1133" s="485"/>
      <c r="G1133" s="460"/>
      <c r="H1133" s="460"/>
      <c r="I1133" s="447"/>
    </row>
    <row r="1134" spans="1:9" s="444" customFormat="1" ht="12.3" x14ac:dyDescent="0.4">
      <c r="A1134" s="447"/>
      <c r="B1134" s="147" t="s">
        <v>149</v>
      </c>
      <c r="C1134" s="485"/>
      <c r="D1134" s="489"/>
      <c r="E1134" s="460"/>
      <c r="F1134" s="485"/>
      <c r="G1134" s="460"/>
      <c r="H1134" s="460"/>
      <c r="I1134" s="490"/>
    </row>
    <row r="1135" spans="1:9" s="444" customFormat="1" ht="12.3" x14ac:dyDescent="0.4">
      <c r="A1135" s="447"/>
      <c r="B1135" s="460" t="s">
        <v>10</v>
      </c>
      <c r="C1135" s="485">
        <f>C1131/1024*(256+C1131*(-128+C1131*(74-47*C1131)))</f>
        <v>1.6792186103152505E-3</v>
      </c>
      <c r="D1135" s="489"/>
      <c r="E1135" s="485">
        <f ca="1">E1131/1024*(256+E1131*(-128+E1131*(74-47*E1131)))</f>
        <v>1.6792186103152505E-3</v>
      </c>
      <c r="F1135" s="485"/>
      <c r="G1135" s="460"/>
      <c r="H1135" s="460"/>
      <c r="I1135" s="447"/>
    </row>
    <row r="1136" spans="1:9" s="444" customFormat="1" ht="12.3" x14ac:dyDescent="0.4">
      <c r="A1136" s="447"/>
      <c r="B1136" s="147" t="s">
        <v>148</v>
      </c>
      <c r="C1136" s="485"/>
      <c r="D1136" s="489"/>
      <c r="E1136" s="460"/>
      <c r="F1136" s="485"/>
      <c r="G1136" s="460"/>
      <c r="H1136" s="460"/>
      <c r="I1136" s="447"/>
    </row>
    <row r="1137" spans="1:9" s="444" customFormat="1" ht="12.3" x14ac:dyDescent="0.4">
      <c r="A1137" s="447"/>
      <c r="B1137" s="148" t="s">
        <v>147</v>
      </c>
      <c r="C1137" s="485">
        <f>C1135*SQRT(C1121)*(C1130+C1135/4*(C1123*(-1+2*C1130*C1130)-C1135/6*C1130*(-3+4*C1121)*(-3+4*C1130*C1130)))</f>
        <v>0</v>
      </c>
      <c r="D1137" s="489"/>
      <c r="E1137" s="485">
        <f ca="1">E1135*SQRT(E1121)*(E1130+E1135/4*(E1123*(-1+2*E1130*E1130)-E1135/6*E1130*(-3+4*E1121)*(-3+4*E1130*E1130)))</f>
        <v>0</v>
      </c>
      <c r="F1137" s="485"/>
      <c r="G1137" s="460"/>
      <c r="H1137" s="460"/>
      <c r="I1137" s="447"/>
    </row>
    <row r="1138" spans="1:9" s="444" customFormat="1" ht="12.3" x14ac:dyDescent="0.4">
      <c r="A1138" s="447"/>
      <c r="B1138" s="460"/>
      <c r="C1138" s="485"/>
      <c r="D1138" s="489"/>
      <c r="E1138" s="460"/>
      <c r="F1138" s="485"/>
      <c r="G1138" s="460"/>
      <c r="H1138" s="460"/>
      <c r="I1138" s="447"/>
    </row>
    <row r="1139" spans="1:9" s="444" customFormat="1" ht="12.3" x14ac:dyDescent="0.4">
      <c r="A1139" s="447"/>
      <c r="B1139" s="147" t="s">
        <v>146</v>
      </c>
      <c r="C1139" s="485"/>
      <c r="D1139" s="494"/>
      <c r="E1139" s="460"/>
      <c r="F1139" s="485"/>
      <c r="G1139" s="460"/>
      <c r="H1139" s="460"/>
      <c r="I1139" s="150"/>
    </row>
    <row r="1140" spans="1:9" s="444" customFormat="1" ht="12.3" x14ac:dyDescent="0.4">
      <c r="A1140" s="447"/>
      <c r="B1140" s="460" t="s">
        <v>11</v>
      </c>
      <c r="C1140" s="485">
        <f>C1107/16*COS(ASIN(C1128))*COS(ASIN(C1128))*(4+C1107*(4-3*COS(ASIN(C1128))*COS(ASIN(C1128))))</f>
        <v>8.389052498964728E-4</v>
      </c>
      <c r="D1140" s="494"/>
      <c r="E1140" s="485">
        <f ca="1">C1107/16*COS(ASIN(E1128))*COS(ASIN(E1128))*(4+C1107*(4-3*COS(ASIN(E1128))*COS(ASIN(E1128))))</f>
        <v>8.389052498964728E-4</v>
      </c>
      <c r="F1140" s="485"/>
      <c r="G1140" s="460"/>
      <c r="H1140" s="460"/>
      <c r="I1140" s="150"/>
    </row>
    <row r="1141" spans="1:9" s="444" customFormat="1" ht="12.3" x14ac:dyDescent="0.4">
      <c r="A1141" s="447"/>
      <c r="B1141" s="147" t="s">
        <v>145</v>
      </c>
      <c r="C1141" s="485"/>
      <c r="D1141" s="494"/>
      <c r="E1141" s="460"/>
      <c r="F1141" s="485"/>
      <c r="G1141" s="460"/>
      <c r="H1141" s="460"/>
      <c r="I1141" s="150"/>
    </row>
    <row r="1142" spans="1:9" s="444" customFormat="1" ht="12.3" x14ac:dyDescent="0.4">
      <c r="A1142" s="447"/>
      <c r="B1142" s="151" t="s">
        <v>144</v>
      </c>
      <c r="C1142" s="485">
        <f>C1108+(1-C1140)*C1107*C1128*(ACOS(C1123)+C1140*SIN(ACOS(C1123))*(C1130+C1140*C1123*(-1+2*C1130*C1130)))</f>
        <v>0</v>
      </c>
      <c r="D1142" s="494"/>
      <c r="E1142" s="511">
        <f ca="1">C1108+(1-E1140)*C1107*E1128*(ACOS(E1123)+E1140*SIN(ACOS(E1123))*(E1130+E1140*E1123*(-1+2*E1130*E1130)))</f>
        <v>0</v>
      </c>
      <c r="F1142" s="485"/>
      <c r="G1142" s="460"/>
      <c r="H1142" s="460"/>
      <c r="I1142" s="150"/>
    </row>
    <row r="1143" spans="1:9" s="444" customFormat="1" ht="12.3" x14ac:dyDescent="0.4">
      <c r="A1143" s="447"/>
      <c r="B1143" s="149" t="s">
        <v>143</v>
      </c>
      <c r="C1143" s="485"/>
      <c r="D1143" s="494"/>
      <c r="E1143" s="148"/>
      <c r="F1143" s="485"/>
      <c r="G1143" s="460"/>
      <c r="H1143" s="460"/>
      <c r="I1143" s="496"/>
    </row>
    <row r="1144" spans="1:9" s="444" customFormat="1" ht="12.3" x14ac:dyDescent="0.4">
      <c r="A1144" s="447"/>
      <c r="B1144" s="460" t="s">
        <v>142</v>
      </c>
      <c r="C1144" s="485">
        <f>IF(B1159="samepoint",0,C1106*C1133*(ATAN(C1125)-C1137))</f>
        <v>0</v>
      </c>
      <c r="D1144" s="494"/>
      <c r="E1144" s="485">
        <f>IF(B1159="samepoint",0,C1106*E1133*(E1126-E1137))</f>
        <v>0</v>
      </c>
      <c r="F1144" s="460"/>
      <c r="G1144" s="460"/>
      <c r="H1144" s="460"/>
      <c r="I1144" s="496"/>
    </row>
    <row r="1145" spans="1:9" s="444" customFormat="1" ht="12.3" x14ac:dyDescent="0.4">
      <c r="A1145" s="447"/>
      <c r="B1145" s="147" t="s">
        <v>141</v>
      </c>
      <c r="C1145" s="485"/>
      <c r="D1145" s="494"/>
      <c r="E1145" s="485"/>
      <c r="F1145" s="460"/>
      <c r="G1145" s="460"/>
      <c r="H1145" s="460"/>
      <c r="I1145" s="496"/>
    </row>
    <row r="1146" spans="1:9" s="444" customFormat="1" ht="16.2" x14ac:dyDescent="0.65">
      <c r="A1146" s="447"/>
      <c r="B1146" s="460" t="s">
        <v>140</v>
      </c>
      <c r="C1146" s="485"/>
      <c r="D1146" s="494"/>
      <c r="E1146" s="485" t="e">
        <f ca="1">C1117*SIN(E1142)/(C1113*C1116-C1112*C1117*COS(E1142))</f>
        <v>#DIV/0!</v>
      </c>
      <c r="F1146" s="460"/>
      <c r="G1146" s="460"/>
      <c r="H1146" s="460"/>
      <c r="I1146" s="496"/>
    </row>
    <row r="1147" spans="1:9" s="444" customFormat="1" ht="12.3" x14ac:dyDescent="0.4">
      <c r="A1147" s="447"/>
      <c r="B1147" s="147" t="s">
        <v>139</v>
      </c>
      <c r="C1147" s="485"/>
      <c r="D1147" s="494"/>
      <c r="E1147" s="485"/>
      <c r="F1147" s="460"/>
      <c r="G1147" s="460"/>
      <c r="H1147" s="460"/>
      <c r="I1147" s="496"/>
    </row>
    <row r="1148" spans="1:9" s="444" customFormat="1" ht="16.8" x14ac:dyDescent="0.7">
      <c r="A1148" s="447"/>
      <c r="B1148" s="460" t="s">
        <v>138</v>
      </c>
      <c r="C1148" s="485"/>
      <c r="D1148" s="494"/>
      <c r="E1148" s="485" t="e">
        <f>C1113*SIN(C1142)/(-C1112*C1117+C1113*C1116*COS(C1142))</f>
        <v>#DIV/0!</v>
      </c>
      <c r="F1148" s="460"/>
      <c r="G1148" s="460"/>
      <c r="H1148" s="460"/>
      <c r="I1148" s="496"/>
    </row>
    <row r="1149" spans="1:9" s="444" customFormat="1" ht="12.3" x14ac:dyDescent="0.4">
      <c r="A1149" s="447"/>
      <c r="B1149" s="460"/>
      <c r="C1149" s="485"/>
      <c r="D1149" s="494"/>
      <c r="E1149" s="460"/>
      <c r="F1149" s="485"/>
      <c r="G1149" s="460"/>
      <c r="H1149" s="460"/>
      <c r="I1149" s="496"/>
    </row>
    <row r="1150" spans="1:9" s="444" customFormat="1" ht="12.3" x14ac:dyDescent="0.4">
      <c r="A1150" s="447"/>
      <c r="B1150" s="460"/>
      <c r="C1150" s="497"/>
      <c r="D1150" s="447"/>
      <c r="E1150" s="460"/>
      <c r="F1150" s="485"/>
      <c r="G1150" s="460"/>
      <c r="H1150" s="460"/>
      <c r="I1150" s="496"/>
    </row>
    <row r="1151" spans="1:9" s="444" customFormat="1" ht="12.3" x14ac:dyDescent="0.4">
      <c r="A1151" s="447"/>
      <c r="B1151" s="460"/>
      <c r="C1151" s="460"/>
      <c r="D1151" s="447"/>
      <c r="E1151" s="489"/>
      <c r="F1151" s="494"/>
      <c r="G1151" s="460"/>
      <c r="H1151" s="460"/>
      <c r="I1151" s="496"/>
    </row>
    <row r="1152" spans="1:9" s="444" customFormat="1" ht="12.3" x14ac:dyDescent="0.4">
      <c r="A1152" s="447"/>
      <c r="B1152" s="146" t="s">
        <v>137</v>
      </c>
      <c r="C1152" s="146"/>
      <c r="D1152" s="489"/>
      <c r="E1152" s="146" t="s">
        <v>136</v>
      </c>
      <c r="F1152" s="146"/>
      <c r="G1152" s="460"/>
      <c r="H1152" s="460"/>
      <c r="I1152" s="496"/>
    </row>
    <row r="1153" spans="1:10" s="444" customFormat="1" ht="14.7" x14ac:dyDescent="0.6">
      <c r="A1153" s="447"/>
      <c r="B1153" s="145" t="s">
        <v>417</v>
      </c>
      <c r="C1153" s="485" t="e">
        <f ca="1">ATAN(E1146)</f>
        <v>#DIV/0!</v>
      </c>
      <c r="D1153" s="447"/>
      <c r="E1153" s="145" t="s">
        <v>418</v>
      </c>
      <c r="F1153" s="485" t="e">
        <f>ATAN(E1148)</f>
        <v>#DIV/0!</v>
      </c>
      <c r="G1153" s="460"/>
      <c r="H1153" s="460"/>
      <c r="I1153" s="496" t="e">
        <f>ATAN2(E1102-E1100,E1103-E1101)*180/PI()</f>
        <v>#DIV/0!</v>
      </c>
      <c r="J1153" s="496" t="e">
        <f>ATAN2(E1100-E1102,E1101-E1103)*180/PI()</f>
        <v>#DIV/0!</v>
      </c>
    </row>
    <row r="1154" spans="1:10" s="444" customFormat="1" ht="14.7" x14ac:dyDescent="0.6">
      <c r="A1154" s="447"/>
      <c r="B1154" s="145" t="s">
        <v>419</v>
      </c>
      <c r="C1154" s="485" t="e">
        <f ca="1">(C1153/PI())*180+360</f>
        <v>#DIV/0!</v>
      </c>
      <c r="D1154" s="447"/>
      <c r="E1154" s="145" t="s">
        <v>420</v>
      </c>
      <c r="F1154" s="485" t="e">
        <f>(F1153/PI())*180+180</f>
        <v>#DIV/0!</v>
      </c>
      <c r="G1154" s="460"/>
      <c r="H1154" s="460"/>
      <c r="I1154" s="496" t="e">
        <f>IF(I1153&lt;0,C1153*180/PI()+360,C1153*180/PI())</f>
        <v>#DIV/0!</v>
      </c>
      <c r="J1154" s="498" t="e">
        <f>IF(J1153&gt;0,F1153*180/PI()+180,F1153*180/PI())</f>
        <v>#DIV/0!</v>
      </c>
    </row>
    <row r="1155" spans="1:10" s="444" customFormat="1" ht="14.7" x14ac:dyDescent="0.6">
      <c r="A1155" s="447"/>
      <c r="B1155" s="145" t="s">
        <v>419</v>
      </c>
      <c r="C1155" s="485" t="e">
        <f ca="1">IF(C1154&gt;=360,C1154-360,C1154)</f>
        <v>#DIV/0!</v>
      </c>
      <c r="D1155" s="447"/>
      <c r="E1155" s="145" t="s">
        <v>420</v>
      </c>
      <c r="F1155" s="485" t="e">
        <f>IF(F1154&gt;=360,F1154-360,F1154)</f>
        <v>#DIV/0!</v>
      </c>
      <c r="G1155" s="460"/>
      <c r="H1155" s="460"/>
      <c r="I1155" s="496" t="e">
        <f ca="1">ATAN2((C1113*C1116-C1112*C1117*COS(E1142)),C1117*SIN(E1142))</f>
        <v>#DIV/0!</v>
      </c>
      <c r="J1155" s="485" t="e">
        <f ca="1">ATAN2((-C1112*C1117+C1113*C1116*COS(E1142)),C1113*SIN(E1142))</f>
        <v>#DIV/0!</v>
      </c>
    </row>
    <row r="1156" spans="1:10" s="444" customFormat="1" ht="14.7" x14ac:dyDescent="0.6">
      <c r="A1156" s="447"/>
      <c r="B1156" s="145" t="s">
        <v>419</v>
      </c>
      <c r="C1156" s="485">
        <f>IF(B1159="samepoint",0,IF(B1160="northsouth",0,IF(B1161="southnorth",180,C1155)))</f>
        <v>0</v>
      </c>
      <c r="D1156" s="447"/>
      <c r="E1156" s="145" t="s">
        <v>420</v>
      </c>
      <c r="F1156" s="485">
        <f>IF(B1159="samepoint",0,IF(B1160="northsouth",180,IF(B1161="southnorth",0,F1155)))</f>
        <v>0</v>
      </c>
      <c r="G1156" s="447"/>
      <c r="H1156" s="447"/>
      <c r="I1156" s="485">
        <f>IF(B1159="samepoint",0,IF(B1160="northsouth",0,IF(B1161="southnorth",180,IF(I1155&lt;0,I1155*180/PI()+360,I1155*180/PI()))))</f>
        <v>0</v>
      </c>
      <c r="J1156" s="485">
        <f>IF(B1159="samepoint",0,IF(B1160="northsouth",180,IF(B1161="southnorth",0,J1155*180/PI()+180)))</f>
        <v>0</v>
      </c>
    </row>
    <row r="1157" spans="1:10" s="444" customFormat="1" ht="12.3" x14ac:dyDescent="0.4">
      <c r="A1157" s="447"/>
      <c r="B1157" s="145"/>
      <c r="C1157" s="447"/>
      <c r="D1157" s="447"/>
      <c r="E1157" s="145"/>
      <c r="F1157" s="447"/>
      <c r="G1157" s="447"/>
      <c r="H1157" s="447"/>
      <c r="I1157" s="447"/>
    </row>
    <row r="1158" spans="1:10" s="444" customFormat="1" ht="12.3" x14ac:dyDescent="0.4">
      <c r="A1158" s="447"/>
      <c r="B1158" s="144" t="s">
        <v>135</v>
      </c>
      <c r="C1158" s="144"/>
      <c r="D1158" s="447"/>
      <c r="E1158" s="447"/>
      <c r="F1158" s="447"/>
      <c r="G1158" s="447"/>
      <c r="H1158" s="447"/>
      <c r="I1158" s="447"/>
    </row>
    <row r="1159" spans="1:10" s="444" customFormat="1" ht="12.3" x14ac:dyDescent="0.4">
      <c r="A1159" s="447"/>
      <c r="B1159" s="447" t="str">
        <f>IF(AND(C1100=C1102,C1101=C1103),"samepoint","N.A. " )</f>
        <v>samepoint</v>
      </c>
      <c r="C1159" s="447" t="s">
        <v>134</v>
      </c>
      <c r="D1159" s="447"/>
      <c r="E1159" s="447"/>
      <c r="F1159" s="447"/>
      <c r="G1159" s="447"/>
      <c r="H1159" s="447"/>
      <c r="I1159" s="447"/>
    </row>
    <row r="1160" spans="1:10" s="444" customFormat="1" ht="12.3" x14ac:dyDescent="0.4">
      <c r="A1160" s="447"/>
      <c r="B1160" s="447" t="str">
        <f>IF(AND(C1101=C1103,C1102&gt;C1100),"northsouth","N.A. ")</f>
        <v xml:space="preserve">N.A. </v>
      </c>
      <c r="C1160" s="447" t="s">
        <v>133</v>
      </c>
      <c r="D1160" s="447"/>
      <c r="E1160" s="447"/>
      <c r="F1160" s="447"/>
      <c r="G1160" s="447"/>
      <c r="H1160" s="447"/>
      <c r="I1160" s="447"/>
    </row>
    <row r="1161" spans="1:10" s="444" customFormat="1" ht="12.3" x14ac:dyDescent="0.4">
      <c r="A1161" s="447"/>
      <c r="B1161" s="447" t="str">
        <f>IF(AND(C1101=C1103,C1100&gt;C1102),"southnorth","N.A. ")</f>
        <v xml:space="preserve">N.A. </v>
      </c>
      <c r="C1161" s="447" t="s">
        <v>132</v>
      </c>
      <c r="D1161" s="447"/>
      <c r="E1161" s="447"/>
      <c r="F1161" s="447"/>
      <c r="G1161" s="447"/>
      <c r="H1161" s="447"/>
      <c r="I1161" s="447"/>
    </row>
    <row r="1162" spans="1:10" s="444" customFormat="1" ht="12.3" x14ac:dyDescent="0.4">
      <c r="A1162" s="447"/>
      <c r="B1162" s="447"/>
      <c r="C1162" s="447"/>
      <c r="D1162" s="447"/>
      <c r="E1162" s="447"/>
      <c r="F1162" s="447"/>
      <c r="G1162" s="447"/>
      <c r="H1162" s="447"/>
      <c r="I1162" s="447"/>
    </row>
    <row r="1163" spans="1:10" s="446" customFormat="1" ht="15" x14ac:dyDescent="0.5">
      <c r="A1163" s="445"/>
      <c r="B1163" s="515" t="s">
        <v>187</v>
      </c>
      <c r="C1163" s="515" t="s">
        <v>186</v>
      </c>
      <c r="D1163" s="445"/>
      <c r="E1163" s="445"/>
      <c r="F1163" s="445"/>
      <c r="G1163" s="445"/>
      <c r="H1163" s="445"/>
      <c r="I1163" s="445"/>
    </row>
    <row r="1164" spans="1:10" s="444" customFormat="1" ht="17.399999999999999" x14ac:dyDescent="0.55000000000000004">
      <c r="A1164" s="447"/>
      <c r="B1164" s="449" t="s">
        <v>185</v>
      </c>
      <c r="C1164" s="450" t="s">
        <v>193</v>
      </c>
      <c r="D1164" s="451"/>
      <c r="E1164" s="452"/>
      <c r="F1164" s="453" t="s">
        <v>183</v>
      </c>
      <c r="G1164" s="1074" t="s">
        <v>184</v>
      </c>
      <c r="H1164" s="1074"/>
      <c r="I1164" s="454"/>
      <c r="J1164" s="455"/>
    </row>
    <row r="1165" spans="1:10" s="444" customFormat="1" ht="14.7" x14ac:dyDescent="0.6">
      <c r="A1165" s="447"/>
      <c r="B1165" s="158" t="s">
        <v>405</v>
      </c>
      <c r="C1165" s="1068" t="s">
        <v>181</v>
      </c>
      <c r="D1165" s="1069"/>
      <c r="E1165" s="458"/>
      <c r="F1165" s="157" t="s">
        <v>406</v>
      </c>
      <c r="G1165" s="1069" t="s">
        <v>212</v>
      </c>
      <c r="H1165" s="1069"/>
      <c r="I1165" s="1070"/>
      <c r="J1165" s="460"/>
    </row>
    <row r="1166" spans="1:10" s="444" customFormat="1" ht="14.7" x14ac:dyDescent="0.6">
      <c r="A1166" s="447"/>
      <c r="B1166" s="158" t="s">
        <v>407</v>
      </c>
      <c r="C1166" s="1071" t="s">
        <v>181</v>
      </c>
      <c r="D1166" s="1072"/>
      <c r="E1166" s="463"/>
      <c r="F1166" s="157" t="s">
        <v>408</v>
      </c>
      <c r="G1166" s="1072" t="s">
        <v>213</v>
      </c>
      <c r="H1166" s="1072"/>
      <c r="I1166" s="1073"/>
    </row>
    <row r="1167" spans="1:10" s="444" customFormat="1" ht="12.3" x14ac:dyDescent="0.4">
      <c r="A1167" s="447"/>
      <c r="B1167" s="464" t="s">
        <v>180</v>
      </c>
      <c r="C1167" s="465">
        <f>E1216</f>
        <v>0</v>
      </c>
      <c r="D1167" s="513"/>
      <c r="E1167" s="514"/>
      <c r="F1167" s="500"/>
      <c r="G1167" s="468"/>
      <c r="H1167" s="468"/>
      <c r="I1167" s="156" t="s">
        <v>179</v>
      </c>
      <c r="J1167" s="447"/>
    </row>
    <row r="1168" spans="1:10" s="444" customFormat="1" ht="14.7" x14ac:dyDescent="0.6">
      <c r="A1168" s="447"/>
      <c r="B1168" s="464" t="s">
        <v>409</v>
      </c>
      <c r="C1168" s="469">
        <f>I1228</f>
        <v>0</v>
      </c>
      <c r="D1168" s="470"/>
      <c r="E1168" s="471"/>
      <c r="F1168" s="501"/>
      <c r="G1168" s="472"/>
      <c r="H1168" s="473"/>
      <c r="J1168" s="474"/>
    </row>
    <row r="1169" spans="1:9" s="444" customFormat="1" ht="14.7" x14ac:dyDescent="0.6">
      <c r="A1169" s="447"/>
      <c r="B1169" s="475" t="s">
        <v>410</v>
      </c>
      <c r="C1169" s="476">
        <f>J1228</f>
        <v>0</v>
      </c>
      <c r="D1169" s="477"/>
      <c r="E1169" s="478"/>
      <c r="F1169" s="506" t="str">
        <f>IF(OR(C1172=0,C1174=0,SUMMARY!B22="Release"),"N/A",C1167/1000)</f>
        <v>N/A</v>
      </c>
      <c r="G1169" s="447" t="s">
        <v>178</v>
      </c>
      <c r="H1169" s="447"/>
    </row>
    <row r="1170" spans="1:9" s="444" customFormat="1" ht="12.3" x14ac:dyDescent="0.4">
      <c r="A1170" s="447"/>
      <c r="B1170" s="460"/>
      <c r="C1170" s="487"/>
      <c r="D1170" s="489"/>
      <c r="E1170" s="489"/>
      <c r="F1170" s="447"/>
      <c r="G1170" s="460"/>
    </row>
    <row r="1171" spans="1:9" s="444" customFormat="1" ht="12.3" x14ac:dyDescent="0.4">
      <c r="A1171" s="447"/>
      <c r="B1171" s="447"/>
      <c r="C1171" s="503" t="s">
        <v>177</v>
      </c>
      <c r="D1171" s="504"/>
      <c r="E1171" s="503" t="s">
        <v>85</v>
      </c>
      <c r="F1171" s="447"/>
      <c r="G1171" s="460"/>
      <c r="H1171" s="460"/>
      <c r="I1171" s="447"/>
    </row>
    <row r="1172" spans="1:9" s="444" customFormat="1" ht="14.7" x14ac:dyDescent="0.6">
      <c r="A1172" s="447"/>
      <c r="B1172" s="460" t="s">
        <v>411</v>
      </c>
      <c r="C1172" s="485">
        <f>IF(SUMMARY!B20="NO",0,TPOrder!AZ9)</f>
        <v>0</v>
      </c>
      <c r="D1172" s="447"/>
      <c r="E1172" s="485">
        <f>C1172*PI()/180</f>
        <v>0</v>
      </c>
      <c r="F1172" s="447"/>
      <c r="G1172" s="460"/>
      <c r="H1172" s="460"/>
      <c r="I1172" s="447"/>
    </row>
    <row r="1173" spans="1:9" s="444" customFormat="1" ht="14.7" x14ac:dyDescent="0.6">
      <c r="A1173" s="447"/>
      <c r="B1173" s="460" t="s">
        <v>412</v>
      </c>
      <c r="C1173" s="485">
        <f>TPOrder!BB9</f>
        <v>0</v>
      </c>
      <c r="D1173" s="447"/>
      <c r="E1173" s="485">
        <f>C1173*PI()/180</f>
        <v>0</v>
      </c>
      <c r="F1173" s="447"/>
      <c r="G1173" s="460"/>
      <c r="H1173" s="485"/>
      <c r="I1173" s="447"/>
    </row>
    <row r="1174" spans="1:9" s="444" customFormat="1" ht="14.7" x14ac:dyDescent="0.6">
      <c r="A1174" s="447"/>
      <c r="B1174" s="460" t="s">
        <v>413</v>
      </c>
      <c r="C1174" s="485">
        <f>IF(SUMMARY!B20="NO",0,C85)</f>
        <v>0</v>
      </c>
      <c r="D1174" s="447"/>
      <c r="E1174" s="485">
        <f>C1174*PI()/180</f>
        <v>0</v>
      </c>
      <c r="F1174" s="447"/>
      <c r="G1174" s="460"/>
      <c r="H1174" s="460"/>
      <c r="I1174" s="447"/>
    </row>
    <row r="1175" spans="1:9" s="444" customFormat="1" ht="14.7" x14ac:dyDescent="0.6">
      <c r="A1175" s="447"/>
      <c r="B1175" s="460" t="s">
        <v>414</v>
      </c>
      <c r="C1175" s="485">
        <f>C86</f>
        <v>0</v>
      </c>
      <c r="D1175" s="447"/>
      <c r="E1175" s="485">
        <f>C1175*PI()/180</f>
        <v>0</v>
      </c>
      <c r="F1175" s="447"/>
      <c r="G1175" s="460"/>
      <c r="H1175" s="485"/>
      <c r="I1175" s="447"/>
    </row>
    <row r="1176" spans="1:9" s="444" customFormat="1" ht="12.3" x14ac:dyDescent="0.4">
      <c r="A1176" s="447"/>
      <c r="B1176" s="485"/>
      <c r="C1176" s="485"/>
      <c r="D1176" s="485"/>
      <c r="E1176" s="485"/>
      <c r="F1176" s="447"/>
      <c r="G1176" s="460"/>
      <c r="H1176" s="485"/>
      <c r="I1176" s="447"/>
    </row>
    <row r="1177" spans="1:9" s="444" customFormat="1" ht="12.3" x14ac:dyDescent="0.4">
      <c r="A1177" s="447"/>
      <c r="B1177" s="460" t="s">
        <v>176</v>
      </c>
      <c r="C1177" s="487">
        <v>6378137</v>
      </c>
      <c r="D1177" s="488"/>
      <c r="E1177" s="489" t="s">
        <v>175</v>
      </c>
      <c r="F1177" s="485">
        <f>C1179+C1179*C1179</f>
        <v>3.3640520041011246E-3</v>
      </c>
      <c r="G1177" s="460"/>
      <c r="H1177" s="460"/>
      <c r="I1177" s="447"/>
    </row>
    <row r="1178" spans="1:9" s="444" customFormat="1" ht="12.3" x14ac:dyDescent="0.4">
      <c r="A1178" s="447"/>
      <c r="B1178" s="489" t="s">
        <v>174</v>
      </c>
      <c r="C1178" s="487">
        <f>C1177*(1-C1179)</f>
        <v>6356752.3142451793</v>
      </c>
      <c r="D1178" s="488"/>
      <c r="E1178" s="489" t="s">
        <v>173</v>
      </c>
      <c r="F1178" s="485">
        <f>F1177/2</f>
        <v>1.6820260020505623E-3</v>
      </c>
      <c r="G1178" s="460"/>
      <c r="H1178" s="460"/>
      <c r="I1178" s="447"/>
    </row>
    <row r="1179" spans="1:9" s="444" customFormat="1" ht="12.3" x14ac:dyDescent="0.4">
      <c r="A1179" s="447"/>
      <c r="B1179" s="489" t="s">
        <v>172</v>
      </c>
      <c r="C1179" s="485">
        <v>3.3528106647474801E-3</v>
      </c>
      <c r="D1179" s="489"/>
      <c r="E1179" s="489" t="s">
        <v>171</v>
      </c>
      <c r="F1179" s="485">
        <f>C1179*C1179/2</f>
        <v>5.6206696768222199E-6</v>
      </c>
      <c r="G1179" s="460"/>
      <c r="H1179" s="460"/>
      <c r="I1179" s="447"/>
    </row>
    <row r="1180" spans="1:9" s="444" customFormat="1" ht="12.3" x14ac:dyDescent="0.4">
      <c r="A1180" s="447"/>
      <c r="B1180" s="460" t="s">
        <v>415</v>
      </c>
      <c r="C1180" s="485">
        <f>E1175-E1173</f>
        <v>0</v>
      </c>
      <c r="D1180" s="447"/>
      <c r="E1180" s="447" t="s">
        <v>170</v>
      </c>
      <c r="F1180" s="485">
        <f>C1179*C1179/8</f>
        <v>1.405167419205555E-6</v>
      </c>
      <c r="G1180" s="460"/>
      <c r="H1180" s="460"/>
      <c r="I1180" s="447"/>
    </row>
    <row r="1181" spans="1:9" s="444" customFormat="1" ht="12.3" x14ac:dyDescent="0.4">
      <c r="A1181" s="447"/>
      <c r="B1181" s="447"/>
      <c r="C1181" s="447"/>
      <c r="D1181" s="447"/>
      <c r="E1181" s="489" t="s">
        <v>169</v>
      </c>
      <c r="F1181" s="485">
        <f>C1179*C1179/16</f>
        <v>7.0258370960277749E-7</v>
      </c>
      <c r="G1181" s="460"/>
      <c r="H1181" s="460"/>
      <c r="I1181" s="447"/>
    </row>
    <row r="1182" spans="1:9" s="444" customFormat="1" ht="12.3" x14ac:dyDescent="0.4">
      <c r="A1182" s="447"/>
      <c r="B1182" s="447" t="s">
        <v>168</v>
      </c>
      <c r="C1182" s="490">
        <f>(1-C1179)*TAN(E1172)</f>
        <v>0</v>
      </c>
      <c r="D1182" s="447"/>
      <c r="E1182" s="489"/>
      <c r="F1182" s="460"/>
      <c r="G1182" s="460"/>
      <c r="H1182" s="460"/>
      <c r="I1182" s="447"/>
    </row>
    <row r="1183" spans="1:9" s="444" customFormat="1" ht="12.3" x14ac:dyDescent="0.4">
      <c r="A1183" s="447"/>
      <c r="B1183" s="460" t="s">
        <v>106</v>
      </c>
      <c r="C1183" s="485">
        <f>ATAN(C1182)</f>
        <v>0</v>
      </c>
      <c r="D1183" s="489"/>
      <c r="E1183" s="155"/>
      <c r="F1183" s="485"/>
      <c r="G1183" s="460"/>
      <c r="H1183" s="460"/>
      <c r="I1183" s="447"/>
    </row>
    <row r="1184" spans="1:9" s="444" customFormat="1" ht="12.3" x14ac:dyDescent="0.4">
      <c r="A1184" s="447"/>
      <c r="B1184" s="460" t="s">
        <v>167</v>
      </c>
      <c r="C1184" s="485">
        <f>SIN(C1183)</f>
        <v>0</v>
      </c>
      <c r="D1184" s="489"/>
      <c r="E1184" s="148"/>
      <c r="F1184" s="485"/>
      <c r="G1184" s="460"/>
      <c r="H1184" s="460"/>
      <c r="I1184" s="447"/>
    </row>
    <row r="1185" spans="1:9" s="444" customFormat="1" ht="12.3" x14ac:dyDescent="0.4">
      <c r="A1185" s="447"/>
      <c r="B1185" s="460" t="s">
        <v>166</v>
      </c>
      <c r="C1185" s="485">
        <f>COS(C1183)</f>
        <v>1</v>
      </c>
      <c r="D1185" s="489"/>
      <c r="E1185" s="460"/>
      <c r="F1185" s="485"/>
      <c r="G1185" s="460"/>
      <c r="H1185" s="460"/>
      <c r="I1185" s="447"/>
    </row>
    <row r="1186" spans="1:9" s="444" customFormat="1" ht="12.3" x14ac:dyDescent="0.4">
      <c r="A1186" s="447"/>
      <c r="B1186" s="460" t="s">
        <v>165</v>
      </c>
      <c r="C1186" s="491">
        <f>(1-C1179)*TAN(E1174)</f>
        <v>0</v>
      </c>
      <c r="D1186" s="489"/>
      <c r="E1186" s="460"/>
      <c r="F1186" s="485"/>
      <c r="G1186" s="460"/>
      <c r="H1186" s="460"/>
      <c r="I1186" s="447"/>
    </row>
    <row r="1187" spans="1:9" s="444" customFormat="1" ht="12.3" x14ac:dyDescent="0.4">
      <c r="A1187" s="447"/>
      <c r="B1187" s="460" t="s">
        <v>164</v>
      </c>
      <c r="C1187" s="485">
        <f>ATAN(C1186)</f>
        <v>0</v>
      </c>
      <c r="D1187" s="489"/>
      <c r="E1187" s="460"/>
      <c r="F1187" s="485"/>
      <c r="G1187" s="460"/>
      <c r="H1187" s="460"/>
      <c r="I1187" s="447"/>
    </row>
    <row r="1188" spans="1:9" s="444" customFormat="1" ht="12.3" x14ac:dyDescent="0.4">
      <c r="A1188" s="447"/>
      <c r="B1188" s="460" t="s">
        <v>163</v>
      </c>
      <c r="C1188" s="485">
        <f>SIN(C1187)</f>
        <v>0</v>
      </c>
      <c r="D1188" s="489"/>
      <c r="E1188" s="460"/>
      <c r="F1188" s="485"/>
      <c r="G1188" s="460"/>
      <c r="H1188" s="460"/>
      <c r="I1188" s="447"/>
    </row>
    <row r="1189" spans="1:9" s="444" customFormat="1" ht="12.3" x14ac:dyDescent="0.4">
      <c r="A1189" s="447"/>
      <c r="B1189" s="460" t="s">
        <v>162</v>
      </c>
      <c r="C1189" s="485">
        <f>COS(C1187)</f>
        <v>1</v>
      </c>
      <c r="D1189" s="489"/>
      <c r="E1189" s="460"/>
      <c r="F1189" s="485"/>
      <c r="G1189" s="460"/>
      <c r="H1189" s="460"/>
      <c r="I1189" s="447"/>
    </row>
    <row r="1190" spans="1:9" s="444" customFormat="1" ht="12.3" x14ac:dyDescent="0.4">
      <c r="A1190" s="447"/>
      <c r="B1190" s="147" t="s">
        <v>161</v>
      </c>
      <c r="C1190" s="485"/>
      <c r="D1190" s="489"/>
      <c r="E1190" s="460"/>
      <c r="F1190" s="485"/>
      <c r="G1190" s="460"/>
      <c r="H1190" s="460"/>
      <c r="I1190" s="447"/>
    </row>
    <row r="1191" spans="1:9" s="444" customFormat="1" ht="12.3" x14ac:dyDescent="0.4">
      <c r="A1191" s="447"/>
      <c r="B1191" s="148" t="s">
        <v>144</v>
      </c>
      <c r="C1191" s="485">
        <f>C1180</f>
        <v>0</v>
      </c>
      <c r="D1191" s="489"/>
      <c r="E1191" s="485">
        <f ca="1">E1214</f>
        <v>0</v>
      </c>
      <c r="F1191" s="485"/>
      <c r="G1191" s="460"/>
      <c r="H1191" s="460"/>
      <c r="I1191" s="447"/>
    </row>
    <row r="1192" spans="1:9" s="444" customFormat="1" ht="12.3" x14ac:dyDescent="0.4">
      <c r="A1192" s="447"/>
      <c r="B1192" s="147" t="s">
        <v>160</v>
      </c>
      <c r="C1192" s="485"/>
      <c r="D1192" s="489"/>
      <c r="E1192" s="460"/>
      <c r="F1192" s="485"/>
      <c r="G1192" s="460"/>
      <c r="H1192" s="460"/>
      <c r="I1192" s="447"/>
    </row>
    <row r="1193" spans="1:9" s="444" customFormat="1" ht="13.8" x14ac:dyDescent="0.4">
      <c r="A1193" s="447"/>
      <c r="B1193" s="460" t="s">
        <v>159</v>
      </c>
      <c r="C1193" s="485">
        <f>(C1189*SIN(C1191)*C1189*SIN(C1191))+(C1185*C1188-C1184*C1189*COS(C1191))*(C1185*C1188-C1184*C1189*COS(C1191))</f>
        <v>0</v>
      </c>
      <c r="D1193" s="489"/>
      <c r="E1193" s="485">
        <f ca="1">(C1189*SIN(E1191)*C1189*SIN(E1191))+(C1185*C1188-C1184*C1189*COS(E1191))*(C1185*C1188-C1184*C1189*COS(E1191))</f>
        <v>0</v>
      </c>
      <c r="F1193" s="485"/>
      <c r="G1193" s="460"/>
      <c r="H1193" s="460"/>
      <c r="I1193" s="447"/>
    </row>
    <row r="1194" spans="1:9" s="444" customFormat="1" ht="12.3" x14ac:dyDescent="0.4">
      <c r="A1194" s="447"/>
      <c r="B1194" s="154" t="s">
        <v>158</v>
      </c>
      <c r="C1194" s="485"/>
      <c r="D1194" s="489"/>
      <c r="E1194" s="489"/>
      <c r="F1194" s="485"/>
      <c r="G1194" s="460"/>
      <c r="H1194" s="460"/>
      <c r="I1194" s="447"/>
    </row>
    <row r="1195" spans="1:9" s="444" customFormat="1" ht="12.3" x14ac:dyDescent="0.4">
      <c r="A1195" s="447"/>
      <c r="B1195" s="447" t="s">
        <v>157</v>
      </c>
      <c r="C1195" s="447">
        <f>(C1184*C1188)+(C1185*C1189*COS(C1191))</f>
        <v>1</v>
      </c>
      <c r="D1195" s="447"/>
      <c r="E1195" s="447">
        <f ca="1">(C1184*C1188)+(C1185*C1189*COS(E1191))</f>
        <v>1</v>
      </c>
      <c r="F1195" s="447"/>
      <c r="G1195" s="460"/>
      <c r="H1195" s="460"/>
      <c r="I1195" s="447"/>
    </row>
    <row r="1196" spans="1:9" s="444" customFormat="1" ht="12.3" x14ac:dyDescent="0.4">
      <c r="A1196" s="447"/>
      <c r="B1196" s="153" t="s">
        <v>156</v>
      </c>
      <c r="C1196" s="489"/>
      <c r="D1196" s="489"/>
      <c r="E1196" s="489"/>
      <c r="F1196" s="460"/>
      <c r="G1196" s="460"/>
      <c r="H1196" s="460"/>
      <c r="I1196" s="447"/>
    </row>
    <row r="1197" spans="1:9" s="444" customFormat="1" ht="12.3" x14ac:dyDescent="0.4">
      <c r="A1197" s="447"/>
      <c r="B1197" s="460" t="s">
        <v>155</v>
      </c>
      <c r="C1197" s="485">
        <f>SQRT(C1193)/C1195</f>
        <v>0</v>
      </c>
      <c r="D1197" s="489"/>
      <c r="E1197" s="485">
        <f ca="1">SQRT(E1193)/E1195</f>
        <v>0</v>
      </c>
      <c r="F1197" s="485"/>
      <c r="G1197" s="447"/>
      <c r="H1197" s="447"/>
      <c r="I1197" s="492"/>
    </row>
    <row r="1198" spans="1:9" s="444" customFormat="1" ht="12.3" x14ac:dyDescent="0.4">
      <c r="A1198" s="447"/>
      <c r="B1198" s="148" t="s">
        <v>142</v>
      </c>
      <c r="C1198" s="485">
        <f>ATAN(C1197)</f>
        <v>0</v>
      </c>
      <c r="D1198" s="489"/>
      <c r="E1198" s="485">
        <f ca="1">IF(ATAN(E1197)&lt;0,ATAN(E1197)+PI(),ATAN(E1197))</f>
        <v>0</v>
      </c>
      <c r="F1198" s="485"/>
      <c r="G1198" s="447"/>
      <c r="H1198" s="447"/>
      <c r="I1198" s="492"/>
    </row>
    <row r="1199" spans="1:9" s="444" customFormat="1" ht="12.3" x14ac:dyDescent="0.4">
      <c r="A1199" s="447"/>
      <c r="B1199" s="147" t="s">
        <v>154</v>
      </c>
      <c r="C1199" s="485"/>
      <c r="D1199" s="489"/>
      <c r="E1199" s="460"/>
      <c r="F1199" s="485"/>
      <c r="G1199" s="447"/>
      <c r="H1199" s="447"/>
      <c r="I1199" s="492"/>
    </row>
    <row r="1200" spans="1:9" s="444" customFormat="1" ht="12.3" x14ac:dyDescent="0.4">
      <c r="A1200" s="447"/>
      <c r="B1200" s="460" t="s">
        <v>153</v>
      </c>
      <c r="C1200" s="485">
        <f>IF(C1193=0,0,C1185*C1189*SIN(C1191)/SQRT(C1193))</f>
        <v>0</v>
      </c>
      <c r="D1200" s="489"/>
      <c r="E1200" s="485">
        <f ca="1">IF(E1193=0,0,C1185*C1189*SIN(E1191)/SQRT(E1193))</f>
        <v>0</v>
      </c>
      <c r="F1200" s="485"/>
      <c r="G1200" s="460"/>
      <c r="H1200" s="460"/>
      <c r="I1200" s="492"/>
    </row>
    <row r="1201" spans="1:9" s="444" customFormat="1" ht="12.3" x14ac:dyDescent="0.4">
      <c r="A1201" s="447"/>
      <c r="B1201" s="147" t="s">
        <v>152</v>
      </c>
      <c r="C1201" s="485"/>
      <c r="D1201" s="489"/>
      <c r="E1201" s="489"/>
      <c r="F1201" s="485"/>
      <c r="G1201" s="460"/>
      <c r="H1201" s="460"/>
      <c r="I1201" s="447"/>
    </row>
    <row r="1202" spans="1:9" s="444" customFormat="1" ht="16.2" x14ac:dyDescent="0.65">
      <c r="A1202" s="447"/>
      <c r="B1202" s="447" t="s">
        <v>416</v>
      </c>
      <c r="C1202" s="447">
        <f>IF((COS(ASIN(C1200))*COS(ASIN(C1200)))=0,0,C1195-2*C1184*C1188/(COS(ASIN(C1200))*COS(ASIN(C1200))))</f>
        <v>1</v>
      </c>
      <c r="D1202" s="489"/>
      <c r="E1202" s="447">
        <f ca="1">E1195-2*C1184*C1188/(COS(ASIN(E1200))*COS(ASIN(E1200)))</f>
        <v>1</v>
      </c>
      <c r="F1202" s="460"/>
      <c r="G1202" s="460"/>
      <c r="H1202" s="460"/>
      <c r="I1202" s="447"/>
    </row>
    <row r="1203" spans="1:9" s="444" customFormat="1" ht="15.9" x14ac:dyDescent="0.45">
      <c r="A1203" s="447"/>
      <c r="B1203" s="447" t="s">
        <v>151</v>
      </c>
      <c r="C1203" s="487">
        <f>COS(ASIN(C1200))*COS(ASIN(C1200))*(C1177*C1177-C1178*C1178)/(C1178*C1178)</f>
        <v>6.7394967422764341E-3</v>
      </c>
      <c r="D1203" s="489"/>
      <c r="E1203" s="487">
        <f ca="1">COS(ASIN(E1200))*COS(ASIN(E1200))*(C1177*C1177-C1178*C1178)/(C1178*C1178)</f>
        <v>6.7394967422764341E-3</v>
      </c>
      <c r="F1203" s="447"/>
      <c r="G1203" s="460"/>
      <c r="H1203" s="460"/>
      <c r="I1203" s="447"/>
    </row>
    <row r="1204" spans="1:9" s="444" customFormat="1" ht="12.3" x14ac:dyDescent="0.4">
      <c r="A1204" s="447"/>
      <c r="B1204" s="152" t="s">
        <v>150</v>
      </c>
      <c r="C1204" s="485"/>
      <c r="D1204" s="489"/>
      <c r="E1204" s="460"/>
      <c r="F1204" s="485"/>
      <c r="G1204" s="460"/>
      <c r="H1204" s="460"/>
      <c r="I1204" s="447"/>
    </row>
    <row r="1205" spans="1:9" s="444" customFormat="1" ht="12.3" x14ac:dyDescent="0.4">
      <c r="A1205" s="447"/>
      <c r="B1205" s="460" t="s">
        <v>9</v>
      </c>
      <c r="C1205" s="485">
        <f>1+C1203/16384*(4096+C1203*(-768+C1203*(320-175*C1203)))</f>
        <v>1.0016827510415456</v>
      </c>
      <c r="D1205" s="489"/>
      <c r="E1205" s="485">
        <f ca="1">1+E1203/16384*(4096+E1203*(-768+E1203*(320-175*E1203)))</f>
        <v>1.0016827510415456</v>
      </c>
      <c r="F1205" s="485"/>
      <c r="G1205" s="460"/>
      <c r="H1205" s="460"/>
      <c r="I1205" s="447"/>
    </row>
    <row r="1206" spans="1:9" s="444" customFormat="1" ht="12.3" x14ac:dyDescent="0.4">
      <c r="A1206" s="447"/>
      <c r="B1206" s="147" t="s">
        <v>149</v>
      </c>
      <c r="C1206" s="485"/>
      <c r="D1206" s="489"/>
      <c r="E1206" s="460"/>
      <c r="F1206" s="485"/>
      <c r="G1206" s="460"/>
      <c r="H1206" s="460"/>
      <c r="I1206" s="490"/>
    </row>
    <row r="1207" spans="1:9" s="444" customFormat="1" ht="12.3" x14ac:dyDescent="0.4">
      <c r="A1207" s="447"/>
      <c r="B1207" s="460" t="s">
        <v>10</v>
      </c>
      <c r="C1207" s="485">
        <f>C1203/1024*(256+C1203*(-128+C1203*(74-47*C1203)))</f>
        <v>1.6792186103152505E-3</v>
      </c>
      <c r="D1207" s="489"/>
      <c r="E1207" s="485">
        <f ca="1">E1203/1024*(256+E1203*(-128+E1203*(74-47*E1203)))</f>
        <v>1.6792186103152505E-3</v>
      </c>
      <c r="F1207" s="485"/>
      <c r="G1207" s="460"/>
      <c r="H1207" s="460"/>
      <c r="I1207" s="447"/>
    </row>
    <row r="1208" spans="1:9" s="444" customFormat="1" ht="12.3" x14ac:dyDescent="0.4">
      <c r="A1208" s="447"/>
      <c r="B1208" s="147" t="s">
        <v>148</v>
      </c>
      <c r="C1208" s="485"/>
      <c r="D1208" s="489"/>
      <c r="E1208" s="460"/>
      <c r="F1208" s="485"/>
      <c r="G1208" s="460"/>
      <c r="H1208" s="460"/>
      <c r="I1208" s="447"/>
    </row>
    <row r="1209" spans="1:9" s="444" customFormat="1" ht="12.3" x14ac:dyDescent="0.4">
      <c r="A1209" s="447"/>
      <c r="B1209" s="148" t="s">
        <v>147</v>
      </c>
      <c r="C1209" s="485">
        <f>C1207*SQRT(C1193)*(C1202+C1207/4*(C1195*(-1+2*C1202*C1202)-C1207/6*C1202*(-3+4*C1193)*(-3+4*C1202*C1202)))</f>
        <v>0</v>
      </c>
      <c r="D1209" s="489"/>
      <c r="E1209" s="485">
        <f ca="1">E1207*SQRT(E1193)*(E1202+E1207/4*(E1195*(-1+2*E1202*E1202)-E1207/6*E1202*(-3+4*E1193)*(-3+4*E1202*E1202)))</f>
        <v>0</v>
      </c>
      <c r="F1209" s="485"/>
      <c r="G1209" s="460"/>
      <c r="H1209" s="460"/>
      <c r="I1209" s="447"/>
    </row>
    <row r="1210" spans="1:9" s="444" customFormat="1" ht="12.3" x14ac:dyDescent="0.4">
      <c r="A1210" s="447"/>
      <c r="B1210" s="460"/>
      <c r="C1210" s="485"/>
      <c r="D1210" s="489"/>
      <c r="E1210" s="460"/>
      <c r="F1210" s="485"/>
      <c r="G1210" s="460"/>
      <c r="H1210" s="460"/>
      <c r="I1210" s="447"/>
    </row>
    <row r="1211" spans="1:9" s="444" customFormat="1" ht="12.3" x14ac:dyDescent="0.4">
      <c r="A1211" s="447"/>
      <c r="B1211" s="147" t="s">
        <v>146</v>
      </c>
      <c r="C1211" s="485"/>
      <c r="D1211" s="494"/>
      <c r="E1211" s="460"/>
      <c r="F1211" s="485"/>
      <c r="G1211" s="460"/>
      <c r="H1211" s="460"/>
      <c r="I1211" s="150"/>
    </row>
    <row r="1212" spans="1:9" s="444" customFormat="1" ht="12.3" x14ac:dyDescent="0.4">
      <c r="A1212" s="447"/>
      <c r="B1212" s="460" t="s">
        <v>11</v>
      </c>
      <c r="C1212" s="485">
        <f>C1179/16*COS(ASIN(C1200))*COS(ASIN(C1200))*(4+C1179*(4-3*COS(ASIN(C1200))*COS(ASIN(C1200))))</f>
        <v>8.389052498964728E-4</v>
      </c>
      <c r="D1212" s="494"/>
      <c r="E1212" s="485">
        <f ca="1">C1179/16*COS(ASIN(E1200))*COS(ASIN(E1200))*(4+C1179*(4-3*COS(ASIN(E1200))*COS(ASIN(E1200))))</f>
        <v>8.389052498964728E-4</v>
      </c>
      <c r="F1212" s="485"/>
      <c r="G1212" s="460"/>
      <c r="H1212" s="460"/>
      <c r="I1212" s="150"/>
    </row>
    <row r="1213" spans="1:9" s="444" customFormat="1" ht="12.3" x14ac:dyDescent="0.4">
      <c r="A1213" s="447"/>
      <c r="B1213" s="147" t="s">
        <v>145</v>
      </c>
      <c r="C1213" s="485"/>
      <c r="D1213" s="494"/>
      <c r="E1213" s="460"/>
      <c r="F1213" s="485"/>
      <c r="G1213" s="460"/>
      <c r="H1213" s="460"/>
      <c r="I1213" s="150"/>
    </row>
    <row r="1214" spans="1:9" s="444" customFormat="1" ht="12.3" x14ac:dyDescent="0.4">
      <c r="A1214" s="447"/>
      <c r="B1214" s="151" t="s">
        <v>144</v>
      </c>
      <c r="C1214" s="485">
        <f>C1180+(1-C1212)*C1179*C1200*(ACOS(C1195)+C1212*SIN(ACOS(C1195))*(C1202+C1212*C1195*(-1+2*C1202*C1202)))</f>
        <v>0</v>
      </c>
      <c r="D1214" s="494"/>
      <c r="E1214" s="511">
        <f ca="1">C1180+(1-E1212)*C1179*E1200*(ACOS(E1195)+E1212*SIN(ACOS(E1195))*(E1202+E1212*E1195*(-1+2*E1202*E1202)))</f>
        <v>0</v>
      </c>
      <c r="F1214" s="485"/>
      <c r="G1214" s="460"/>
      <c r="H1214" s="460"/>
      <c r="I1214" s="150"/>
    </row>
    <row r="1215" spans="1:9" s="444" customFormat="1" ht="12.3" x14ac:dyDescent="0.4">
      <c r="A1215" s="447"/>
      <c r="B1215" s="149" t="s">
        <v>143</v>
      </c>
      <c r="C1215" s="485"/>
      <c r="D1215" s="494"/>
      <c r="E1215" s="148"/>
      <c r="F1215" s="485"/>
      <c r="G1215" s="460"/>
      <c r="H1215" s="460"/>
      <c r="I1215" s="496"/>
    </row>
    <row r="1216" spans="1:9" s="444" customFormat="1" ht="12.3" x14ac:dyDescent="0.4">
      <c r="A1216" s="447"/>
      <c r="B1216" s="460" t="s">
        <v>142</v>
      </c>
      <c r="C1216" s="485">
        <f>IF(B1231="samepoint",0,C1178*C1205*(ATAN(C1197)-C1209))</f>
        <v>0</v>
      </c>
      <c r="D1216" s="494"/>
      <c r="E1216" s="485">
        <f>IF(B1231="samepoint",0,C1178*E1205*(E1198-E1209))</f>
        <v>0</v>
      </c>
      <c r="F1216" s="460"/>
      <c r="G1216" s="460"/>
      <c r="H1216" s="460"/>
      <c r="I1216" s="496"/>
    </row>
    <row r="1217" spans="1:10" s="444" customFormat="1" ht="12.3" x14ac:dyDescent="0.4">
      <c r="A1217" s="447"/>
      <c r="B1217" s="147" t="s">
        <v>141</v>
      </c>
      <c r="C1217" s="485"/>
      <c r="D1217" s="494"/>
      <c r="E1217" s="485"/>
      <c r="F1217" s="460"/>
      <c r="G1217" s="460"/>
      <c r="H1217" s="460"/>
      <c r="I1217" s="496"/>
    </row>
    <row r="1218" spans="1:10" s="444" customFormat="1" ht="16.2" x14ac:dyDescent="0.65">
      <c r="A1218" s="447"/>
      <c r="B1218" s="460" t="s">
        <v>140</v>
      </c>
      <c r="C1218" s="485"/>
      <c r="D1218" s="494"/>
      <c r="E1218" s="485" t="e">
        <f ca="1">C1189*SIN(E1214)/(C1185*C1188-C1184*C1189*COS(E1214))</f>
        <v>#DIV/0!</v>
      </c>
      <c r="F1218" s="460"/>
      <c r="G1218" s="460"/>
      <c r="H1218" s="460"/>
      <c r="I1218" s="496"/>
    </row>
    <row r="1219" spans="1:10" s="444" customFormat="1" ht="12.3" x14ac:dyDescent="0.4">
      <c r="A1219" s="447"/>
      <c r="B1219" s="147" t="s">
        <v>139</v>
      </c>
      <c r="C1219" s="485"/>
      <c r="D1219" s="494"/>
      <c r="E1219" s="485"/>
      <c r="F1219" s="460"/>
      <c r="G1219" s="460"/>
      <c r="H1219" s="460"/>
      <c r="I1219" s="496"/>
    </row>
    <row r="1220" spans="1:10" s="444" customFormat="1" ht="16.8" x14ac:dyDescent="0.7">
      <c r="A1220" s="447"/>
      <c r="B1220" s="460" t="s">
        <v>138</v>
      </c>
      <c r="C1220" s="485"/>
      <c r="D1220" s="494"/>
      <c r="E1220" s="485" t="e">
        <f>C1185*SIN(C1214)/(-C1184*C1189+C1185*C1188*COS(C1214))</f>
        <v>#DIV/0!</v>
      </c>
      <c r="F1220" s="460"/>
      <c r="G1220" s="460"/>
      <c r="H1220" s="460"/>
      <c r="I1220" s="496"/>
    </row>
    <row r="1221" spans="1:10" s="444" customFormat="1" ht="12.3" x14ac:dyDescent="0.4">
      <c r="A1221" s="447"/>
      <c r="B1221" s="460"/>
      <c r="C1221" s="485"/>
      <c r="D1221" s="494"/>
      <c r="E1221" s="460"/>
      <c r="F1221" s="485"/>
      <c r="G1221" s="460"/>
      <c r="H1221" s="460"/>
      <c r="I1221" s="496"/>
    </row>
    <row r="1222" spans="1:10" s="444" customFormat="1" ht="12.3" x14ac:dyDescent="0.4">
      <c r="A1222" s="447"/>
      <c r="B1222" s="460"/>
      <c r="C1222" s="497"/>
      <c r="D1222" s="447"/>
      <c r="E1222" s="460"/>
      <c r="F1222" s="485"/>
      <c r="G1222" s="460"/>
      <c r="H1222" s="460"/>
      <c r="I1222" s="496"/>
    </row>
    <row r="1223" spans="1:10" s="444" customFormat="1" ht="12.3" x14ac:dyDescent="0.4">
      <c r="A1223" s="447"/>
      <c r="B1223" s="460"/>
      <c r="C1223" s="460"/>
      <c r="D1223" s="447"/>
      <c r="E1223" s="489"/>
      <c r="F1223" s="494"/>
      <c r="G1223" s="460"/>
      <c r="H1223" s="460"/>
      <c r="I1223" s="496"/>
    </row>
    <row r="1224" spans="1:10" s="444" customFormat="1" ht="12.3" x14ac:dyDescent="0.4">
      <c r="A1224" s="447"/>
      <c r="B1224" s="146" t="s">
        <v>137</v>
      </c>
      <c r="C1224" s="146"/>
      <c r="D1224" s="489"/>
      <c r="E1224" s="146" t="s">
        <v>136</v>
      </c>
      <c r="F1224" s="146"/>
      <c r="G1224" s="460"/>
      <c r="H1224" s="460"/>
      <c r="I1224" s="496"/>
    </row>
    <row r="1225" spans="1:10" s="444" customFormat="1" ht="14.7" x14ac:dyDescent="0.6">
      <c r="A1225" s="447"/>
      <c r="B1225" s="145" t="s">
        <v>417</v>
      </c>
      <c r="C1225" s="485" t="e">
        <f ca="1">ATAN(E1218)</f>
        <v>#DIV/0!</v>
      </c>
      <c r="D1225" s="447"/>
      <c r="E1225" s="145" t="s">
        <v>418</v>
      </c>
      <c r="F1225" s="485" t="e">
        <f>ATAN(E1220)</f>
        <v>#DIV/0!</v>
      </c>
      <c r="G1225" s="460"/>
      <c r="H1225" s="460"/>
      <c r="I1225" s="496" t="e">
        <f>ATAN2(E1174-E1172,E1175-E1173)*180/PI()</f>
        <v>#DIV/0!</v>
      </c>
      <c r="J1225" s="496" t="e">
        <f>ATAN2(E1172-E1174,E1173-E1175)*180/PI()</f>
        <v>#DIV/0!</v>
      </c>
    </row>
    <row r="1226" spans="1:10" s="444" customFormat="1" ht="14.7" x14ac:dyDescent="0.6">
      <c r="A1226" s="447"/>
      <c r="B1226" s="145" t="s">
        <v>419</v>
      </c>
      <c r="C1226" s="485" t="e">
        <f ca="1">(C1225/PI())*180+360</f>
        <v>#DIV/0!</v>
      </c>
      <c r="D1226" s="447"/>
      <c r="E1226" s="145" t="s">
        <v>420</v>
      </c>
      <c r="F1226" s="485" t="e">
        <f>(F1225/PI())*180+180</f>
        <v>#DIV/0!</v>
      </c>
      <c r="G1226" s="460"/>
      <c r="H1226" s="460"/>
      <c r="I1226" s="496" t="e">
        <f>IF(I1225&lt;0,C1225*180/PI()+360,C1225*180/PI())</f>
        <v>#DIV/0!</v>
      </c>
      <c r="J1226" s="498" t="e">
        <f>IF(J1225&gt;0,F1225*180/PI()+180,F1225*180/PI())</f>
        <v>#DIV/0!</v>
      </c>
    </row>
    <row r="1227" spans="1:10" s="444" customFormat="1" ht="14.7" x14ac:dyDescent="0.6">
      <c r="A1227" s="447"/>
      <c r="B1227" s="145" t="s">
        <v>419</v>
      </c>
      <c r="C1227" s="485" t="e">
        <f ca="1">IF(C1226&gt;=360,C1226-360,C1226)</f>
        <v>#DIV/0!</v>
      </c>
      <c r="D1227" s="447"/>
      <c r="E1227" s="145" t="s">
        <v>420</v>
      </c>
      <c r="F1227" s="485" t="e">
        <f>IF(F1226&gt;=360,F1226-360,F1226)</f>
        <v>#DIV/0!</v>
      </c>
      <c r="G1227" s="460"/>
      <c r="H1227" s="460"/>
      <c r="I1227" s="496" t="e">
        <f ca="1">ATAN2((C1185*C1188-C1184*C1189*COS(E1214)),C1189*SIN(E1214))</f>
        <v>#DIV/0!</v>
      </c>
      <c r="J1227" s="485" t="e">
        <f ca="1">ATAN2((-C1184*C1189+C1185*C1188*COS(E1214)),C1185*SIN(E1214))</f>
        <v>#DIV/0!</v>
      </c>
    </row>
    <row r="1228" spans="1:10" s="444" customFormat="1" ht="14.7" x14ac:dyDescent="0.6">
      <c r="A1228" s="447"/>
      <c r="B1228" s="145" t="s">
        <v>419</v>
      </c>
      <c r="C1228" s="485">
        <f>IF(B1231="samepoint",0,IF(B1232="northsouth",0,IF(B1233="southnorth",180,C1227)))</f>
        <v>0</v>
      </c>
      <c r="D1228" s="447"/>
      <c r="E1228" s="145" t="s">
        <v>420</v>
      </c>
      <c r="F1228" s="485">
        <f>IF(B1231="samepoint",0,IF(B1232="northsouth",180,IF(B1233="southnorth",0,F1227)))</f>
        <v>0</v>
      </c>
      <c r="G1228" s="447"/>
      <c r="H1228" s="447"/>
      <c r="I1228" s="485">
        <f>IF(B1231="samepoint",0,IF(B1232="northsouth",0,IF(B1233="southnorth",180,IF(I1227&lt;0,I1227*180/PI()+360,I1227*180/PI()))))</f>
        <v>0</v>
      </c>
      <c r="J1228" s="485">
        <f>IF(B1231="samepoint",0,IF(B1232="northsouth",180,IF(B1233="southnorth",0,J1227*180/PI()+180)))</f>
        <v>0</v>
      </c>
    </row>
    <row r="1229" spans="1:10" s="444" customFormat="1" ht="12.3" x14ac:dyDescent="0.4">
      <c r="A1229" s="447"/>
      <c r="B1229" s="145"/>
      <c r="C1229" s="447"/>
      <c r="D1229" s="447"/>
      <c r="E1229" s="145"/>
      <c r="F1229" s="447"/>
      <c r="G1229" s="447"/>
      <c r="H1229" s="447"/>
      <c r="I1229" s="447"/>
    </row>
    <row r="1230" spans="1:10" s="444" customFormat="1" ht="12.3" x14ac:dyDescent="0.4">
      <c r="A1230" s="447"/>
      <c r="B1230" s="144" t="s">
        <v>135</v>
      </c>
      <c r="C1230" s="144"/>
      <c r="D1230" s="447"/>
      <c r="E1230" s="447"/>
      <c r="F1230" s="447"/>
      <c r="G1230" s="447"/>
      <c r="H1230" s="447"/>
      <c r="I1230" s="447"/>
    </row>
    <row r="1231" spans="1:10" s="444" customFormat="1" ht="12.3" x14ac:dyDescent="0.4">
      <c r="A1231" s="447"/>
      <c r="B1231" s="447" t="str">
        <f>IF(AND(C1172=C1174,C1173=C1175),"samepoint","N.A. " )</f>
        <v>samepoint</v>
      </c>
      <c r="C1231" s="447" t="s">
        <v>134</v>
      </c>
      <c r="D1231" s="447"/>
      <c r="E1231" s="447"/>
      <c r="F1231" s="447"/>
      <c r="G1231" s="447"/>
      <c r="H1231" s="447"/>
      <c r="I1231" s="447"/>
    </row>
    <row r="1232" spans="1:10" s="444" customFormat="1" ht="12.3" x14ac:dyDescent="0.4">
      <c r="A1232" s="447"/>
      <c r="B1232" s="447" t="str">
        <f>IF(AND(C1173=C1175,C1174&gt;C1172),"northsouth","N.A. ")</f>
        <v xml:space="preserve">N.A. </v>
      </c>
      <c r="C1232" s="447" t="s">
        <v>133</v>
      </c>
      <c r="D1232" s="447"/>
      <c r="E1232" s="447"/>
      <c r="F1232" s="447"/>
      <c r="G1232" s="447"/>
      <c r="H1232" s="447"/>
      <c r="I1232" s="447"/>
    </row>
    <row r="1233" spans="1:10" s="444" customFormat="1" ht="12.3" x14ac:dyDescent="0.4">
      <c r="A1233" s="447"/>
      <c r="B1233" s="447" t="str">
        <f>IF(AND(C1173=C1175,C1172&gt;C1174),"southnorth","N.A. ")</f>
        <v xml:space="preserve">N.A. </v>
      </c>
      <c r="C1233" s="447" t="s">
        <v>132</v>
      </c>
      <c r="D1233" s="447"/>
      <c r="E1233" s="447"/>
      <c r="F1233" s="447"/>
      <c r="G1233" s="447"/>
      <c r="H1233" s="447"/>
      <c r="I1233" s="447"/>
    </row>
    <row r="1234" spans="1:10" s="444" customFormat="1" ht="12.3" x14ac:dyDescent="0.4">
      <c r="A1234" s="447"/>
      <c r="B1234" s="447"/>
      <c r="C1234" s="447"/>
      <c r="D1234" s="447"/>
      <c r="E1234" s="447"/>
      <c r="F1234" s="447"/>
      <c r="G1234" s="447"/>
      <c r="H1234" s="447"/>
      <c r="I1234" s="447"/>
    </row>
    <row r="1235" spans="1:10" s="444" customFormat="1" ht="12.3" x14ac:dyDescent="0.4">
      <c r="A1235" s="447"/>
      <c r="B1235" s="447"/>
      <c r="C1235" s="447"/>
      <c r="D1235" s="447"/>
      <c r="E1235" s="447"/>
      <c r="F1235" s="447"/>
      <c r="G1235" s="447"/>
      <c r="H1235" s="447"/>
      <c r="I1235" s="447"/>
    </row>
    <row r="1236" spans="1:10" s="444" customFormat="1" ht="15" x14ac:dyDescent="0.5">
      <c r="A1236" s="447"/>
      <c r="B1236" s="448" t="s">
        <v>187</v>
      </c>
      <c r="C1236" s="448" t="s">
        <v>186</v>
      </c>
      <c r="D1236" s="447"/>
      <c r="E1236" s="447"/>
      <c r="F1236" s="447"/>
      <c r="G1236" s="447"/>
      <c r="H1236" s="447"/>
      <c r="I1236" s="447"/>
    </row>
    <row r="1237" spans="1:10" s="444" customFormat="1" ht="17.399999999999999" x14ac:dyDescent="0.55000000000000004">
      <c r="A1237" s="447"/>
      <c r="B1237" s="449" t="s">
        <v>185</v>
      </c>
      <c r="C1237" s="450" t="s">
        <v>192</v>
      </c>
      <c r="D1237" s="451"/>
      <c r="E1237" s="452"/>
      <c r="F1237" s="453" t="s">
        <v>183</v>
      </c>
      <c r="G1237" s="512" t="s">
        <v>184</v>
      </c>
      <c r="H1237" s="512"/>
      <c r="I1237" s="454"/>
      <c r="J1237" s="455"/>
    </row>
    <row r="1238" spans="1:10" s="444" customFormat="1" ht="14.7" x14ac:dyDescent="0.6">
      <c r="A1238" s="447"/>
      <c r="B1238" s="158" t="s">
        <v>405</v>
      </c>
      <c r="C1238" s="1068" t="s">
        <v>181</v>
      </c>
      <c r="D1238" s="1069"/>
      <c r="E1238" s="458"/>
      <c r="F1238" s="157" t="s">
        <v>406</v>
      </c>
      <c r="G1238" s="1069" t="s">
        <v>212</v>
      </c>
      <c r="H1238" s="1069"/>
      <c r="I1238" s="1070"/>
      <c r="J1238" s="460"/>
    </row>
    <row r="1239" spans="1:10" s="444" customFormat="1" ht="14.7" x14ac:dyDescent="0.6">
      <c r="A1239" s="447"/>
      <c r="B1239" s="158" t="s">
        <v>407</v>
      </c>
      <c r="C1239" s="1071" t="s">
        <v>181</v>
      </c>
      <c r="D1239" s="1072"/>
      <c r="E1239" s="463"/>
      <c r="F1239" s="157" t="s">
        <v>408</v>
      </c>
      <c r="G1239" s="1072" t="s">
        <v>213</v>
      </c>
      <c r="H1239" s="1072"/>
      <c r="I1239" s="1073"/>
    </row>
    <row r="1240" spans="1:10" s="444" customFormat="1" ht="12.3" x14ac:dyDescent="0.4">
      <c r="A1240" s="447"/>
      <c r="B1240" s="464" t="s">
        <v>180</v>
      </c>
      <c r="C1240" s="465">
        <f>E1289</f>
        <v>0</v>
      </c>
      <c r="D1240" s="513"/>
      <c r="E1240" s="514"/>
      <c r="F1240" s="500"/>
      <c r="G1240" s="468"/>
      <c r="H1240" s="468"/>
      <c r="I1240" s="156" t="s">
        <v>179</v>
      </c>
      <c r="J1240" s="447"/>
    </row>
    <row r="1241" spans="1:10" s="444" customFormat="1" ht="14.7" x14ac:dyDescent="0.6">
      <c r="A1241" s="447"/>
      <c r="B1241" s="464" t="s">
        <v>409</v>
      </c>
      <c r="C1241" s="469">
        <f>I1301</f>
        <v>0</v>
      </c>
      <c r="D1241" s="470"/>
      <c r="E1241" s="471"/>
      <c r="F1241" s="501"/>
      <c r="G1241" s="472"/>
      <c r="H1241" s="473"/>
      <c r="J1241" s="474"/>
    </row>
    <row r="1242" spans="1:10" s="444" customFormat="1" ht="14.7" x14ac:dyDescent="0.6">
      <c r="A1242" s="447"/>
      <c r="B1242" s="475" t="s">
        <v>410</v>
      </c>
      <c r="C1242" s="476">
        <f>J1301</f>
        <v>0</v>
      </c>
      <c r="D1242" s="477"/>
      <c r="E1242" s="478"/>
      <c r="F1242" s="506" t="str">
        <f>IF(OR(C1245=0,C1247=0,SUMMARY!B22="Release"),"N/A",C1240/1000)</f>
        <v>N/A</v>
      </c>
      <c r="G1242" s="447" t="s">
        <v>178</v>
      </c>
      <c r="H1242" s="447"/>
    </row>
    <row r="1243" spans="1:10" s="444" customFormat="1" ht="12.3" x14ac:dyDescent="0.4">
      <c r="A1243" s="447"/>
      <c r="B1243" s="460"/>
      <c r="C1243" s="487"/>
      <c r="D1243" s="489"/>
      <c r="E1243" s="489"/>
      <c r="F1243" s="447"/>
      <c r="G1243" s="460"/>
    </row>
    <row r="1244" spans="1:10" s="444" customFormat="1" ht="12.3" x14ac:dyDescent="0.4">
      <c r="A1244" s="447"/>
      <c r="B1244" s="447"/>
      <c r="C1244" s="503" t="s">
        <v>177</v>
      </c>
      <c r="D1244" s="504"/>
      <c r="E1244" s="503" t="s">
        <v>85</v>
      </c>
      <c r="F1244" s="447"/>
      <c r="G1244" s="460"/>
      <c r="H1244" s="460"/>
      <c r="I1244" s="447"/>
    </row>
    <row r="1245" spans="1:10" s="444" customFormat="1" ht="14.7" x14ac:dyDescent="0.6">
      <c r="A1245" s="447"/>
      <c r="B1245" s="460" t="s">
        <v>411</v>
      </c>
      <c r="C1245" s="485">
        <f>IF(SUMMARY!B20="NO",0,TPOrder!BJ9)</f>
        <v>0</v>
      </c>
      <c r="D1245" s="447"/>
      <c r="E1245" s="485">
        <f>C1245*PI()/180</f>
        <v>0</v>
      </c>
      <c r="F1245" s="447"/>
      <c r="G1245" s="460"/>
      <c r="H1245" s="460"/>
      <c r="I1245" s="447"/>
    </row>
    <row r="1246" spans="1:10" s="444" customFormat="1" ht="14.7" x14ac:dyDescent="0.6">
      <c r="A1246" s="447"/>
      <c r="B1246" s="460" t="s">
        <v>412</v>
      </c>
      <c r="C1246" s="485">
        <f>TPOrder!BL9</f>
        <v>0</v>
      </c>
      <c r="D1246" s="447"/>
      <c r="E1246" s="485">
        <f>C1246*PI()/180</f>
        <v>0</v>
      </c>
      <c r="F1246" s="447"/>
      <c r="G1246" s="460"/>
      <c r="H1246" s="485"/>
      <c r="I1246" s="447"/>
    </row>
    <row r="1247" spans="1:10" s="444" customFormat="1" ht="14.7" x14ac:dyDescent="0.6">
      <c r="A1247" s="447"/>
      <c r="B1247" s="460" t="s">
        <v>413</v>
      </c>
      <c r="C1247" s="485">
        <f>IF(SUMMARY!B20="NO",0,C85)</f>
        <v>0</v>
      </c>
      <c r="D1247" s="447"/>
      <c r="E1247" s="485">
        <f>C1247*PI()/180</f>
        <v>0</v>
      </c>
      <c r="F1247" s="447"/>
      <c r="G1247" s="460"/>
      <c r="H1247" s="460"/>
      <c r="I1247" s="447"/>
    </row>
    <row r="1248" spans="1:10" s="444" customFormat="1" ht="14.7" x14ac:dyDescent="0.6">
      <c r="A1248" s="447"/>
      <c r="B1248" s="460" t="s">
        <v>414</v>
      </c>
      <c r="C1248" s="485">
        <f>C86</f>
        <v>0</v>
      </c>
      <c r="D1248" s="447"/>
      <c r="E1248" s="485">
        <f>C1248*PI()/180</f>
        <v>0</v>
      </c>
      <c r="F1248" s="447"/>
      <c r="G1248" s="460"/>
      <c r="H1248" s="485"/>
      <c r="I1248" s="447"/>
    </row>
    <row r="1249" spans="2:8" s="447" customFormat="1" ht="12.3" x14ac:dyDescent="0.4">
      <c r="B1249" s="485"/>
      <c r="C1249" s="485"/>
      <c r="D1249" s="485"/>
      <c r="E1249" s="485"/>
      <c r="G1249" s="460"/>
      <c r="H1249" s="485"/>
    </row>
    <row r="1250" spans="2:8" s="447" customFormat="1" ht="12.3" x14ac:dyDescent="0.4">
      <c r="B1250" s="460" t="s">
        <v>176</v>
      </c>
      <c r="C1250" s="487">
        <v>6378137</v>
      </c>
      <c r="D1250" s="488"/>
      <c r="E1250" s="489" t="s">
        <v>175</v>
      </c>
      <c r="F1250" s="485">
        <f>C1252+C1252*C1252</f>
        <v>3.3640520041011246E-3</v>
      </c>
      <c r="G1250" s="460"/>
      <c r="H1250" s="460"/>
    </row>
    <row r="1251" spans="2:8" s="447" customFormat="1" ht="12.3" x14ac:dyDescent="0.4">
      <c r="B1251" s="489" t="s">
        <v>174</v>
      </c>
      <c r="C1251" s="487">
        <f>C1250*(1-C1252)</f>
        <v>6356752.3142451793</v>
      </c>
      <c r="D1251" s="488"/>
      <c r="E1251" s="489" t="s">
        <v>173</v>
      </c>
      <c r="F1251" s="485">
        <f>F1250/2</f>
        <v>1.6820260020505623E-3</v>
      </c>
      <c r="G1251" s="460"/>
      <c r="H1251" s="460"/>
    </row>
    <row r="1252" spans="2:8" s="447" customFormat="1" ht="12.3" x14ac:dyDescent="0.4">
      <c r="B1252" s="489" t="s">
        <v>172</v>
      </c>
      <c r="C1252" s="485">
        <v>3.3528106647474801E-3</v>
      </c>
      <c r="D1252" s="489"/>
      <c r="E1252" s="489" t="s">
        <v>171</v>
      </c>
      <c r="F1252" s="485">
        <f>C1252*C1252/2</f>
        <v>5.6206696768222199E-6</v>
      </c>
      <c r="G1252" s="460"/>
      <c r="H1252" s="460"/>
    </row>
    <row r="1253" spans="2:8" s="447" customFormat="1" ht="12.3" x14ac:dyDescent="0.4">
      <c r="B1253" s="460" t="s">
        <v>415</v>
      </c>
      <c r="C1253" s="485">
        <f>E1248-E1246</f>
        <v>0</v>
      </c>
      <c r="E1253" s="447" t="s">
        <v>170</v>
      </c>
      <c r="F1253" s="485">
        <f>C1252*C1252/8</f>
        <v>1.405167419205555E-6</v>
      </c>
      <c r="G1253" s="460"/>
      <c r="H1253" s="460"/>
    </row>
    <row r="1254" spans="2:8" s="447" customFormat="1" ht="12.3" x14ac:dyDescent="0.4">
      <c r="E1254" s="489" t="s">
        <v>169</v>
      </c>
      <c r="F1254" s="485">
        <f>C1252*C1252/16</f>
        <v>7.0258370960277749E-7</v>
      </c>
      <c r="G1254" s="460"/>
      <c r="H1254" s="460"/>
    </row>
    <row r="1255" spans="2:8" s="447" customFormat="1" ht="12.3" x14ac:dyDescent="0.4">
      <c r="B1255" s="447" t="s">
        <v>168</v>
      </c>
      <c r="C1255" s="490">
        <f>(1-C1252)*TAN(E1245)</f>
        <v>0</v>
      </c>
      <c r="E1255" s="489"/>
      <c r="F1255" s="460"/>
      <c r="G1255" s="460"/>
      <c r="H1255" s="460"/>
    </row>
    <row r="1256" spans="2:8" s="447" customFormat="1" ht="12.3" x14ac:dyDescent="0.4">
      <c r="B1256" s="460" t="s">
        <v>106</v>
      </c>
      <c r="C1256" s="485">
        <f>ATAN(C1255)</f>
        <v>0</v>
      </c>
      <c r="D1256" s="489"/>
      <c r="E1256" s="155"/>
      <c r="F1256" s="485"/>
      <c r="G1256" s="460"/>
      <c r="H1256" s="460"/>
    </row>
    <row r="1257" spans="2:8" s="447" customFormat="1" ht="12.3" x14ac:dyDescent="0.4">
      <c r="B1257" s="460" t="s">
        <v>167</v>
      </c>
      <c r="C1257" s="485">
        <f>SIN(C1256)</f>
        <v>0</v>
      </c>
      <c r="D1257" s="489"/>
      <c r="E1257" s="148"/>
      <c r="F1257" s="485"/>
      <c r="G1257" s="460"/>
      <c r="H1257" s="460"/>
    </row>
    <row r="1258" spans="2:8" s="447" customFormat="1" ht="12.3" x14ac:dyDescent="0.4">
      <c r="B1258" s="460" t="s">
        <v>166</v>
      </c>
      <c r="C1258" s="485">
        <f>COS(C1256)</f>
        <v>1</v>
      </c>
      <c r="D1258" s="489"/>
      <c r="E1258" s="460"/>
      <c r="F1258" s="485"/>
      <c r="G1258" s="460"/>
      <c r="H1258" s="460"/>
    </row>
    <row r="1259" spans="2:8" s="447" customFormat="1" ht="12.3" x14ac:dyDescent="0.4">
      <c r="B1259" s="460" t="s">
        <v>165</v>
      </c>
      <c r="C1259" s="491">
        <f>(1-C1252)*TAN(E1247)</f>
        <v>0</v>
      </c>
      <c r="D1259" s="489"/>
      <c r="E1259" s="460"/>
      <c r="F1259" s="485"/>
      <c r="G1259" s="460"/>
      <c r="H1259" s="460"/>
    </row>
    <row r="1260" spans="2:8" s="447" customFormat="1" ht="12.3" x14ac:dyDescent="0.4">
      <c r="B1260" s="460" t="s">
        <v>164</v>
      </c>
      <c r="C1260" s="485">
        <f>ATAN(C1259)</f>
        <v>0</v>
      </c>
      <c r="D1260" s="489"/>
      <c r="E1260" s="460"/>
      <c r="F1260" s="485"/>
      <c r="G1260" s="460"/>
      <c r="H1260" s="460"/>
    </row>
    <row r="1261" spans="2:8" s="447" customFormat="1" ht="12.3" x14ac:dyDescent="0.4">
      <c r="B1261" s="460" t="s">
        <v>163</v>
      </c>
      <c r="C1261" s="485">
        <f>SIN(C1260)</f>
        <v>0</v>
      </c>
      <c r="D1261" s="489"/>
      <c r="E1261" s="460"/>
      <c r="F1261" s="485"/>
      <c r="G1261" s="460"/>
      <c r="H1261" s="460"/>
    </row>
    <row r="1262" spans="2:8" s="447" customFormat="1" ht="12.3" x14ac:dyDescent="0.4">
      <c r="B1262" s="460" t="s">
        <v>162</v>
      </c>
      <c r="C1262" s="485">
        <f>COS(C1260)</f>
        <v>1</v>
      </c>
      <c r="D1262" s="489"/>
      <c r="E1262" s="460"/>
      <c r="F1262" s="485"/>
      <c r="G1262" s="460"/>
      <c r="H1262" s="460"/>
    </row>
    <row r="1263" spans="2:8" s="447" customFormat="1" ht="12.3" x14ac:dyDescent="0.4">
      <c r="B1263" s="147" t="s">
        <v>161</v>
      </c>
      <c r="C1263" s="485"/>
      <c r="D1263" s="489"/>
      <c r="E1263" s="460"/>
      <c r="F1263" s="485"/>
      <c r="G1263" s="460"/>
      <c r="H1263" s="460"/>
    </row>
    <row r="1264" spans="2:8" s="447" customFormat="1" ht="12.3" x14ac:dyDescent="0.4">
      <c r="B1264" s="148" t="s">
        <v>144</v>
      </c>
      <c r="C1264" s="485">
        <f>C1253</f>
        <v>0</v>
      </c>
      <c r="D1264" s="489"/>
      <c r="E1264" s="485">
        <f ca="1">E1287</f>
        <v>0</v>
      </c>
      <c r="F1264" s="485"/>
      <c r="G1264" s="460"/>
      <c r="H1264" s="460"/>
    </row>
    <row r="1265" spans="1:9" s="444" customFormat="1" ht="12.3" x14ac:dyDescent="0.4">
      <c r="A1265" s="447"/>
      <c r="B1265" s="147" t="s">
        <v>160</v>
      </c>
      <c r="C1265" s="485"/>
      <c r="D1265" s="489"/>
      <c r="E1265" s="460"/>
      <c r="F1265" s="485"/>
      <c r="G1265" s="460"/>
      <c r="H1265" s="460"/>
      <c r="I1265" s="447"/>
    </row>
    <row r="1266" spans="1:9" s="444" customFormat="1" ht="13.8" x14ac:dyDescent="0.4">
      <c r="A1266" s="447"/>
      <c r="B1266" s="460" t="s">
        <v>159</v>
      </c>
      <c r="C1266" s="485">
        <f>(C1262*SIN(C1264)*C1262*SIN(C1264))+(C1258*C1261-C1257*C1262*COS(C1264))*(C1258*C1261-C1257*C1262*COS(C1264))</f>
        <v>0</v>
      </c>
      <c r="D1266" s="489"/>
      <c r="E1266" s="485">
        <f ca="1">(C1262*SIN(E1264)*C1262*SIN(E1264))+(C1258*C1261-C1257*C1262*COS(E1264))*(C1258*C1261-C1257*C1262*COS(E1264))</f>
        <v>0</v>
      </c>
      <c r="F1266" s="485"/>
      <c r="G1266" s="460"/>
      <c r="H1266" s="460"/>
      <c r="I1266" s="447"/>
    </row>
    <row r="1267" spans="1:9" s="444" customFormat="1" ht="12.3" x14ac:dyDescent="0.4">
      <c r="A1267" s="447"/>
      <c r="B1267" s="154" t="s">
        <v>158</v>
      </c>
      <c r="C1267" s="485"/>
      <c r="D1267" s="489"/>
      <c r="E1267" s="489"/>
      <c r="F1267" s="485"/>
      <c r="G1267" s="460"/>
      <c r="H1267" s="460"/>
      <c r="I1267" s="447"/>
    </row>
    <row r="1268" spans="1:9" s="444" customFormat="1" ht="12.3" x14ac:dyDescent="0.4">
      <c r="A1268" s="447"/>
      <c r="B1268" s="447" t="s">
        <v>157</v>
      </c>
      <c r="C1268" s="447">
        <f>(C1257*C1261)+(C1258*C1262*COS(C1264))</f>
        <v>1</v>
      </c>
      <c r="D1268" s="447"/>
      <c r="E1268" s="447">
        <f ca="1">(C1257*C1261)+(C1258*C1262*COS(E1264))</f>
        <v>1</v>
      </c>
      <c r="F1268" s="447"/>
      <c r="G1268" s="460"/>
      <c r="H1268" s="460"/>
      <c r="I1268" s="447"/>
    </row>
    <row r="1269" spans="1:9" s="444" customFormat="1" ht="12.3" x14ac:dyDescent="0.4">
      <c r="A1269" s="447"/>
      <c r="B1269" s="153" t="s">
        <v>156</v>
      </c>
      <c r="C1269" s="489"/>
      <c r="D1269" s="489"/>
      <c r="E1269" s="489"/>
      <c r="F1269" s="460"/>
      <c r="G1269" s="460"/>
      <c r="H1269" s="460"/>
      <c r="I1269" s="447"/>
    </row>
    <row r="1270" spans="1:9" s="444" customFormat="1" ht="12.3" x14ac:dyDescent="0.4">
      <c r="A1270" s="447"/>
      <c r="B1270" s="460" t="s">
        <v>155</v>
      </c>
      <c r="C1270" s="485">
        <f>SQRT(C1266)/C1268</f>
        <v>0</v>
      </c>
      <c r="D1270" s="489"/>
      <c r="E1270" s="485">
        <f ca="1">SQRT(E1266)/E1268</f>
        <v>0</v>
      </c>
      <c r="F1270" s="485"/>
      <c r="G1270" s="447"/>
      <c r="H1270" s="447"/>
      <c r="I1270" s="492"/>
    </row>
    <row r="1271" spans="1:9" s="444" customFormat="1" ht="12.3" x14ac:dyDescent="0.4">
      <c r="A1271" s="447"/>
      <c r="B1271" s="148" t="s">
        <v>142</v>
      </c>
      <c r="C1271" s="485">
        <f>ATAN(C1270)</f>
        <v>0</v>
      </c>
      <c r="D1271" s="489"/>
      <c r="E1271" s="485">
        <f ca="1">IF(ATAN(E1270)&lt;0,ATAN(E1270)+PI(),ATAN(E1270))</f>
        <v>0</v>
      </c>
      <c r="F1271" s="485"/>
      <c r="G1271" s="447"/>
      <c r="H1271" s="447"/>
      <c r="I1271" s="492"/>
    </row>
    <row r="1272" spans="1:9" s="444" customFormat="1" ht="12.3" x14ac:dyDescent="0.4">
      <c r="A1272" s="447"/>
      <c r="B1272" s="147" t="s">
        <v>154</v>
      </c>
      <c r="C1272" s="485"/>
      <c r="D1272" s="489"/>
      <c r="E1272" s="460"/>
      <c r="F1272" s="485"/>
      <c r="G1272" s="447"/>
      <c r="H1272" s="447"/>
      <c r="I1272" s="492"/>
    </row>
    <row r="1273" spans="1:9" s="444" customFormat="1" ht="12.3" x14ac:dyDescent="0.4">
      <c r="A1273" s="447"/>
      <c r="B1273" s="460" t="s">
        <v>153</v>
      </c>
      <c r="C1273" s="485">
        <f>IF(C1266=0,0,C1258*C1262*SIN(C1264)/SQRT(C1266))</f>
        <v>0</v>
      </c>
      <c r="D1273" s="489"/>
      <c r="E1273" s="485">
        <f ca="1">IF(E1266=0,0,C1258*C1262*SIN(E1264)/SQRT(E1266))</f>
        <v>0</v>
      </c>
      <c r="F1273" s="485"/>
      <c r="G1273" s="460"/>
      <c r="H1273" s="460"/>
      <c r="I1273" s="492"/>
    </row>
    <row r="1274" spans="1:9" s="444" customFormat="1" ht="12.3" x14ac:dyDescent="0.4">
      <c r="A1274" s="447"/>
      <c r="B1274" s="147" t="s">
        <v>152</v>
      </c>
      <c r="C1274" s="485"/>
      <c r="D1274" s="489"/>
      <c r="E1274" s="489"/>
      <c r="F1274" s="485"/>
      <c r="G1274" s="460"/>
      <c r="H1274" s="460"/>
      <c r="I1274" s="447"/>
    </row>
    <row r="1275" spans="1:9" s="444" customFormat="1" ht="16.2" x14ac:dyDescent="0.65">
      <c r="A1275" s="447"/>
      <c r="B1275" s="447" t="s">
        <v>416</v>
      </c>
      <c r="C1275" s="447">
        <f>IF((COS(ASIN(C1273))*COS(ASIN(C1273)))=0,0,C1268-2*C1257*C1261/(COS(ASIN(C1273))*COS(ASIN(C1273))))</f>
        <v>1</v>
      </c>
      <c r="D1275" s="489"/>
      <c r="E1275" s="447">
        <f ca="1">E1268-2*C1257*C1261/(COS(ASIN(E1273))*COS(ASIN(E1273)))</f>
        <v>1</v>
      </c>
      <c r="F1275" s="460"/>
      <c r="G1275" s="460"/>
      <c r="H1275" s="460"/>
      <c r="I1275" s="447"/>
    </row>
    <row r="1276" spans="1:9" s="444" customFormat="1" ht="15.9" x14ac:dyDescent="0.45">
      <c r="A1276" s="447"/>
      <c r="B1276" s="447" t="s">
        <v>151</v>
      </c>
      <c r="C1276" s="487">
        <f>COS(ASIN(C1273))*COS(ASIN(C1273))*(C1250*C1250-C1251*C1251)/(C1251*C1251)</f>
        <v>6.7394967422764341E-3</v>
      </c>
      <c r="D1276" s="489"/>
      <c r="E1276" s="487">
        <f ca="1">COS(ASIN(E1273))*COS(ASIN(E1273))*(C1250*C1250-C1251*C1251)/(C1251*C1251)</f>
        <v>6.7394967422764341E-3</v>
      </c>
      <c r="F1276" s="447"/>
      <c r="G1276" s="460"/>
      <c r="H1276" s="460"/>
      <c r="I1276" s="447"/>
    </row>
    <row r="1277" spans="1:9" s="444" customFormat="1" ht="12.3" x14ac:dyDescent="0.4">
      <c r="A1277" s="447"/>
      <c r="B1277" s="152" t="s">
        <v>150</v>
      </c>
      <c r="C1277" s="485"/>
      <c r="D1277" s="489"/>
      <c r="E1277" s="460"/>
      <c r="F1277" s="485"/>
      <c r="G1277" s="460"/>
      <c r="H1277" s="460"/>
      <c r="I1277" s="447"/>
    </row>
    <row r="1278" spans="1:9" s="444" customFormat="1" ht="12.3" x14ac:dyDescent="0.4">
      <c r="A1278" s="447"/>
      <c r="B1278" s="460" t="s">
        <v>9</v>
      </c>
      <c r="C1278" s="485">
        <f>1+C1276/16384*(4096+C1276*(-768+C1276*(320-175*C1276)))</f>
        <v>1.0016827510415456</v>
      </c>
      <c r="D1278" s="489"/>
      <c r="E1278" s="485">
        <f ca="1">1+E1276/16384*(4096+E1276*(-768+E1276*(320-175*E1276)))</f>
        <v>1.0016827510415456</v>
      </c>
      <c r="F1278" s="485"/>
      <c r="G1278" s="460"/>
      <c r="H1278" s="460"/>
      <c r="I1278" s="447"/>
    </row>
    <row r="1279" spans="1:9" s="444" customFormat="1" ht="12.3" x14ac:dyDescent="0.4">
      <c r="A1279" s="447"/>
      <c r="B1279" s="147" t="s">
        <v>149</v>
      </c>
      <c r="C1279" s="485"/>
      <c r="D1279" s="489"/>
      <c r="E1279" s="460"/>
      <c r="F1279" s="485"/>
      <c r="G1279" s="460"/>
      <c r="H1279" s="460"/>
      <c r="I1279" s="490"/>
    </row>
    <row r="1280" spans="1:9" s="444" customFormat="1" ht="12.3" x14ac:dyDescent="0.4">
      <c r="A1280" s="447"/>
      <c r="B1280" s="460" t="s">
        <v>10</v>
      </c>
      <c r="C1280" s="485">
        <f>C1276/1024*(256+C1276*(-128+C1276*(74-47*C1276)))</f>
        <v>1.6792186103152505E-3</v>
      </c>
      <c r="D1280" s="489"/>
      <c r="E1280" s="485">
        <f ca="1">E1276/1024*(256+E1276*(-128+E1276*(74-47*E1276)))</f>
        <v>1.6792186103152505E-3</v>
      </c>
      <c r="F1280" s="485"/>
      <c r="G1280" s="460"/>
      <c r="H1280" s="460"/>
      <c r="I1280" s="447"/>
    </row>
    <row r="1281" spans="1:9" s="444" customFormat="1" ht="12.3" x14ac:dyDescent="0.4">
      <c r="A1281" s="447"/>
      <c r="B1281" s="147" t="s">
        <v>148</v>
      </c>
      <c r="C1281" s="485"/>
      <c r="D1281" s="489"/>
      <c r="E1281" s="460"/>
      <c r="F1281" s="485"/>
      <c r="G1281" s="460"/>
      <c r="H1281" s="460"/>
      <c r="I1281" s="447"/>
    </row>
    <row r="1282" spans="1:9" s="444" customFormat="1" ht="12.3" x14ac:dyDescent="0.4">
      <c r="A1282" s="447"/>
      <c r="B1282" s="148" t="s">
        <v>147</v>
      </c>
      <c r="C1282" s="485">
        <f>C1280*SQRT(C1266)*(C1275+C1280/4*(C1268*(-1+2*C1275*C1275)-C1280/6*C1275*(-3+4*C1266)*(-3+4*C1275*C1275)))</f>
        <v>0</v>
      </c>
      <c r="D1282" s="489"/>
      <c r="E1282" s="485">
        <f ca="1">E1280*SQRT(E1266)*(E1275+E1280/4*(E1268*(-1+2*E1275*E1275)-E1280/6*E1275*(-3+4*E1266)*(-3+4*E1275*E1275)))</f>
        <v>0</v>
      </c>
      <c r="F1282" s="485"/>
      <c r="G1282" s="460"/>
      <c r="H1282" s="460"/>
      <c r="I1282" s="447"/>
    </row>
    <row r="1283" spans="1:9" s="444" customFormat="1" ht="12.3" x14ac:dyDescent="0.4">
      <c r="A1283" s="447"/>
      <c r="B1283" s="460"/>
      <c r="C1283" s="485"/>
      <c r="D1283" s="489"/>
      <c r="E1283" s="460"/>
      <c r="F1283" s="485"/>
      <c r="G1283" s="460"/>
      <c r="H1283" s="460"/>
      <c r="I1283" s="447"/>
    </row>
    <row r="1284" spans="1:9" s="444" customFormat="1" ht="12.3" x14ac:dyDescent="0.4">
      <c r="A1284" s="447"/>
      <c r="B1284" s="147" t="s">
        <v>146</v>
      </c>
      <c r="C1284" s="485"/>
      <c r="D1284" s="494"/>
      <c r="E1284" s="460"/>
      <c r="F1284" s="485"/>
      <c r="G1284" s="460"/>
      <c r="H1284" s="460"/>
      <c r="I1284" s="150"/>
    </row>
    <row r="1285" spans="1:9" s="444" customFormat="1" ht="12.3" x14ac:dyDescent="0.4">
      <c r="A1285" s="447"/>
      <c r="B1285" s="460" t="s">
        <v>11</v>
      </c>
      <c r="C1285" s="485">
        <f>C1252/16*COS(ASIN(C1273))*COS(ASIN(C1273))*(4+C1252*(4-3*COS(ASIN(C1273))*COS(ASIN(C1273))))</f>
        <v>8.389052498964728E-4</v>
      </c>
      <c r="D1285" s="494"/>
      <c r="E1285" s="485">
        <f ca="1">C1252/16*COS(ASIN(E1273))*COS(ASIN(E1273))*(4+C1252*(4-3*COS(ASIN(E1273))*COS(ASIN(E1273))))</f>
        <v>8.389052498964728E-4</v>
      </c>
      <c r="F1285" s="485"/>
      <c r="G1285" s="460"/>
      <c r="H1285" s="460"/>
      <c r="I1285" s="150"/>
    </row>
    <row r="1286" spans="1:9" s="444" customFormat="1" ht="12.3" x14ac:dyDescent="0.4">
      <c r="A1286" s="447"/>
      <c r="B1286" s="147" t="s">
        <v>145</v>
      </c>
      <c r="C1286" s="485"/>
      <c r="D1286" s="494"/>
      <c r="E1286" s="460"/>
      <c r="F1286" s="485"/>
      <c r="G1286" s="460"/>
      <c r="H1286" s="460"/>
      <c r="I1286" s="150"/>
    </row>
    <row r="1287" spans="1:9" s="444" customFormat="1" ht="12.3" x14ac:dyDescent="0.4">
      <c r="A1287" s="447"/>
      <c r="B1287" s="151" t="s">
        <v>144</v>
      </c>
      <c r="C1287" s="485">
        <f>C1253+(1-C1285)*C1252*C1273*(ACOS(C1268)+C1285*SIN(ACOS(C1268))*(C1275+C1285*C1268*(-1+2*C1275*C1275)))</f>
        <v>0</v>
      </c>
      <c r="D1287" s="494"/>
      <c r="E1287" s="511">
        <f ca="1">C1253+(1-E1285)*C1252*E1273*(ACOS(E1268)+E1285*SIN(ACOS(E1268))*(E1275+E1285*E1268*(-1+2*E1275*E1275)))</f>
        <v>0</v>
      </c>
      <c r="F1287" s="485"/>
      <c r="G1287" s="460"/>
      <c r="H1287" s="460"/>
      <c r="I1287" s="150"/>
    </row>
    <row r="1288" spans="1:9" s="444" customFormat="1" ht="12.3" x14ac:dyDescent="0.4">
      <c r="A1288" s="447"/>
      <c r="B1288" s="149" t="s">
        <v>143</v>
      </c>
      <c r="C1288" s="485"/>
      <c r="D1288" s="494"/>
      <c r="E1288" s="148"/>
      <c r="F1288" s="485"/>
      <c r="G1288" s="460"/>
      <c r="H1288" s="460"/>
      <c r="I1288" s="496"/>
    </row>
    <row r="1289" spans="1:9" s="444" customFormat="1" ht="12.3" x14ac:dyDescent="0.4">
      <c r="A1289" s="447"/>
      <c r="B1289" s="460" t="s">
        <v>142</v>
      </c>
      <c r="C1289" s="485">
        <f>IF(B1304="samepoint",0,C1251*C1278*(ATAN(C1270)-C1282))</f>
        <v>0</v>
      </c>
      <c r="D1289" s="494"/>
      <c r="E1289" s="485">
        <f>IF(B1304="samepoint",0,C1251*E1278*(E1271-E1282))</f>
        <v>0</v>
      </c>
      <c r="F1289" s="460"/>
      <c r="G1289" s="460"/>
      <c r="H1289" s="460"/>
      <c r="I1289" s="496"/>
    </row>
    <row r="1290" spans="1:9" s="444" customFormat="1" ht="12.3" x14ac:dyDescent="0.4">
      <c r="A1290" s="447"/>
      <c r="B1290" s="147" t="s">
        <v>141</v>
      </c>
      <c r="C1290" s="485"/>
      <c r="D1290" s="494"/>
      <c r="E1290" s="485"/>
      <c r="F1290" s="460"/>
      <c r="G1290" s="460"/>
      <c r="H1290" s="460"/>
      <c r="I1290" s="496"/>
    </row>
    <row r="1291" spans="1:9" s="444" customFormat="1" ht="16.2" x14ac:dyDescent="0.65">
      <c r="A1291" s="447"/>
      <c r="B1291" s="460" t="s">
        <v>140</v>
      </c>
      <c r="C1291" s="485"/>
      <c r="D1291" s="494"/>
      <c r="E1291" s="485" t="e">
        <f ca="1">C1262*SIN(E1287)/(C1258*C1261-C1257*C1262*COS(E1287))</f>
        <v>#DIV/0!</v>
      </c>
      <c r="F1291" s="460"/>
      <c r="G1291" s="460"/>
      <c r="H1291" s="460"/>
      <c r="I1291" s="496"/>
    </row>
    <row r="1292" spans="1:9" s="444" customFormat="1" ht="12.3" x14ac:dyDescent="0.4">
      <c r="A1292" s="447"/>
      <c r="B1292" s="147" t="s">
        <v>139</v>
      </c>
      <c r="C1292" s="485"/>
      <c r="D1292" s="494"/>
      <c r="E1292" s="485"/>
      <c r="F1292" s="460"/>
      <c r="G1292" s="460"/>
      <c r="H1292" s="460"/>
      <c r="I1292" s="496"/>
    </row>
    <row r="1293" spans="1:9" s="444" customFormat="1" ht="16.8" x14ac:dyDescent="0.7">
      <c r="A1293" s="447"/>
      <c r="B1293" s="460" t="s">
        <v>138</v>
      </c>
      <c r="C1293" s="485"/>
      <c r="D1293" s="494"/>
      <c r="E1293" s="485" t="e">
        <f>C1258*SIN(C1287)/(-C1257*C1262+C1258*C1261*COS(C1287))</f>
        <v>#DIV/0!</v>
      </c>
      <c r="F1293" s="460"/>
      <c r="G1293" s="460"/>
      <c r="H1293" s="460"/>
      <c r="I1293" s="496"/>
    </row>
    <row r="1294" spans="1:9" s="444" customFormat="1" ht="12.3" x14ac:dyDescent="0.4">
      <c r="A1294" s="447"/>
      <c r="B1294" s="460"/>
      <c r="C1294" s="485"/>
      <c r="D1294" s="494"/>
      <c r="E1294" s="460"/>
      <c r="F1294" s="485"/>
      <c r="G1294" s="460"/>
      <c r="H1294" s="460"/>
      <c r="I1294" s="496"/>
    </row>
    <row r="1295" spans="1:9" s="444" customFormat="1" ht="12.3" x14ac:dyDescent="0.4">
      <c r="A1295" s="447"/>
      <c r="B1295" s="460"/>
      <c r="C1295" s="497"/>
      <c r="D1295" s="447"/>
      <c r="E1295" s="460"/>
      <c r="F1295" s="485"/>
      <c r="G1295" s="460"/>
      <c r="H1295" s="460"/>
      <c r="I1295" s="496"/>
    </row>
    <row r="1296" spans="1:9" s="444" customFormat="1" ht="12.3" x14ac:dyDescent="0.4">
      <c r="A1296" s="447"/>
      <c r="B1296" s="460"/>
      <c r="C1296" s="460"/>
      <c r="D1296" s="447"/>
      <c r="E1296" s="489"/>
      <c r="F1296" s="494"/>
      <c r="G1296" s="460"/>
      <c r="H1296" s="460"/>
      <c r="I1296" s="496"/>
    </row>
    <row r="1297" spans="1:11" s="444" customFormat="1" ht="12.3" x14ac:dyDescent="0.4">
      <c r="A1297" s="447"/>
      <c r="B1297" s="146" t="s">
        <v>137</v>
      </c>
      <c r="C1297" s="146"/>
      <c r="D1297" s="489"/>
      <c r="E1297" s="146" t="s">
        <v>136</v>
      </c>
      <c r="F1297" s="146"/>
      <c r="G1297" s="460"/>
      <c r="H1297" s="460"/>
      <c r="I1297" s="496"/>
    </row>
    <row r="1298" spans="1:11" s="444" customFormat="1" ht="14.7" x14ac:dyDescent="0.6">
      <c r="A1298" s="447"/>
      <c r="B1298" s="145" t="s">
        <v>417</v>
      </c>
      <c r="C1298" s="485" t="e">
        <f ca="1">ATAN(E1291)</f>
        <v>#DIV/0!</v>
      </c>
      <c r="D1298" s="447"/>
      <c r="E1298" s="145" t="s">
        <v>418</v>
      </c>
      <c r="F1298" s="485" t="e">
        <f>ATAN(E1293)</f>
        <v>#DIV/0!</v>
      </c>
      <c r="G1298" s="460"/>
      <c r="H1298" s="460"/>
      <c r="I1298" s="496" t="e">
        <f>ATAN2(E1247-E1245,E1248-E1246)*180/PI()</f>
        <v>#DIV/0!</v>
      </c>
      <c r="J1298" s="496" t="e">
        <f>ATAN2(E1245-E1247,E1246-E1248)*180/PI()</f>
        <v>#DIV/0!</v>
      </c>
    </row>
    <row r="1299" spans="1:11" s="444" customFormat="1" ht="14.7" x14ac:dyDescent="0.6">
      <c r="A1299" s="447"/>
      <c r="B1299" s="145" t="s">
        <v>419</v>
      </c>
      <c r="C1299" s="485" t="e">
        <f ca="1">(C1298/PI())*180+360</f>
        <v>#DIV/0!</v>
      </c>
      <c r="D1299" s="447"/>
      <c r="E1299" s="145" t="s">
        <v>420</v>
      </c>
      <c r="F1299" s="485" t="e">
        <f>(F1298/PI())*180+180</f>
        <v>#DIV/0!</v>
      </c>
      <c r="G1299" s="460"/>
      <c r="H1299" s="460"/>
      <c r="I1299" s="496" t="e">
        <f>IF(I1298&lt;0,C1298*180/PI()+360,C1298*180/PI())</f>
        <v>#DIV/0!</v>
      </c>
      <c r="J1299" s="498" t="e">
        <f>IF(J1298&gt;0,F1298*180/PI()+180,F1298*180/PI())</f>
        <v>#DIV/0!</v>
      </c>
    </row>
    <row r="1300" spans="1:11" s="444" customFormat="1" ht="14.7" x14ac:dyDescent="0.6">
      <c r="A1300" s="447"/>
      <c r="B1300" s="145" t="s">
        <v>419</v>
      </c>
      <c r="C1300" s="485" t="e">
        <f ca="1">IF(C1299&gt;=360,C1299-360,C1299)</f>
        <v>#DIV/0!</v>
      </c>
      <c r="D1300" s="447"/>
      <c r="E1300" s="145" t="s">
        <v>420</v>
      </c>
      <c r="F1300" s="485" t="e">
        <f>IF(F1299&gt;=360,F1299-360,F1299)</f>
        <v>#DIV/0!</v>
      </c>
      <c r="G1300" s="460"/>
      <c r="H1300" s="460"/>
      <c r="I1300" s="496" t="e">
        <f ca="1">ATAN2((C1258*C1261-C1257*C1262*COS(E1287)),C1262*SIN(E1287))</f>
        <v>#DIV/0!</v>
      </c>
      <c r="J1300" s="485" t="e">
        <f ca="1">ATAN2((-C1257*C1262+C1258*C1261*COS(E1287)),C1258*SIN(E1287))</f>
        <v>#DIV/0!</v>
      </c>
    </row>
    <row r="1301" spans="1:11" s="444" customFormat="1" ht="14.7" x14ac:dyDescent="0.6">
      <c r="A1301" s="447"/>
      <c r="B1301" s="145" t="s">
        <v>419</v>
      </c>
      <c r="C1301" s="485">
        <f>IF(B1304="samepoint",0,IF(B1305="northsouth",0,IF(B1306="southnorth",180,C1300)))</f>
        <v>0</v>
      </c>
      <c r="D1301" s="447"/>
      <c r="E1301" s="145" t="s">
        <v>420</v>
      </c>
      <c r="F1301" s="485">
        <f>IF(B1304="samepoint",0,IF(B1305="northsouth",180,IF(B1306="southnorth",0,F1300)))</f>
        <v>0</v>
      </c>
      <c r="G1301" s="447"/>
      <c r="H1301" s="447"/>
      <c r="I1301" s="485">
        <f>IF(B1304="samepoint",0,IF(B1305="northsouth",0,IF(B1306="southnorth",180,IF(I1300&lt;0,I1300*180/PI()+360,I1300*180/PI()))))</f>
        <v>0</v>
      </c>
      <c r="J1301" s="485">
        <f>IF(B1304="samepoint",0,IF(B1305="northsouth",180,IF(B1306="southnorth",0,J1300*180/PI()+180)))</f>
        <v>0</v>
      </c>
    </row>
    <row r="1302" spans="1:11" s="444" customFormat="1" ht="12.3" x14ac:dyDescent="0.4">
      <c r="A1302" s="447"/>
      <c r="B1302" s="145"/>
      <c r="C1302" s="447"/>
      <c r="D1302" s="447"/>
      <c r="E1302" s="145"/>
      <c r="F1302" s="447"/>
      <c r="G1302" s="447"/>
      <c r="H1302" s="447"/>
      <c r="I1302" s="447"/>
    </row>
    <row r="1303" spans="1:11" s="444" customFormat="1" ht="12.3" x14ac:dyDescent="0.4">
      <c r="A1303" s="447"/>
      <c r="B1303" s="144" t="s">
        <v>135</v>
      </c>
      <c r="C1303" s="144"/>
      <c r="D1303" s="447"/>
      <c r="E1303" s="447"/>
      <c r="F1303" s="447"/>
      <c r="G1303" s="447"/>
      <c r="H1303" s="447"/>
      <c r="I1303" s="447"/>
    </row>
    <row r="1304" spans="1:11" s="444" customFormat="1" ht="12.3" x14ac:dyDescent="0.4">
      <c r="A1304" s="447"/>
      <c r="B1304" s="447" t="str">
        <f>IF(AND(C1245=C1247,C1246=C1248),"samepoint","N.A. " )</f>
        <v>samepoint</v>
      </c>
      <c r="C1304" s="447" t="s">
        <v>134</v>
      </c>
      <c r="D1304" s="447"/>
      <c r="E1304" s="447"/>
      <c r="F1304" s="447"/>
      <c r="G1304" s="447"/>
      <c r="H1304" s="447"/>
      <c r="I1304" s="447"/>
    </row>
    <row r="1305" spans="1:11" s="444" customFormat="1" ht="12.3" x14ac:dyDescent="0.4">
      <c r="A1305" s="447"/>
      <c r="B1305" s="447" t="str">
        <f>IF(AND(C1246=C1248,C1247&gt;C1245),"northsouth","N.A. ")</f>
        <v xml:space="preserve">N.A. </v>
      </c>
      <c r="C1305" s="447" t="s">
        <v>133</v>
      </c>
      <c r="D1305" s="447"/>
      <c r="E1305" s="447"/>
      <c r="F1305" s="447"/>
      <c r="G1305" s="447"/>
      <c r="H1305" s="447"/>
      <c r="I1305" s="447"/>
    </row>
    <row r="1306" spans="1:11" s="444" customFormat="1" ht="12.3" x14ac:dyDescent="0.4">
      <c r="A1306" s="447"/>
      <c r="B1306" s="447" t="str">
        <f>IF(AND(C1246=C1248,C1245&gt;C1247),"southnorth","N.A. ")</f>
        <v xml:space="preserve">N.A. </v>
      </c>
      <c r="C1306" s="447" t="s">
        <v>132</v>
      </c>
      <c r="D1306" s="447"/>
      <c r="E1306" s="447"/>
      <c r="F1306" s="447"/>
      <c r="G1306" s="447"/>
      <c r="H1306" s="447"/>
      <c r="I1306" s="447"/>
    </row>
    <row r="1307" spans="1:11" s="444" customFormat="1" ht="12.3" x14ac:dyDescent="0.4">
      <c r="A1307" s="447"/>
      <c r="B1307" s="447"/>
      <c r="C1307" s="447"/>
      <c r="D1307" s="447"/>
      <c r="E1307" s="447"/>
      <c r="F1307" s="447"/>
      <c r="G1307" s="447"/>
      <c r="H1307" s="447"/>
      <c r="I1307" s="447"/>
    </row>
    <row r="1308" spans="1:11" s="444" customFormat="1" ht="15" x14ac:dyDescent="0.5">
      <c r="A1308" s="479"/>
      <c r="B1308" s="516" t="s">
        <v>187</v>
      </c>
      <c r="C1308" s="516" t="s">
        <v>186</v>
      </c>
      <c r="D1308" s="479"/>
      <c r="E1308" s="479"/>
      <c r="F1308" s="479"/>
      <c r="G1308" s="479"/>
      <c r="H1308" s="479"/>
      <c r="I1308" s="479"/>
      <c r="J1308" s="517"/>
      <c r="K1308" s="517"/>
    </row>
    <row r="1309" spans="1:11" s="444" customFormat="1" ht="17.399999999999999" x14ac:dyDescent="0.55000000000000004">
      <c r="A1309" s="447"/>
      <c r="B1309" s="449" t="s">
        <v>185</v>
      </c>
      <c r="C1309" s="450" t="s">
        <v>191</v>
      </c>
      <c r="D1309" s="451"/>
      <c r="E1309" s="452"/>
      <c r="F1309" s="453" t="s">
        <v>183</v>
      </c>
      <c r="G1309" s="1074" t="s">
        <v>189</v>
      </c>
      <c r="H1309" s="1074"/>
      <c r="I1309" s="454"/>
      <c r="J1309" s="455"/>
    </row>
    <row r="1310" spans="1:11" s="444" customFormat="1" ht="14.7" x14ac:dyDescent="0.6">
      <c r="A1310" s="447"/>
      <c r="B1310" s="158" t="s">
        <v>405</v>
      </c>
      <c r="C1310" s="1068" t="s">
        <v>181</v>
      </c>
      <c r="D1310" s="1069"/>
      <c r="E1310" s="458"/>
      <c r="F1310" s="157" t="s">
        <v>406</v>
      </c>
      <c r="G1310" s="1069" t="s">
        <v>181</v>
      </c>
      <c r="H1310" s="1069"/>
      <c r="I1310" s="1070"/>
      <c r="J1310" s="460"/>
    </row>
    <row r="1311" spans="1:11" s="444" customFormat="1" ht="14.7" x14ac:dyDescent="0.6">
      <c r="A1311" s="447"/>
      <c r="B1311" s="158" t="s">
        <v>407</v>
      </c>
      <c r="C1311" s="1071" t="s">
        <v>181</v>
      </c>
      <c r="D1311" s="1072"/>
      <c r="E1311" s="463"/>
      <c r="F1311" s="157" t="s">
        <v>408</v>
      </c>
      <c r="G1311" s="1072" t="s">
        <v>181</v>
      </c>
      <c r="H1311" s="1072"/>
      <c r="I1311" s="1073"/>
    </row>
    <row r="1312" spans="1:11" s="444" customFormat="1" ht="12.3" x14ac:dyDescent="0.4">
      <c r="A1312" s="447"/>
      <c r="B1312" s="464" t="s">
        <v>180</v>
      </c>
      <c r="C1312" s="465">
        <f>E1361</f>
        <v>0</v>
      </c>
      <c r="D1312" s="513"/>
      <c r="E1312" s="514"/>
      <c r="F1312" s="500"/>
      <c r="G1312" s="468"/>
      <c r="H1312" s="468"/>
      <c r="I1312" s="156" t="s">
        <v>179</v>
      </c>
      <c r="J1312" s="447"/>
    </row>
    <row r="1313" spans="1:10" s="444" customFormat="1" ht="14.7" x14ac:dyDescent="0.6">
      <c r="A1313" s="447"/>
      <c r="B1313" s="464" t="s">
        <v>409</v>
      </c>
      <c r="C1313" s="469">
        <f>I1373</f>
        <v>0</v>
      </c>
      <c r="D1313" s="470"/>
      <c r="E1313" s="471"/>
      <c r="F1313" s="501"/>
      <c r="G1313" s="472"/>
      <c r="H1313" s="473"/>
      <c r="J1313" s="474"/>
    </row>
    <row r="1314" spans="1:10" s="444" customFormat="1" ht="14.7" x14ac:dyDescent="0.6">
      <c r="A1314" s="447"/>
      <c r="B1314" s="475" t="s">
        <v>410</v>
      </c>
      <c r="C1314" s="476">
        <f>J1373</f>
        <v>0</v>
      </c>
      <c r="D1314" s="477"/>
      <c r="E1314" s="478"/>
      <c r="F1314" s="506" t="str">
        <f>IF(OR(C1317=0,C1319=0),"N/A",C1312/1000)</f>
        <v>N/A</v>
      </c>
      <c r="G1314" s="447" t="s">
        <v>178</v>
      </c>
      <c r="H1314" s="447"/>
    </row>
    <row r="1315" spans="1:10" s="444" customFormat="1" ht="12.3" x14ac:dyDescent="0.4">
      <c r="A1315" s="447"/>
      <c r="B1315" s="460"/>
      <c r="C1315" s="487"/>
      <c r="D1315" s="489"/>
      <c r="E1315" s="489"/>
      <c r="F1315" s="447"/>
      <c r="G1315" s="460"/>
    </row>
    <row r="1316" spans="1:10" s="444" customFormat="1" ht="12.3" x14ac:dyDescent="0.4">
      <c r="A1316" s="447"/>
      <c r="B1316" s="447"/>
      <c r="C1316" s="503" t="s">
        <v>177</v>
      </c>
      <c r="D1316" s="504"/>
      <c r="E1316" s="503" t="s">
        <v>85</v>
      </c>
      <c r="F1316" s="447"/>
      <c r="G1316" s="460"/>
      <c r="H1316" s="460"/>
      <c r="I1316" s="447"/>
    </row>
    <row r="1317" spans="1:10" s="444" customFormat="1" ht="14.7" x14ac:dyDescent="0.6">
      <c r="A1317" s="447"/>
      <c r="B1317" s="460" t="s">
        <v>411</v>
      </c>
      <c r="C1317" s="485">
        <f>IF(SUMMARY!B20="NO",0,TPOrder!EZ9)</f>
        <v>0</v>
      </c>
      <c r="D1317" s="447"/>
      <c r="E1317" s="485">
        <f>C1317*PI()/180</f>
        <v>0</v>
      </c>
      <c r="F1317" s="447"/>
      <c r="G1317" s="460"/>
      <c r="H1317" s="460"/>
      <c r="I1317" s="447"/>
    </row>
    <row r="1318" spans="1:10" s="444" customFormat="1" ht="14.7" x14ac:dyDescent="0.6">
      <c r="A1318" s="447"/>
      <c r="B1318" s="460" t="s">
        <v>412</v>
      </c>
      <c r="C1318" s="485">
        <f>TPOrder!FB9</f>
        <v>0</v>
      </c>
      <c r="D1318" s="447"/>
      <c r="E1318" s="485">
        <f>C1318*PI()/180</f>
        <v>0</v>
      </c>
      <c r="F1318" s="447"/>
      <c r="G1318" s="460"/>
      <c r="H1318" s="485"/>
      <c r="I1318" s="447"/>
    </row>
    <row r="1319" spans="1:10" s="444" customFormat="1" ht="14.7" x14ac:dyDescent="0.6">
      <c r="A1319" s="447"/>
      <c r="B1319" s="460" t="s">
        <v>413</v>
      </c>
      <c r="C1319" s="485">
        <f>IF(SUMMARY!B20="NO",0,C158)</f>
        <v>0</v>
      </c>
      <c r="D1319" s="447"/>
      <c r="E1319" s="485">
        <f>C1319*PI()/180</f>
        <v>0</v>
      </c>
      <c r="F1319" s="447"/>
      <c r="G1319" s="460"/>
      <c r="H1319" s="460"/>
      <c r="I1319" s="447"/>
    </row>
    <row r="1320" spans="1:10" s="444" customFormat="1" ht="14.7" x14ac:dyDescent="0.6">
      <c r="A1320" s="447"/>
      <c r="B1320" s="460" t="s">
        <v>414</v>
      </c>
      <c r="C1320" s="485">
        <f>C159</f>
        <v>0</v>
      </c>
      <c r="D1320" s="447"/>
      <c r="E1320" s="485">
        <f>C1320*PI()/180</f>
        <v>0</v>
      </c>
      <c r="F1320" s="447"/>
      <c r="G1320" s="460"/>
      <c r="H1320" s="485"/>
      <c r="I1320" s="447"/>
    </row>
    <row r="1321" spans="1:10" s="444" customFormat="1" ht="12.3" x14ac:dyDescent="0.4">
      <c r="A1321" s="447"/>
      <c r="B1321" s="485"/>
      <c r="C1321" s="485"/>
      <c r="D1321" s="485"/>
      <c r="E1321" s="485"/>
      <c r="F1321" s="447"/>
      <c r="G1321" s="460"/>
      <c r="H1321" s="485"/>
      <c r="I1321" s="447"/>
    </row>
    <row r="1322" spans="1:10" s="444" customFormat="1" ht="12.3" x14ac:dyDescent="0.4">
      <c r="A1322" s="447"/>
      <c r="B1322" s="460" t="s">
        <v>176</v>
      </c>
      <c r="C1322" s="487">
        <v>6378137</v>
      </c>
      <c r="D1322" s="488"/>
      <c r="E1322" s="489" t="s">
        <v>175</v>
      </c>
      <c r="F1322" s="485">
        <f>C1324+C1324*C1324</f>
        <v>3.3640520041011246E-3</v>
      </c>
      <c r="G1322" s="460"/>
      <c r="H1322" s="460"/>
      <c r="I1322" s="447"/>
    </row>
    <row r="1323" spans="1:10" s="444" customFormat="1" ht="12.3" x14ac:dyDescent="0.4">
      <c r="A1323" s="447"/>
      <c r="B1323" s="489" t="s">
        <v>174</v>
      </c>
      <c r="C1323" s="487">
        <f>C1322*(1-C1324)</f>
        <v>6356752.3142451793</v>
      </c>
      <c r="D1323" s="488"/>
      <c r="E1323" s="489" t="s">
        <v>173</v>
      </c>
      <c r="F1323" s="485">
        <f>F1322/2</f>
        <v>1.6820260020505623E-3</v>
      </c>
      <c r="G1323" s="460"/>
      <c r="H1323" s="460"/>
      <c r="I1323" s="447"/>
    </row>
    <row r="1324" spans="1:10" s="444" customFormat="1" ht="12.3" x14ac:dyDescent="0.4">
      <c r="A1324" s="447"/>
      <c r="B1324" s="489" t="s">
        <v>172</v>
      </c>
      <c r="C1324" s="485">
        <v>3.3528106647474801E-3</v>
      </c>
      <c r="D1324" s="489"/>
      <c r="E1324" s="489" t="s">
        <v>171</v>
      </c>
      <c r="F1324" s="485">
        <f>C1324*C1324/2</f>
        <v>5.6206696768222199E-6</v>
      </c>
      <c r="G1324" s="460"/>
      <c r="H1324" s="460"/>
      <c r="I1324" s="447"/>
    </row>
    <row r="1325" spans="1:10" s="444" customFormat="1" ht="12.3" x14ac:dyDescent="0.4">
      <c r="A1325" s="447"/>
      <c r="B1325" s="460" t="s">
        <v>415</v>
      </c>
      <c r="C1325" s="485">
        <f>E1320-E1318</f>
        <v>0</v>
      </c>
      <c r="D1325" s="447"/>
      <c r="E1325" s="447" t="s">
        <v>170</v>
      </c>
      <c r="F1325" s="485">
        <f>C1324*C1324/8</f>
        <v>1.405167419205555E-6</v>
      </c>
      <c r="G1325" s="460"/>
      <c r="H1325" s="460"/>
      <c r="I1325" s="447"/>
    </row>
    <row r="1326" spans="1:10" s="444" customFormat="1" ht="12.3" x14ac:dyDescent="0.4">
      <c r="A1326" s="447"/>
      <c r="B1326" s="447"/>
      <c r="C1326" s="447"/>
      <c r="D1326" s="447"/>
      <c r="E1326" s="489" t="s">
        <v>169</v>
      </c>
      <c r="F1326" s="485">
        <f>C1324*C1324/16</f>
        <v>7.0258370960277749E-7</v>
      </c>
      <c r="G1326" s="460"/>
      <c r="H1326" s="460"/>
      <c r="I1326" s="447"/>
    </row>
    <row r="1327" spans="1:10" s="444" customFormat="1" ht="12.3" x14ac:dyDescent="0.4">
      <c r="A1327" s="447"/>
      <c r="B1327" s="447" t="s">
        <v>168</v>
      </c>
      <c r="C1327" s="490">
        <f>(1-C1324)*TAN(E1317)</f>
        <v>0</v>
      </c>
      <c r="D1327" s="447"/>
      <c r="E1327" s="489"/>
      <c r="F1327" s="460"/>
      <c r="G1327" s="460"/>
      <c r="H1327" s="460"/>
      <c r="I1327" s="447"/>
    </row>
    <row r="1328" spans="1:10" s="444" customFormat="1" ht="12.3" x14ac:dyDescent="0.4">
      <c r="A1328" s="447"/>
      <c r="B1328" s="460" t="s">
        <v>106</v>
      </c>
      <c r="C1328" s="485">
        <f>ATAN(C1327)</f>
        <v>0</v>
      </c>
      <c r="D1328" s="489"/>
      <c r="E1328" s="155"/>
      <c r="F1328" s="485"/>
      <c r="G1328" s="460"/>
      <c r="H1328" s="460"/>
      <c r="I1328" s="447"/>
    </row>
    <row r="1329" spans="1:9" s="444" customFormat="1" ht="12.3" x14ac:dyDescent="0.4">
      <c r="A1329" s="447"/>
      <c r="B1329" s="460" t="s">
        <v>167</v>
      </c>
      <c r="C1329" s="485">
        <f>SIN(C1328)</f>
        <v>0</v>
      </c>
      <c r="D1329" s="489"/>
      <c r="E1329" s="148"/>
      <c r="F1329" s="485"/>
      <c r="G1329" s="460"/>
      <c r="H1329" s="460"/>
      <c r="I1329" s="447"/>
    </row>
    <row r="1330" spans="1:9" s="444" customFormat="1" ht="12.3" x14ac:dyDescent="0.4">
      <c r="A1330" s="447"/>
      <c r="B1330" s="460" t="s">
        <v>166</v>
      </c>
      <c r="C1330" s="485">
        <f>COS(C1328)</f>
        <v>1</v>
      </c>
      <c r="D1330" s="489"/>
      <c r="E1330" s="460"/>
      <c r="F1330" s="485"/>
      <c r="G1330" s="460"/>
      <c r="H1330" s="460"/>
      <c r="I1330" s="447"/>
    </row>
    <row r="1331" spans="1:9" s="444" customFormat="1" ht="12.3" x14ac:dyDescent="0.4">
      <c r="A1331" s="447"/>
      <c r="B1331" s="460" t="s">
        <v>165</v>
      </c>
      <c r="C1331" s="491">
        <f>(1-C1324)*TAN(E1319)</f>
        <v>0</v>
      </c>
      <c r="D1331" s="489"/>
      <c r="E1331" s="460"/>
      <c r="F1331" s="485"/>
      <c r="G1331" s="460"/>
      <c r="H1331" s="460"/>
      <c r="I1331" s="447"/>
    </row>
    <row r="1332" spans="1:9" s="444" customFormat="1" ht="12.3" x14ac:dyDescent="0.4">
      <c r="A1332" s="447"/>
      <c r="B1332" s="460" t="s">
        <v>164</v>
      </c>
      <c r="C1332" s="485">
        <f>ATAN(C1331)</f>
        <v>0</v>
      </c>
      <c r="D1332" s="489"/>
      <c r="E1332" s="460"/>
      <c r="F1332" s="485"/>
      <c r="G1332" s="460"/>
      <c r="H1332" s="460"/>
      <c r="I1332" s="447"/>
    </row>
    <row r="1333" spans="1:9" s="444" customFormat="1" ht="12.3" x14ac:dyDescent="0.4">
      <c r="A1333" s="447"/>
      <c r="B1333" s="460" t="s">
        <v>163</v>
      </c>
      <c r="C1333" s="485">
        <f>SIN(C1332)</f>
        <v>0</v>
      </c>
      <c r="D1333" s="489"/>
      <c r="E1333" s="460"/>
      <c r="F1333" s="485"/>
      <c r="G1333" s="460"/>
      <c r="H1333" s="460"/>
      <c r="I1333" s="447"/>
    </row>
    <row r="1334" spans="1:9" s="444" customFormat="1" ht="12.3" x14ac:dyDescent="0.4">
      <c r="A1334" s="447"/>
      <c r="B1334" s="460" t="s">
        <v>162</v>
      </c>
      <c r="C1334" s="485">
        <f>COS(C1332)</f>
        <v>1</v>
      </c>
      <c r="D1334" s="489"/>
      <c r="E1334" s="460"/>
      <c r="F1334" s="485"/>
      <c r="G1334" s="460"/>
      <c r="H1334" s="460"/>
      <c r="I1334" s="447"/>
    </row>
    <row r="1335" spans="1:9" s="444" customFormat="1" ht="12.3" x14ac:dyDescent="0.4">
      <c r="A1335" s="447"/>
      <c r="B1335" s="147" t="s">
        <v>161</v>
      </c>
      <c r="C1335" s="485"/>
      <c r="D1335" s="489"/>
      <c r="E1335" s="460"/>
      <c r="F1335" s="485"/>
      <c r="G1335" s="460"/>
      <c r="H1335" s="460"/>
      <c r="I1335" s="447"/>
    </row>
    <row r="1336" spans="1:9" s="444" customFormat="1" ht="12.3" x14ac:dyDescent="0.4">
      <c r="A1336" s="447"/>
      <c r="B1336" s="148" t="s">
        <v>144</v>
      </c>
      <c r="C1336" s="485">
        <f>C1325</f>
        <v>0</v>
      </c>
      <c r="D1336" s="489"/>
      <c r="E1336" s="485">
        <f ca="1">E1359</f>
        <v>0</v>
      </c>
      <c r="F1336" s="485"/>
      <c r="G1336" s="460"/>
      <c r="H1336" s="460"/>
      <c r="I1336" s="447"/>
    </row>
    <row r="1337" spans="1:9" s="444" customFormat="1" ht="12.3" x14ac:dyDescent="0.4">
      <c r="A1337" s="447"/>
      <c r="B1337" s="147" t="s">
        <v>160</v>
      </c>
      <c r="C1337" s="485"/>
      <c r="D1337" s="489"/>
      <c r="E1337" s="460"/>
      <c r="F1337" s="485"/>
      <c r="G1337" s="460"/>
      <c r="H1337" s="460"/>
      <c r="I1337" s="447"/>
    </row>
    <row r="1338" spans="1:9" s="444" customFormat="1" ht="13.8" x14ac:dyDescent="0.4">
      <c r="A1338" s="447"/>
      <c r="B1338" s="460" t="s">
        <v>159</v>
      </c>
      <c r="C1338" s="485">
        <f>(C1334*SIN(C1336)*C1334*SIN(C1336))+(C1330*C1333-C1329*C1334*COS(C1336))*(C1330*C1333-C1329*C1334*COS(C1336))</f>
        <v>0</v>
      </c>
      <c r="D1338" s="489"/>
      <c r="E1338" s="485">
        <f ca="1">(C1334*SIN(E1336)*C1334*SIN(E1336))+(C1330*C1333-C1329*C1334*COS(E1336))*(C1330*C1333-C1329*C1334*COS(E1336))</f>
        <v>0</v>
      </c>
      <c r="F1338" s="485"/>
      <c r="G1338" s="460"/>
      <c r="H1338" s="460"/>
      <c r="I1338" s="447"/>
    </row>
    <row r="1339" spans="1:9" s="444" customFormat="1" ht="12.3" x14ac:dyDescent="0.4">
      <c r="A1339" s="447"/>
      <c r="B1339" s="154" t="s">
        <v>158</v>
      </c>
      <c r="C1339" s="485"/>
      <c r="D1339" s="489"/>
      <c r="E1339" s="489"/>
      <c r="F1339" s="485"/>
      <c r="G1339" s="460"/>
      <c r="H1339" s="460"/>
      <c r="I1339" s="447"/>
    </row>
    <row r="1340" spans="1:9" s="444" customFormat="1" ht="12.3" x14ac:dyDescent="0.4">
      <c r="A1340" s="447"/>
      <c r="B1340" s="447" t="s">
        <v>157</v>
      </c>
      <c r="C1340" s="447">
        <f>(C1329*C1333)+(C1330*C1334*COS(C1336))</f>
        <v>1</v>
      </c>
      <c r="D1340" s="447"/>
      <c r="E1340" s="447">
        <f ca="1">(C1329*C1333)+(C1330*C1334*COS(E1336))</f>
        <v>1</v>
      </c>
      <c r="F1340" s="447"/>
      <c r="G1340" s="460"/>
      <c r="H1340" s="460"/>
      <c r="I1340" s="447"/>
    </row>
    <row r="1341" spans="1:9" s="444" customFormat="1" ht="12.3" x14ac:dyDescent="0.4">
      <c r="A1341" s="447"/>
      <c r="B1341" s="153" t="s">
        <v>156</v>
      </c>
      <c r="C1341" s="489"/>
      <c r="D1341" s="489"/>
      <c r="E1341" s="489"/>
      <c r="F1341" s="460"/>
      <c r="G1341" s="460"/>
      <c r="H1341" s="460"/>
      <c r="I1341" s="447"/>
    </row>
    <row r="1342" spans="1:9" s="444" customFormat="1" ht="12.3" x14ac:dyDescent="0.4">
      <c r="A1342" s="447"/>
      <c r="B1342" s="460" t="s">
        <v>155</v>
      </c>
      <c r="C1342" s="485">
        <f>SQRT(C1338)/C1340</f>
        <v>0</v>
      </c>
      <c r="D1342" s="489"/>
      <c r="E1342" s="485">
        <f ca="1">SQRT(E1338)/E1340</f>
        <v>0</v>
      </c>
      <c r="F1342" s="485"/>
      <c r="G1342" s="447"/>
      <c r="H1342" s="447"/>
      <c r="I1342" s="492"/>
    </row>
    <row r="1343" spans="1:9" s="444" customFormat="1" ht="12.3" x14ac:dyDescent="0.4">
      <c r="A1343" s="447"/>
      <c r="B1343" s="148" t="s">
        <v>142</v>
      </c>
      <c r="C1343" s="485">
        <f>ATAN(C1342)</f>
        <v>0</v>
      </c>
      <c r="D1343" s="489"/>
      <c r="E1343" s="485">
        <f ca="1">IF(ATAN(E1342)&lt;0,ATAN(E1342)+PI(),ATAN(E1342))</f>
        <v>0</v>
      </c>
      <c r="F1343" s="485"/>
      <c r="G1343" s="447"/>
      <c r="H1343" s="447"/>
      <c r="I1343" s="492"/>
    </row>
    <row r="1344" spans="1:9" s="444" customFormat="1" ht="12.3" x14ac:dyDescent="0.4">
      <c r="A1344" s="447"/>
      <c r="B1344" s="147" t="s">
        <v>154</v>
      </c>
      <c r="C1344" s="485"/>
      <c r="D1344" s="489"/>
      <c r="E1344" s="460"/>
      <c r="F1344" s="485"/>
      <c r="G1344" s="447"/>
      <c r="H1344" s="447"/>
      <c r="I1344" s="492"/>
    </row>
    <row r="1345" spans="1:9" s="444" customFormat="1" ht="12.3" x14ac:dyDescent="0.4">
      <c r="A1345" s="447"/>
      <c r="B1345" s="460" t="s">
        <v>153</v>
      </c>
      <c r="C1345" s="485">
        <f>IF(C1338=0,0,C1330*C1334*SIN(C1336)/SQRT(C1338))</f>
        <v>0</v>
      </c>
      <c r="D1345" s="489"/>
      <c r="E1345" s="485">
        <f ca="1">IF(E1338=0,0,C1330*C1334*SIN(E1336)/SQRT(E1338))</f>
        <v>0</v>
      </c>
      <c r="F1345" s="485"/>
      <c r="G1345" s="460"/>
      <c r="H1345" s="460"/>
      <c r="I1345" s="492"/>
    </row>
    <row r="1346" spans="1:9" s="444" customFormat="1" ht="12.3" x14ac:dyDescent="0.4">
      <c r="A1346" s="447"/>
      <c r="B1346" s="147" t="s">
        <v>152</v>
      </c>
      <c r="C1346" s="485"/>
      <c r="D1346" s="489"/>
      <c r="E1346" s="489"/>
      <c r="F1346" s="485"/>
      <c r="G1346" s="460"/>
      <c r="H1346" s="460"/>
      <c r="I1346" s="447"/>
    </row>
    <row r="1347" spans="1:9" s="444" customFormat="1" ht="16.2" x14ac:dyDescent="0.65">
      <c r="A1347" s="447"/>
      <c r="B1347" s="447" t="s">
        <v>416</v>
      </c>
      <c r="C1347" s="447">
        <f>IF((COS(ASIN(C1345))*COS(ASIN(C1345)))=0,0,C1340-2*C1329*C1333/(COS(ASIN(C1345))*COS(ASIN(C1345))))</f>
        <v>1</v>
      </c>
      <c r="D1347" s="489"/>
      <c r="E1347" s="447">
        <f ca="1">E1340-2*C1329*C1333/(COS(ASIN(E1345))*COS(ASIN(E1345)))</f>
        <v>1</v>
      </c>
      <c r="F1347" s="460"/>
      <c r="G1347" s="460"/>
      <c r="H1347" s="460"/>
      <c r="I1347" s="447"/>
    </row>
    <row r="1348" spans="1:9" s="444" customFormat="1" ht="15.9" x14ac:dyDescent="0.45">
      <c r="A1348" s="447"/>
      <c r="B1348" s="447" t="s">
        <v>151</v>
      </c>
      <c r="C1348" s="487">
        <f>COS(ASIN(C1345))*COS(ASIN(C1345))*(C1322*C1322-C1323*C1323)/(C1323*C1323)</f>
        <v>6.7394967422764341E-3</v>
      </c>
      <c r="D1348" s="489"/>
      <c r="E1348" s="487">
        <f ca="1">COS(ASIN(E1345))*COS(ASIN(E1345))*(C1322*C1322-C1323*C1323)/(C1323*C1323)</f>
        <v>6.7394967422764341E-3</v>
      </c>
      <c r="F1348" s="447"/>
      <c r="G1348" s="460"/>
      <c r="H1348" s="460"/>
      <c r="I1348" s="447"/>
    </row>
    <row r="1349" spans="1:9" s="444" customFormat="1" ht="12.3" x14ac:dyDescent="0.4">
      <c r="A1349" s="447"/>
      <c r="B1349" s="152" t="s">
        <v>150</v>
      </c>
      <c r="C1349" s="485"/>
      <c r="D1349" s="489"/>
      <c r="E1349" s="460"/>
      <c r="F1349" s="485"/>
      <c r="G1349" s="460"/>
      <c r="H1349" s="460"/>
      <c r="I1349" s="447"/>
    </row>
    <row r="1350" spans="1:9" s="444" customFormat="1" ht="12.3" x14ac:dyDescent="0.4">
      <c r="A1350" s="447"/>
      <c r="B1350" s="460" t="s">
        <v>9</v>
      </c>
      <c r="C1350" s="485">
        <f>1+C1348/16384*(4096+C1348*(-768+C1348*(320-175*C1348)))</f>
        <v>1.0016827510415456</v>
      </c>
      <c r="D1350" s="489"/>
      <c r="E1350" s="485">
        <f ca="1">1+E1348/16384*(4096+E1348*(-768+E1348*(320-175*E1348)))</f>
        <v>1.0016827510415456</v>
      </c>
      <c r="F1350" s="485"/>
      <c r="G1350" s="460"/>
      <c r="H1350" s="460"/>
      <c r="I1350" s="447"/>
    </row>
    <row r="1351" spans="1:9" s="444" customFormat="1" ht="12.3" x14ac:dyDescent="0.4">
      <c r="A1351" s="447"/>
      <c r="B1351" s="147" t="s">
        <v>149</v>
      </c>
      <c r="C1351" s="485"/>
      <c r="D1351" s="489"/>
      <c r="E1351" s="460"/>
      <c r="F1351" s="485"/>
      <c r="G1351" s="460"/>
      <c r="H1351" s="460"/>
      <c r="I1351" s="490"/>
    </row>
    <row r="1352" spans="1:9" s="444" customFormat="1" ht="12.3" x14ac:dyDescent="0.4">
      <c r="A1352" s="447"/>
      <c r="B1352" s="460" t="s">
        <v>10</v>
      </c>
      <c r="C1352" s="485">
        <f>C1348/1024*(256+C1348*(-128+C1348*(74-47*C1348)))</f>
        <v>1.6792186103152505E-3</v>
      </c>
      <c r="D1352" s="489"/>
      <c r="E1352" s="485">
        <f ca="1">E1348/1024*(256+E1348*(-128+E1348*(74-47*E1348)))</f>
        <v>1.6792186103152505E-3</v>
      </c>
      <c r="F1352" s="485"/>
      <c r="G1352" s="460"/>
      <c r="H1352" s="460"/>
      <c r="I1352" s="447"/>
    </row>
    <row r="1353" spans="1:9" s="444" customFormat="1" ht="12.3" x14ac:dyDescent="0.4">
      <c r="A1353" s="447"/>
      <c r="B1353" s="147" t="s">
        <v>148</v>
      </c>
      <c r="C1353" s="485"/>
      <c r="D1353" s="489"/>
      <c r="E1353" s="460"/>
      <c r="F1353" s="485"/>
      <c r="G1353" s="460"/>
      <c r="H1353" s="460"/>
      <c r="I1353" s="447"/>
    </row>
    <row r="1354" spans="1:9" s="444" customFormat="1" ht="12.3" x14ac:dyDescent="0.4">
      <c r="A1354" s="447"/>
      <c r="B1354" s="148" t="s">
        <v>147</v>
      </c>
      <c r="C1354" s="485">
        <f>C1352*SQRT(C1338)*(C1347+C1352/4*(C1340*(-1+2*C1347*C1347)-C1352/6*C1347*(-3+4*C1338)*(-3+4*C1347*C1347)))</f>
        <v>0</v>
      </c>
      <c r="D1354" s="489"/>
      <c r="E1354" s="485">
        <f ca="1">E1352*SQRT(E1338)*(E1347+E1352/4*(E1340*(-1+2*E1347*E1347)-E1352/6*E1347*(-3+4*E1338)*(-3+4*E1347*E1347)))</f>
        <v>0</v>
      </c>
      <c r="F1354" s="485"/>
      <c r="G1354" s="460"/>
      <c r="H1354" s="460"/>
      <c r="I1354" s="447"/>
    </row>
    <row r="1355" spans="1:9" s="444" customFormat="1" ht="12.3" x14ac:dyDescent="0.4">
      <c r="A1355" s="447"/>
      <c r="B1355" s="460"/>
      <c r="C1355" s="485"/>
      <c r="D1355" s="489"/>
      <c r="E1355" s="460"/>
      <c r="F1355" s="485"/>
      <c r="G1355" s="460"/>
      <c r="H1355" s="460"/>
      <c r="I1355" s="447"/>
    </row>
    <row r="1356" spans="1:9" s="444" customFormat="1" ht="12.3" x14ac:dyDescent="0.4">
      <c r="A1356" s="447"/>
      <c r="B1356" s="147" t="s">
        <v>146</v>
      </c>
      <c r="C1356" s="485"/>
      <c r="D1356" s="494"/>
      <c r="E1356" s="460"/>
      <c r="F1356" s="485"/>
      <c r="G1356" s="460"/>
      <c r="H1356" s="460"/>
      <c r="I1356" s="150"/>
    </row>
    <row r="1357" spans="1:9" s="444" customFormat="1" ht="12.3" x14ac:dyDescent="0.4">
      <c r="A1357" s="447"/>
      <c r="B1357" s="460" t="s">
        <v>11</v>
      </c>
      <c r="C1357" s="485">
        <f>C1324/16*COS(ASIN(C1345))*COS(ASIN(C1345))*(4+C1324*(4-3*COS(ASIN(C1345))*COS(ASIN(C1345))))</f>
        <v>8.389052498964728E-4</v>
      </c>
      <c r="D1357" s="494"/>
      <c r="E1357" s="485">
        <f ca="1">C1324/16*COS(ASIN(E1345))*COS(ASIN(E1345))*(4+C1324*(4-3*COS(ASIN(E1345))*COS(ASIN(E1345))))</f>
        <v>8.389052498964728E-4</v>
      </c>
      <c r="F1357" s="485"/>
      <c r="G1357" s="460"/>
      <c r="H1357" s="460"/>
      <c r="I1357" s="150"/>
    </row>
    <row r="1358" spans="1:9" s="444" customFormat="1" ht="12.3" x14ac:dyDescent="0.4">
      <c r="A1358" s="447"/>
      <c r="B1358" s="147" t="s">
        <v>145</v>
      </c>
      <c r="C1358" s="485"/>
      <c r="D1358" s="494"/>
      <c r="E1358" s="460"/>
      <c r="F1358" s="485"/>
      <c r="G1358" s="460"/>
      <c r="H1358" s="460"/>
      <c r="I1358" s="150"/>
    </row>
    <row r="1359" spans="1:9" s="444" customFormat="1" ht="12.3" x14ac:dyDescent="0.4">
      <c r="A1359" s="447"/>
      <c r="B1359" s="151" t="s">
        <v>144</v>
      </c>
      <c r="C1359" s="485">
        <f>C1325+(1-C1357)*C1324*C1345*(ACOS(C1340)+C1357*SIN(ACOS(C1340))*(C1347+C1357*C1340*(-1+2*C1347*C1347)))</f>
        <v>0</v>
      </c>
      <c r="D1359" s="494"/>
      <c r="E1359" s="511">
        <f ca="1">C1325+(1-E1357)*C1324*E1345*(ACOS(E1340)+E1357*SIN(ACOS(E1340))*(E1347+E1357*E1340*(-1+2*E1347*E1347)))</f>
        <v>0</v>
      </c>
      <c r="F1359" s="485"/>
      <c r="G1359" s="460"/>
      <c r="H1359" s="460"/>
      <c r="I1359" s="150"/>
    </row>
    <row r="1360" spans="1:9" s="444" customFormat="1" ht="12.3" x14ac:dyDescent="0.4">
      <c r="A1360" s="447"/>
      <c r="B1360" s="149" t="s">
        <v>143</v>
      </c>
      <c r="C1360" s="485"/>
      <c r="D1360" s="494"/>
      <c r="E1360" s="148"/>
      <c r="F1360" s="485"/>
      <c r="G1360" s="460"/>
      <c r="H1360" s="460"/>
      <c r="I1360" s="496"/>
    </row>
    <row r="1361" spans="1:10" s="444" customFormat="1" ht="12.3" x14ac:dyDescent="0.4">
      <c r="A1361" s="447"/>
      <c r="B1361" s="460" t="s">
        <v>142</v>
      </c>
      <c r="C1361" s="485">
        <f>IF(B1376="samepoint",0,C1323*C1350*(ATAN(C1342)-C1354))</f>
        <v>0</v>
      </c>
      <c r="D1361" s="494"/>
      <c r="E1361" s="485">
        <f>IF(B1376="samepoint",0,C1323*E1350*(E1343-E1354))</f>
        <v>0</v>
      </c>
      <c r="F1361" s="460"/>
      <c r="G1361" s="460"/>
      <c r="H1361" s="460"/>
      <c r="I1361" s="496"/>
    </row>
    <row r="1362" spans="1:10" s="444" customFormat="1" ht="12.3" x14ac:dyDescent="0.4">
      <c r="A1362" s="447"/>
      <c r="B1362" s="147" t="s">
        <v>141</v>
      </c>
      <c r="C1362" s="485"/>
      <c r="D1362" s="494"/>
      <c r="E1362" s="485"/>
      <c r="F1362" s="460"/>
      <c r="G1362" s="460"/>
      <c r="H1362" s="460"/>
      <c r="I1362" s="496"/>
    </row>
    <row r="1363" spans="1:10" s="444" customFormat="1" ht="16.2" x14ac:dyDescent="0.65">
      <c r="A1363" s="447"/>
      <c r="B1363" s="460" t="s">
        <v>140</v>
      </c>
      <c r="C1363" s="485"/>
      <c r="D1363" s="494"/>
      <c r="E1363" s="485" t="e">
        <f ca="1">C1334*SIN(E1359)/(C1330*C1333-C1329*C1334*COS(E1359))</f>
        <v>#DIV/0!</v>
      </c>
      <c r="F1363" s="460"/>
      <c r="G1363" s="460"/>
      <c r="H1363" s="460"/>
      <c r="I1363" s="496"/>
    </row>
    <row r="1364" spans="1:10" s="444" customFormat="1" ht="12.3" x14ac:dyDescent="0.4">
      <c r="A1364" s="447"/>
      <c r="B1364" s="147" t="s">
        <v>139</v>
      </c>
      <c r="C1364" s="485"/>
      <c r="D1364" s="494"/>
      <c r="E1364" s="485"/>
      <c r="F1364" s="460"/>
      <c r="G1364" s="460"/>
      <c r="H1364" s="460"/>
      <c r="I1364" s="496"/>
    </row>
    <row r="1365" spans="1:10" s="444" customFormat="1" ht="16.8" x14ac:dyDescent="0.7">
      <c r="A1365" s="447"/>
      <c r="B1365" s="460" t="s">
        <v>138</v>
      </c>
      <c r="C1365" s="485"/>
      <c r="D1365" s="494"/>
      <c r="E1365" s="485" t="e">
        <f>C1330*SIN(C1359)/(-C1329*C1334+C1330*C1333*COS(C1359))</f>
        <v>#DIV/0!</v>
      </c>
      <c r="F1365" s="460"/>
      <c r="G1365" s="460"/>
      <c r="H1365" s="460"/>
      <c r="I1365" s="496"/>
    </row>
    <row r="1366" spans="1:10" s="444" customFormat="1" ht="12.3" x14ac:dyDescent="0.4">
      <c r="A1366" s="447"/>
      <c r="B1366" s="460"/>
      <c r="C1366" s="485"/>
      <c r="D1366" s="494"/>
      <c r="E1366" s="460"/>
      <c r="F1366" s="485"/>
      <c r="G1366" s="460"/>
      <c r="H1366" s="460"/>
      <c r="I1366" s="496"/>
    </row>
    <row r="1367" spans="1:10" s="444" customFormat="1" ht="12.3" x14ac:dyDescent="0.4">
      <c r="A1367" s="447"/>
      <c r="B1367" s="460"/>
      <c r="C1367" s="497"/>
      <c r="D1367" s="447"/>
      <c r="E1367" s="460"/>
      <c r="F1367" s="485"/>
      <c r="G1367" s="460"/>
      <c r="H1367" s="460"/>
      <c r="I1367" s="496"/>
    </row>
    <row r="1368" spans="1:10" s="444" customFormat="1" ht="12.3" x14ac:dyDescent="0.4">
      <c r="A1368" s="447"/>
      <c r="B1368" s="460"/>
      <c r="C1368" s="460"/>
      <c r="D1368" s="447"/>
      <c r="E1368" s="489"/>
      <c r="F1368" s="494"/>
      <c r="G1368" s="460"/>
      <c r="H1368" s="460"/>
      <c r="I1368" s="496"/>
    </row>
    <row r="1369" spans="1:10" s="444" customFormat="1" ht="12.3" x14ac:dyDescent="0.4">
      <c r="A1369" s="447"/>
      <c r="B1369" s="146" t="s">
        <v>137</v>
      </c>
      <c r="C1369" s="146"/>
      <c r="D1369" s="489"/>
      <c r="E1369" s="146" t="s">
        <v>136</v>
      </c>
      <c r="F1369" s="146"/>
      <c r="G1369" s="460"/>
      <c r="H1369" s="460"/>
      <c r="I1369" s="496"/>
    </row>
    <row r="1370" spans="1:10" s="444" customFormat="1" ht="14.7" x14ac:dyDescent="0.6">
      <c r="A1370" s="447"/>
      <c r="B1370" s="145" t="s">
        <v>417</v>
      </c>
      <c r="C1370" s="485" t="e">
        <f ca="1">ATAN(E1363)</f>
        <v>#DIV/0!</v>
      </c>
      <c r="D1370" s="447"/>
      <c r="E1370" s="145" t="s">
        <v>418</v>
      </c>
      <c r="F1370" s="485" t="e">
        <f>ATAN(E1365)</f>
        <v>#DIV/0!</v>
      </c>
      <c r="G1370" s="460"/>
      <c r="H1370" s="460"/>
      <c r="I1370" s="496" t="e">
        <f>ATAN2(E1319-E1317,E1320-E1318)*180/PI()</f>
        <v>#DIV/0!</v>
      </c>
      <c r="J1370" s="496" t="e">
        <f>ATAN2(E1317-E1319,E1318-E1320)*180/PI()</f>
        <v>#DIV/0!</v>
      </c>
    </row>
    <row r="1371" spans="1:10" s="444" customFormat="1" ht="14.7" x14ac:dyDescent="0.6">
      <c r="A1371" s="447"/>
      <c r="B1371" s="145" t="s">
        <v>419</v>
      </c>
      <c r="C1371" s="485" t="e">
        <f ca="1">(C1370/PI())*180+360</f>
        <v>#DIV/0!</v>
      </c>
      <c r="D1371" s="447"/>
      <c r="E1371" s="145" t="s">
        <v>420</v>
      </c>
      <c r="F1371" s="485" t="e">
        <f>(F1370/PI())*180+180</f>
        <v>#DIV/0!</v>
      </c>
      <c r="G1371" s="460"/>
      <c r="H1371" s="460"/>
      <c r="I1371" s="496" t="e">
        <f>IF(I1370&lt;0,C1370*180/PI()+360,C1370*180/PI())</f>
        <v>#DIV/0!</v>
      </c>
      <c r="J1371" s="498" t="e">
        <f>IF(J1370&gt;0,F1370*180/PI()+180,F1370*180/PI())</f>
        <v>#DIV/0!</v>
      </c>
    </row>
    <row r="1372" spans="1:10" s="444" customFormat="1" ht="14.7" x14ac:dyDescent="0.6">
      <c r="A1372" s="447"/>
      <c r="B1372" s="145" t="s">
        <v>419</v>
      </c>
      <c r="C1372" s="485" t="e">
        <f ca="1">IF(C1371&gt;=360,C1371-360,C1371)</f>
        <v>#DIV/0!</v>
      </c>
      <c r="D1372" s="447"/>
      <c r="E1372" s="145" t="s">
        <v>420</v>
      </c>
      <c r="F1372" s="485" t="e">
        <f>IF(F1371&gt;=360,F1371-360,F1371)</f>
        <v>#DIV/0!</v>
      </c>
      <c r="G1372" s="460"/>
      <c r="H1372" s="460"/>
      <c r="I1372" s="496" t="e">
        <f ca="1">ATAN2((C1330*C1333-C1329*C1334*COS(E1359)),C1334*SIN(E1359))</f>
        <v>#DIV/0!</v>
      </c>
      <c r="J1372" s="485" t="e">
        <f ca="1">ATAN2((-C1329*C1334+C1330*C1333*COS(E1359)),C1330*SIN(E1359))</f>
        <v>#DIV/0!</v>
      </c>
    </row>
    <row r="1373" spans="1:10" s="444" customFormat="1" ht="14.7" x14ac:dyDescent="0.6">
      <c r="A1373" s="447"/>
      <c r="B1373" s="145" t="s">
        <v>419</v>
      </c>
      <c r="C1373" s="485">
        <f>IF(B1376="samepoint",0,IF(B1377="northsouth",0,IF(B1378="southnorth",180,C1372)))</f>
        <v>0</v>
      </c>
      <c r="D1373" s="447"/>
      <c r="E1373" s="145" t="s">
        <v>420</v>
      </c>
      <c r="F1373" s="485">
        <f>IF(B1376="samepoint",0,IF(B1377="northsouth",180,IF(B1378="southnorth",0,F1372)))</f>
        <v>0</v>
      </c>
      <c r="G1373" s="447"/>
      <c r="H1373" s="447"/>
      <c r="I1373" s="485">
        <f>IF(B1376="samepoint",0,IF(B1377="northsouth",0,IF(B1378="southnorth",180,IF(I1372&lt;0,I1372*180/PI()+360,I1372*180/PI()))))</f>
        <v>0</v>
      </c>
      <c r="J1373" s="485">
        <f>IF(B1376="samepoint",0,IF(B1377="northsouth",180,IF(B1378="southnorth",0,J1372*180/PI()+180)))</f>
        <v>0</v>
      </c>
    </row>
    <row r="1374" spans="1:10" s="444" customFormat="1" ht="12.3" x14ac:dyDescent="0.4">
      <c r="A1374" s="447"/>
      <c r="B1374" s="145"/>
      <c r="C1374" s="447"/>
      <c r="D1374" s="447"/>
      <c r="E1374" s="145"/>
      <c r="F1374" s="447"/>
      <c r="G1374" s="447"/>
      <c r="H1374" s="447"/>
      <c r="I1374" s="447"/>
    </row>
    <row r="1375" spans="1:10" s="444" customFormat="1" ht="12.3" x14ac:dyDescent="0.4">
      <c r="A1375" s="447"/>
      <c r="B1375" s="144" t="s">
        <v>135</v>
      </c>
      <c r="C1375" s="144"/>
      <c r="D1375" s="447"/>
      <c r="E1375" s="447"/>
      <c r="F1375" s="447"/>
      <c r="G1375" s="447"/>
      <c r="H1375" s="447"/>
      <c r="I1375" s="447"/>
    </row>
    <row r="1376" spans="1:10" s="444" customFormat="1" ht="12.3" x14ac:dyDescent="0.4">
      <c r="A1376" s="447"/>
      <c r="B1376" s="447" t="str">
        <f>IF(AND(C1317=C1319,C1318=C1320),"samepoint","N.A. " )</f>
        <v>samepoint</v>
      </c>
      <c r="C1376" s="447" t="s">
        <v>134</v>
      </c>
      <c r="D1376" s="447"/>
      <c r="E1376" s="447"/>
      <c r="F1376" s="447"/>
      <c r="G1376" s="447"/>
      <c r="H1376" s="447"/>
      <c r="I1376" s="447"/>
    </row>
    <row r="1377" spans="1:10" s="444" customFormat="1" ht="12.3" x14ac:dyDescent="0.4">
      <c r="A1377" s="447"/>
      <c r="B1377" s="447" t="str">
        <f>IF(AND(C1318=C1320,C1319&gt;C1317),"northsouth","N.A. ")</f>
        <v xml:space="preserve">N.A. </v>
      </c>
      <c r="C1377" s="447" t="s">
        <v>133</v>
      </c>
      <c r="D1377" s="447"/>
      <c r="E1377" s="447"/>
      <c r="F1377" s="447"/>
      <c r="G1377" s="447"/>
      <c r="H1377" s="447"/>
      <c r="I1377" s="447"/>
    </row>
    <row r="1378" spans="1:10" s="444" customFormat="1" ht="12.3" x14ac:dyDescent="0.4">
      <c r="A1378" s="447"/>
      <c r="B1378" s="447" t="str">
        <f>IF(AND(C1318=C1320,C1317&gt;C1319),"southnorth","N.A. ")</f>
        <v xml:space="preserve">N.A. </v>
      </c>
      <c r="C1378" s="447" t="s">
        <v>132</v>
      </c>
      <c r="D1378" s="447"/>
      <c r="E1378" s="447"/>
      <c r="F1378" s="447"/>
      <c r="G1378" s="447"/>
      <c r="H1378" s="447"/>
      <c r="I1378" s="447"/>
    </row>
    <row r="1379" spans="1:10" s="444" customFormat="1" ht="12.3" x14ac:dyDescent="0.4">
      <c r="A1379" s="447"/>
      <c r="B1379" s="447"/>
      <c r="C1379" s="447"/>
      <c r="D1379" s="447"/>
      <c r="E1379" s="447"/>
      <c r="F1379" s="447"/>
      <c r="G1379" s="447"/>
      <c r="H1379" s="447"/>
      <c r="I1379" s="447"/>
    </row>
    <row r="1380" spans="1:10" s="444" customFormat="1" ht="12.3" x14ac:dyDescent="0.4">
      <c r="A1380" s="447"/>
      <c r="B1380" s="447"/>
      <c r="C1380" s="447"/>
      <c r="D1380" s="447"/>
      <c r="E1380" s="447"/>
      <c r="F1380" s="447"/>
      <c r="G1380" s="447"/>
      <c r="H1380" s="447"/>
      <c r="I1380" s="447"/>
    </row>
    <row r="1381" spans="1:10" s="444" customFormat="1" ht="15" x14ac:dyDescent="0.5">
      <c r="A1381" s="447"/>
      <c r="B1381" s="448" t="s">
        <v>187</v>
      </c>
      <c r="C1381" s="448" t="s">
        <v>186</v>
      </c>
      <c r="D1381" s="447"/>
      <c r="E1381" s="447"/>
      <c r="F1381" s="447"/>
      <c r="G1381" s="447"/>
      <c r="H1381" s="447"/>
      <c r="I1381" s="447"/>
    </row>
    <row r="1382" spans="1:10" s="444" customFormat="1" ht="17.399999999999999" x14ac:dyDescent="0.55000000000000004">
      <c r="A1382" s="447"/>
      <c r="B1382" s="449" t="s">
        <v>185</v>
      </c>
      <c r="C1382" s="450" t="s">
        <v>190</v>
      </c>
      <c r="D1382" s="451"/>
      <c r="E1382" s="452"/>
      <c r="F1382" s="453" t="s">
        <v>183</v>
      </c>
      <c r="G1382" s="512" t="s">
        <v>189</v>
      </c>
      <c r="H1382" s="512"/>
      <c r="I1382" s="454"/>
      <c r="J1382" s="455"/>
    </row>
    <row r="1383" spans="1:10" s="444" customFormat="1" ht="14.7" x14ac:dyDescent="0.6">
      <c r="A1383" s="447"/>
      <c r="B1383" s="158" t="s">
        <v>405</v>
      </c>
      <c r="C1383" s="1068" t="s">
        <v>181</v>
      </c>
      <c r="D1383" s="1069"/>
      <c r="E1383" s="458"/>
      <c r="F1383" s="157" t="s">
        <v>406</v>
      </c>
      <c r="G1383" s="1069" t="s">
        <v>181</v>
      </c>
      <c r="H1383" s="1069"/>
      <c r="I1383" s="1070"/>
      <c r="J1383" s="460"/>
    </row>
    <row r="1384" spans="1:10" s="444" customFormat="1" ht="14.7" x14ac:dyDescent="0.6">
      <c r="A1384" s="447"/>
      <c r="B1384" s="158" t="s">
        <v>407</v>
      </c>
      <c r="C1384" s="1071" t="s">
        <v>181</v>
      </c>
      <c r="D1384" s="1072"/>
      <c r="E1384" s="463"/>
      <c r="F1384" s="157" t="s">
        <v>408</v>
      </c>
      <c r="G1384" s="1072" t="s">
        <v>181</v>
      </c>
      <c r="H1384" s="1072"/>
      <c r="I1384" s="1073"/>
    </row>
    <row r="1385" spans="1:10" s="444" customFormat="1" ht="12.3" x14ac:dyDescent="0.4">
      <c r="A1385" s="447"/>
      <c r="B1385" s="464" t="s">
        <v>180</v>
      </c>
      <c r="C1385" s="465">
        <f>E1434</f>
        <v>0</v>
      </c>
      <c r="D1385" s="513"/>
      <c r="E1385" s="514"/>
      <c r="F1385" s="500"/>
      <c r="G1385" s="468"/>
      <c r="H1385" s="468"/>
      <c r="I1385" s="156" t="s">
        <v>179</v>
      </c>
      <c r="J1385" s="447"/>
    </row>
    <row r="1386" spans="1:10" s="444" customFormat="1" ht="14.7" x14ac:dyDescent="0.6">
      <c r="A1386" s="447"/>
      <c r="B1386" s="464" t="s">
        <v>409</v>
      </c>
      <c r="C1386" s="469">
        <f>I1446</f>
        <v>0</v>
      </c>
      <c r="D1386" s="470"/>
      <c r="E1386" s="471"/>
      <c r="F1386" s="501"/>
      <c r="G1386" s="472"/>
      <c r="H1386" s="473"/>
      <c r="J1386" s="474"/>
    </row>
    <row r="1387" spans="1:10" s="444" customFormat="1" ht="14.7" x14ac:dyDescent="0.6">
      <c r="A1387" s="447"/>
      <c r="B1387" s="475" t="s">
        <v>410</v>
      </c>
      <c r="C1387" s="476">
        <f>J1446</f>
        <v>0</v>
      </c>
      <c r="D1387" s="477"/>
      <c r="E1387" s="478"/>
      <c r="F1387" s="506" t="str">
        <f>IF(OR(C1390=0,C1392=0),"N/A",C1385/1000)</f>
        <v>N/A</v>
      </c>
      <c r="G1387" s="447" t="s">
        <v>178</v>
      </c>
      <c r="H1387" s="447"/>
    </row>
    <row r="1388" spans="1:10" s="444" customFormat="1" ht="12.3" x14ac:dyDescent="0.4">
      <c r="A1388" s="447"/>
      <c r="B1388" s="460"/>
      <c r="C1388" s="487"/>
      <c r="D1388" s="489"/>
      <c r="E1388" s="489"/>
      <c r="F1388" s="447"/>
      <c r="G1388" s="460"/>
    </row>
    <row r="1389" spans="1:10" s="444" customFormat="1" ht="12.3" x14ac:dyDescent="0.4">
      <c r="A1389" s="447"/>
      <c r="B1389" s="447"/>
      <c r="C1389" s="503" t="s">
        <v>177</v>
      </c>
      <c r="D1389" s="504"/>
      <c r="E1389" s="503" t="s">
        <v>85</v>
      </c>
      <c r="F1389" s="447"/>
      <c r="G1389" s="460"/>
      <c r="H1389" s="460"/>
      <c r="I1389" s="447"/>
    </row>
    <row r="1390" spans="1:10" s="444" customFormat="1" ht="14.7" x14ac:dyDescent="0.6">
      <c r="A1390" s="447"/>
      <c r="B1390" s="460" t="s">
        <v>411</v>
      </c>
      <c r="C1390" s="485">
        <f>IF(SUMMARY!B20="NO",0,TPOrder!FJ9)</f>
        <v>0</v>
      </c>
      <c r="D1390" s="447"/>
      <c r="E1390" s="485">
        <f>C1390*PI()/180</f>
        <v>0</v>
      </c>
      <c r="F1390" s="447"/>
      <c r="G1390" s="460"/>
      <c r="H1390" s="460"/>
      <c r="I1390" s="447"/>
    </row>
    <row r="1391" spans="1:10" s="444" customFormat="1" ht="14.7" x14ac:dyDescent="0.6">
      <c r="A1391" s="447"/>
      <c r="B1391" s="460" t="s">
        <v>412</v>
      </c>
      <c r="C1391" s="485">
        <f>TPOrder!FL9</f>
        <v>0</v>
      </c>
      <c r="D1391" s="447"/>
      <c r="E1391" s="485">
        <f>C1391*PI()/180</f>
        <v>0</v>
      </c>
      <c r="F1391" s="447"/>
      <c r="G1391" s="460"/>
      <c r="H1391" s="485"/>
      <c r="I1391" s="447"/>
    </row>
    <row r="1392" spans="1:10" s="444" customFormat="1" ht="14.7" x14ac:dyDescent="0.6">
      <c r="A1392" s="447"/>
      <c r="B1392" s="460" t="s">
        <v>413</v>
      </c>
      <c r="C1392" s="485">
        <f>IF(SUMMARY!B20="NO",0,C158)</f>
        <v>0</v>
      </c>
      <c r="D1392" s="447"/>
      <c r="E1392" s="485">
        <f>C1392*PI()/180</f>
        <v>0</v>
      </c>
      <c r="F1392" s="447"/>
      <c r="G1392" s="460"/>
      <c r="H1392" s="460"/>
      <c r="I1392" s="447"/>
    </row>
    <row r="1393" spans="2:8" s="447" customFormat="1" ht="14.7" x14ac:dyDescent="0.6">
      <c r="B1393" s="460" t="s">
        <v>414</v>
      </c>
      <c r="C1393" s="485">
        <f>C159</f>
        <v>0</v>
      </c>
      <c r="E1393" s="485">
        <f>C1393*PI()/180</f>
        <v>0</v>
      </c>
      <c r="G1393" s="460"/>
      <c r="H1393" s="485"/>
    </row>
    <row r="1394" spans="2:8" s="447" customFormat="1" ht="12.3" x14ac:dyDescent="0.4">
      <c r="B1394" s="485"/>
      <c r="C1394" s="485"/>
      <c r="D1394" s="485"/>
      <c r="E1394" s="485"/>
      <c r="G1394" s="460"/>
      <c r="H1394" s="485"/>
    </row>
    <row r="1395" spans="2:8" s="447" customFormat="1" ht="12.3" x14ac:dyDescent="0.4">
      <c r="B1395" s="460" t="s">
        <v>176</v>
      </c>
      <c r="C1395" s="487">
        <v>6378137</v>
      </c>
      <c r="D1395" s="488"/>
      <c r="E1395" s="489" t="s">
        <v>175</v>
      </c>
      <c r="F1395" s="485">
        <f>C1397+C1397*C1397</f>
        <v>3.3640520041011246E-3</v>
      </c>
      <c r="G1395" s="460"/>
      <c r="H1395" s="460"/>
    </row>
    <row r="1396" spans="2:8" s="447" customFormat="1" ht="12.3" x14ac:dyDescent="0.4">
      <c r="B1396" s="489" t="s">
        <v>174</v>
      </c>
      <c r="C1396" s="487">
        <f>C1395*(1-C1397)</f>
        <v>6356752.3142451793</v>
      </c>
      <c r="D1396" s="488"/>
      <c r="E1396" s="489" t="s">
        <v>173</v>
      </c>
      <c r="F1396" s="485">
        <f>F1395/2</f>
        <v>1.6820260020505623E-3</v>
      </c>
      <c r="G1396" s="460"/>
      <c r="H1396" s="460"/>
    </row>
    <row r="1397" spans="2:8" s="447" customFormat="1" ht="12.3" x14ac:dyDescent="0.4">
      <c r="B1397" s="489" t="s">
        <v>172</v>
      </c>
      <c r="C1397" s="485">
        <v>3.3528106647474801E-3</v>
      </c>
      <c r="D1397" s="489"/>
      <c r="E1397" s="489" t="s">
        <v>171</v>
      </c>
      <c r="F1397" s="485">
        <f>C1397*C1397/2</f>
        <v>5.6206696768222199E-6</v>
      </c>
      <c r="G1397" s="460"/>
      <c r="H1397" s="460"/>
    </row>
    <row r="1398" spans="2:8" s="447" customFormat="1" ht="12.3" x14ac:dyDescent="0.4">
      <c r="B1398" s="460" t="s">
        <v>415</v>
      </c>
      <c r="C1398" s="485">
        <f>E1393-E1391</f>
        <v>0</v>
      </c>
      <c r="E1398" s="447" t="s">
        <v>170</v>
      </c>
      <c r="F1398" s="485">
        <f>C1397*C1397/8</f>
        <v>1.405167419205555E-6</v>
      </c>
      <c r="G1398" s="460"/>
      <c r="H1398" s="460"/>
    </row>
    <row r="1399" spans="2:8" s="447" customFormat="1" ht="12.3" x14ac:dyDescent="0.4">
      <c r="E1399" s="489" t="s">
        <v>169</v>
      </c>
      <c r="F1399" s="485">
        <f>C1397*C1397/16</f>
        <v>7.0258370960277749E-7</v>
      </c>
      <c r="G1399" s="460"/>
      <c r="H1399" s="460"/>
    </row>
    <row r="1400" spans="2:8" s="447" customFormat="1" ht="12.3" x14ac:dyDescent="0.4">
      <c r="B1400" s="447" t="s">
        <v>168</v>
      </c>
      <c r="C1400" s="490">
        <f>(1-C1397)*TAN(E1390)</f>
        <v>0</v>
      </c>
      <c r="E1400" s="489"/>
      <c r="F1400" s="460"/>
      <c r="G1400" s="460"/>
      <c r="H1400" s="460"/>
    </row>
    <row r="1401" spans="2:8" s="447" customFormat="1" ht="12.3" x14ac:dyDescent="0.4">
      <c r="B1401" s="460" t="s">
        <v>106</v>
      </c>
      <c r="C1401" s="485">
        <f>ATAN(C1400)</f>
        <v>0</v>
      </c>
      <c r="D1401" s="489"/>
      <c r="E1401" s="155"/>
      <c r="F1401" s="485"/>
      <c r="G1401" s="460"/>
      <c r="H1401" s="460"/>
    </row>
    <row r="1402" spans="2:8" s="447" customFormat="1" ht="12.3" x14ac:dyDescent="0.4">
      <c r="B1402" s="460" t="s">
        <v>167</v>
      </c>
      <c r="C1402" s="485">
        <f>SIN(C1401)</f>
        <v>0</v>
      </c>
      <c r="D1402" s="489"/>
      <c r="E1402" s="148"/>
      <c r="F1402" s="485"/>
      <c r="G1402" s="460"/>
      <c r="H1402" s="460"/>
    </row>
    <row r="1403" spans="2:8" s="447" customFormat="1" ht="12.3" x14ac:dyDescent="0.4">
      <c r="B1403" s="460" t="s">
        <v>166</v>
      </c>
      <c r="C1403" s="485">
        <f>COS(C1401)</f>
        <v>1</v>
      </c>
      <c r="D1403" s="489"/>
      <c r="E1403" s="460"/>
      <c r="F1403" s="485"/>
      <c r="G1403" s="460"/>
      <c r="H1403" s="460"/>
    </row>
    <row r="1404" spans="2:8" s="447" customFormat="1" ht="12.3" x14ac:dyDescent="0.4">
      <c r="B1404" s="460" t="s">
        <v>165</v>
      </c>
      <c r="C1404" s="491">
        <f>(1-C1397)*TAN(E1392)</f>
        <v>0</v>
      </c>
      <c r="D1404" s="489"/>
      <c r="E1404" s="460"/>
      <c r="F1404" s="485"/>
      <c r="G1404" s="460"/>
      <c r="H1404" s="460"/>
    </row>
    <row r="1405" spans="2:8" s="447" customFormat="1" ht="12.3" x14ac:dyDescent="0.4">
      <c r="B1405" s="460" t="s">
        <v>164</v>
      </c>
      <c r="C1405" s="485">
        <f>ATAN(C1404)</f>
        <v>0</v>
      </c>
      <c r="D1405" s="489"/>
      <c r="E1405" s="460"/>
      <c r="F1405" s="485"/>
      <c r="G1405" s="460"/>
      <c r="H1405" s="460"/>
    </row>
    <row r="1406" spans="2:8" s="447" customFormat="1" ht="12.3" x14ac:dyDescent="0.4">
      <c r="B1406" s="460" t="s">
        <v>163</v>
      </c>
      <c r="C1406" s="485">
        <f>SIN(C1405)</f>
        <v>0</v>
      </c>
      <c r="D1406" s="489"/>
      <c r="E1406" s="460"/>
      <c r="F1406" s="485"/>
      <c r="G1406" s="460"/>
      <c r="H1406" s="460"/>
    </row>
    <row r="1407" spans="2:8" s="447" customFormat="1" ht="12.3" x14ac:dyDescent="0.4">
      <c r="B1407" s="460" t="s">
        <v>162</v>
      </c>
      <c r="C1407" s="485">
        <f>COS(C1405)</f>
        <v>1</v>
      </c>
      <c r="D1407" s="489"/>
      <c r="E1407" s="460"/>
      <c r="F1407" s="485"/>
      <c r="G1407" s="460"/>
      <c r="H1407" s="460"/>
    </row>
    <row r="1408" spans="2:8" s="447" customFormat="1" ht="12.3" x14ac:dyDescent="0.4">
      <c r="B1408" s="147" t="s">
        <v>161</v>
      </c>
      <c r="C1408" s="485"/>
      <c r="D1408" s="489"/>
      <c r="E1408" s="460"/>
      <c r="F1408" s="485"/>
      <c r="G1408" s="460"/>
      <c r="H1408" s="460"/>
    </row>
    <row r="1409" spans="1:9" s="444" customFormat="1" ht="12.3" x14ac:dyDescent="0.4">
      <c r="A1409" s="447"/>
      <c r="B1409" s="148" t="s">
        <v>144</v>
      </c>
      <c r="C1409" s="485">
        <f>C1398</f>
        <v>0</v>
      </c>
      <c r="D1409" s="489"/>
      <c r="E1409" s="485">
        <f ca="1">E1432</f>
        <v>0</v>
      </c>
      <c r="F1409" s="485"/>
      <c r="G1409" s="460"/>
      <c r="H1409" s="460"/>
      <c r="I1409" s="447"/>
    </row>
    <row r="1410" spans="1:9" s="444" customFormat="1" ht="12.3" x14ac:dyDescent="0.4">
      <c r="A1410" s="447"/>
      <c r="B1410" s="147" t="s">
        <v>160</v>
      </c>
      <c r="C1410" s="485"/>
      <c r="D1410" s="489"/>
      <c r="E1410" s="460"/>
      <c r="F1410" s="485"/>
      <c r="G1410" s="460"/>
      <c r="H1410" s="460"/>
      <c r="I1410" s="447"/>
    </row>
    <row r="1411" spans="1:9" s="444" customFormat="1" ht="13.8" x14ac:dyDescent="0.4">
      <c r="A1411" s="447"/>
      <c r="B1411" s="460" t="s">
        <v>159</v>
      </c>
      <c r="C1411" s="485">
        <f>(C1407*SIN(C1409)*C1407*SIN(C1409))+(C1403*C1406-C1402*C1407*COS(C1409))*(C1403*C1406-C1402*C1407*COS(C1409))</f>
        <v>0</v>
      </c>
      <c r="D1411" s="489"/>
      <c r="E1411" s="485">
        <f ca="1">(C1407*SIN(E1409)*C1407*SIN(E1409))+(C1403*C1406-C1402*C1407*COS(E1409))*(C1403*C1406-C1402*C1407*COS(E1409))</f>
        <v>0</v>
      </c>
      <c r="F1411" s="485"/>
      <c r="G1411" s="460"/>
      <c r="H1411" s="460"/>
      <c r="I1411" s="447"/>
    </row>
    <row r="1412" spans="1:9" s="444" customFormat="1" ht="12.3" x14ac:dyDescent="0.4">
      <c r="A1412" s="447"/>
      <c r="B1412" s="154" t="s">
        <v>158</v>
      </c>
      <c r="C1412" s="485"/>
      <c r="D1412" s="489"/>
      <c r="E1412" s="489"/>
      <c r="F1412" s="485"/>
      <c r="G1412" s="460"/>
      <c r="H1412" s="460"/>
      <c r="I1412" s="447"/>
    </row>
    <row r="1413" spans="1:9" s="444" customFormat="1" ht="12.3" x14ac:dyDescent="0.4">
      <c r="A1413" s="447"/>
      <c r="B1413" s="447" t="s">
        <v>157</v>
      </c>
      <c r="C1413" s="447">
        <f>(C1402*C1406)+(C1403*C1407*COS(C1409))</f>
        <v>1</v>
      </c>
      <c r="D1413" s="447"/>
      <c r="E1413" s="447">
        <f ca="1">(C1402*C1406)+(C1403*C1407*COS(E1409))</f>
        <v>1</v>
      </c>
      <c r="F1413" s="447"/>
      <c r="G1413" s="460"/>
      <c r="H1413" s="460"/>
      <c r="I1413" s="447"/>
    </row>
    <row r="1414" spans="1:9" s="444" customFormat="1" ht="12.3" x14ac:dyDescent="0.4">
      <c r="A1414" s="447"/>
      <c r="B1414" s="153" t="s">
        <v>156</v>
      </c>
      <c r="C1414" s="489"/>
      <c r="D1414" s="489"/>
      <c r="E1414" s="489"/>
      <c r="F1414" s="460"/>
      <c r="G1414" s="460"/>
      <c r="H1414" s="460"/>
      <c r="I1414" s="447"/>
    </row>
    <row r="1415" spans="1:9" s="444" customFormat="1" ht="12.3" x14ac:dyDescent="0.4">
      <c r="A1415" s="447"/>
      <c r="B1415" s="460" t="s">
        <v>155</v>
      </c>
      <c r="C1415" s="485">
        <f>SQRT(C1411)/C1413</f>
        <v>0</v>
      </c>
      <c r="D1415" s="489"/>
      <c r="E1415" s="485">
        <f ca="1">SQRT(E1411)/E1413</f>
        <v>0</v>
      </c>
      <c r="F1415" s="485"/>
      <c r="G1415" s="447"/>
      <c r="H1415" s="447"/>
      <c r="I1415" s="492"/>
    </row>
    <row r="1416" spans="1:9" s="444" customFormat="1" ht="12.3" x14ac:dyDescent="0.4">
      <c r="A1416" s="447"/>
      <c r="B1416" s="148" t="s">
        <v>142</v>
      </c>
      <c r="C1416" s="485">
        <f>ATAN(C1415)</f>
        <v>0</v>
      </c>
      <c r="D1416" s="489"/>
      <c r="E1416" s="485">
        <f ca="1">IF(ATAN(E1415)&lt;0,ATAN(E1415)+PI(),ATAN(E1415))</f>
        <v>0</v>
      </c>
      <c r="F1416" s="485"/>
      <c r="G1416" s="447"/>
      <c r="H1416" s="447"/>
      <c r="I1416" s="492"/>
    </row>
    <row r="1417" spans="1:9" s="444" customFormat="1" ht="12.3" x14ac:dyDescent="0.4">
      <c r="A1417" s="447"/>
      <c r="B1417" s="147" t="s">
        <v>154</v>
      </c>
      <c r="C1417" s="485"/>
      <c r="D1417" s="489"/>
      <c r="E1417" s="460"/>
      <c r="F1417" s="485"/>
      <c r="G1417" s="447"/>
      <c r="H1417" s="447"/>
      <c r="I1417" s="492"/>
    </row>
    <row r="1418" spans="1:9" s="444" customFormat="1" ht="12.3" x14ac:dyDescent="0.4">
      <c r="A1418" s="447"/>
      <c r="B1418" s="460" t="s">
        <v>153</v>
      </c>
      <c r="C1418" s="485">
        <f>IF(C1411=0,0,C1403*C1407*SIN(C1409)/SQRT(C1411))</f>
        <v>0</v>
      </c>
      <c r="D1418" s="489"/>
      <c r="E1418" s="485">
        <f ca="1">IF(E1411=0,0,C1403*C1407*SIN(E1409)/SQRT(E1411))</f>
        <v>0</v>
      </c>
      <c r="F1418" s="485"/>
      <c r="G1418" s="460"/>
      <c r="H1418" s="460"/>
      <c r="I1418" s="492"/>
    </row>
    <row r="1419" spans="1:9" s="444" customFormat="1" ht="12.3" x14ac:dyDescent="0.4">
      <c r="A1419" s="447"/>
      <c r="B1419" s="147" t="s">
        <v>152</v>
      </c>
      <c r="C1419" s="485"/>
      <c r="D1419" s="489"/>
      <c r="E1419" s="489"/>
      <c r="F1419" s="485"/>
      <c r="G1419" s="460"/>
      <c r="H1419" s="460"/>
      <c r="I1419" s="447"/>
    </row>
    <row r="1420" spans="1:9" s="444" customFormat="1" ht="16.2" x14ac:dyDescent="0.65">
      <c r="A1420" s="447"/>
      <c r="B1420" s="447" t="s">
        <v>416</v>
      </c>
      <c r="C1420" s="447">
        <f>IF((COS(ASIN(C1418))*COS(ASIN(C1418)))=0,0,C1413-2*C1402*C1406/(COS(ASIN(C1418))*COS(ASIN(C1418))))</f>
        <v>1</v>
      </c>
      <c r="D1420" s="489"/>
      <c r="E1420" s="447">
        <f ca="1">E1413-2*C1402*C1406/(COS(ASIN(E1418))*COS(ASIN(E1418)))</f>
        <v>1</v>
      </c>
      <c r="F1420" s="460"/>
      <c r="G1420" s="460"/>
      <c r="H1420" s="460"/>
      <c r="I1420" s="447"/>
    </row>
    <row r="1421" spans="1:9" s="444" customFormat="1" ht="15.9" x14ac:dyDescent="0.45">
      <c r="A1421" s="447"/>
      <c r="B1421" s="447" t="s">
        <v>151</v>
      </c>
      <c r="C1421" s="487">
        <f>COS(ASIN(C1418))*COS(ASIN(C1418))*(C1395*C1395-C1396*C1396)/(C1396*C1396)</f>
        <v>6.7394967422764341E-3</v>
      </c>
      <c r="D1421" s="489"/>
      <c r="E1421" s="487">
        <f ca="1">COS(ASIN(E1418))*COS(ASIN(E1418))*(C1395*C1395-C1396*C1396)/(C1396*C1396)</f>
        <v>6.7394967422764341E-3</v>
      </c>
      <c r="F1421" s="447"/>
      <c r="G1421" s="460"/>
      <c r="H1421" s="460"/>
      <c r="I1421" s="447"/>
    </row>
    <row r="1422" spans="1:9" s="444" customFormat="1" ht="12.3" x14ac:dyDescent="0.4">
      <c r="A1422" s="447"/>
      <c r="B1422" s="152" t="s">
        <v>150</v>
      </c>
      <c r="C1422" s="485"/>
      <c r="D1422" s="489"/>
      <c r="E1422" s="460"/>
      <c r="F1422" s="485"/>
      <c r="G1422" s="460"/>
      <c r="H1422" s="460"/>
      <c r="I1422" s="447"/>
    </row>
    <row r="1423" spans="1:9" s="444" customFormat="1" ht="12.3" x14ac:dyDescent="0.4">
      <c r="A1423" s="447"/>
      <c r="B1423" s="460" t="s">
        <v>9</v>
      </c>
      <c r="C1423" s="485">
        <f>1+C1421/16384*(4096+C1421*(-768+C1421*(320-175*C1421)))</f>
        <v>1.0016827510415456</v>
      </c>
      <c r="D1423" s="489"/>
      <c r="E1423" s="485">
        <f ca="1">1+E1421/16384*(4096+E1421*(-768+E1421*(320-175*E1421)))</f>
        <v>1.0016827510415456</v>
      </c>
      <c r="F1423" s="485"/>
      <c r="G1423" s="460"/>
      <c r="H1423" s="460"/>
      <c r="I1423" s="447"/>
    </row>
    <row r="1424" spans="1:9" s="444" customFormat="1" ht="12.3" x14ac:dyDescent="0.4">
      <c r="A1424" s="447"/>
      <c r="B1424" s="147" t="s">
        <v>149</v>
      </c>
      <c r="C1424" s="485"/>
      <c r="D1424" s="489"/>
      <c r="E1424" s="460"/>
      <c r="F1424" s="485"/>
      <c r="G1424" s="460"/>
      <c r="H1424" s="460"/>
      <c r="I1424" s="490"/>
    </row>
    <row r="1425" spans="1:9" s="444" customFormat="1" ht="12.3" x14ac:dyDescent="0.4">
      <c r="A1425" s="447"/>
      <c r="B1425" s="460" t="s">
        <v>10</v>
      </c>
      <c r="C1425" s="485">
        <f>C1421/1024*(256+C1421*(-128+C1421*(74-47*C1421)))</f>
        <v>1.6792186103152505E-3</v>
      </c>
      <c r="D1425" s="489"/>
      <c r="E1425" s="485">
        <f ca="1">E1421/1024*(256+E1421*(-128+E1421*(74-47*E1421)))</f>
        <v>1.6792186103152505E-3</v>
      </c>
      <c r="F1425" s="485"/>
      <c r="G1425" s="460"/>
      <c r="H1425" s="460"/>
      <c r="I1425" s="447"/>
    </row>
    <row r="1426" spans="1:9" s="444" customFormat="1" ht="12.3" x14ac:dyDescent="0.4">
      <c r="A1426" s="447"/>
      <c r="B1426" s="147" t="s">
        <v>148</v>
      </c>
      <c r="C1426" s="485"/>
      <c r="D1426" s="489"/>
      <c r="E1426" s="460"/>
      <c r="F1426" s="485"/>
      <c r="G1426" s="460"/>
      <c r="H1426" s="460"/>
      <c r="I1426" s="447"/>
    </row>
    <row r="1427" spans="1:9" s="444" customFormat="1" ht="12.3" x14ac:dyDescent="0.4">
      <c r="A1427" s="447"/>
      <c r="B1427" s="148" t="s">
        <v>147</v>
      </c>
      <c r="C1427" s="485">
        <f>C1425*SQRT(C1411)*(C1420+C1425/4*(C1413*(-1+2*C1420*C1420)-C1425/6*C1420*(-3+4*C1411)*(-3+4*C1420*C1420)))</f>
        <v>0</v>
      </c>
      <c r="D1427" s="489"/>
      <c r="E1427" s="485">
        <f ca="1">E1425*SQRT(E1411)*(E1420+E1425/4*(E1413*(-1+2*E1420*E1420)-E1425/6*E1420*(-3+4*E1411)*(-3+4*E1420*E1420)))</f>
        <v>0</v>
      </c>
      <c r="F1427" s="485"/>
      <c r="G1427" s="460"/>
      <c r="H1427" s="460"/>
      <c r="I1427" s="447"/>
    </row>
    <row r="1428" spans="1:9" s="444" customFormat="1" ht="12.3" x14ac:dyDescent="0.4">
      <c r="A1428" s="447"/>
      <c r="B1428" s="460"/>
      <c r="C1428" s="485"/>
      <c r="D1428" s="489"/>
      <c r="E1428" s="460"/>
      <c r="F1428" s="485"/>
      <c r="G1428" s="460"/>
      <c r="H1428" s="460"/>
      <c r="I1428" s="447"/>
    </row>
    <row r="1429" spans="1:9" s="444" customFormat="1" ht="12.3" x14ac:dyDescent="0.4">
      <c r="A1429" s="447"/>
      <c r="B1429" s="147" t="s">
        <v>146</v>
      </c>
      <c r="C1429" s="485"/>
      <c r="D1429" s="494"/>
      <c r="E1429" s="460"/>
      <c r="F1429" s="485"/>
      <c r="G1429" s="460"/>
      <c r="H1429" s="460"/>
      <c r="I1429" s="150"/>
    </row>
    <row r="1430" spans="1:9" s="444" customFormat="1" ht="12.3" x14ac:dyDescent="0.4">
      <c r="A1430" s="447"/>
      <c r="B1430" s="460" t="s">
        <v>11</v>
      </c>
      <c r="C1430" s="485">
        <f>C1397/16*COS(ASIN(C1418))*COS(ASIN(C1418))*(4+C1397*(4-3*COS(ASIN(C1418))*COS(ASIN(C1418))))</f>
        <v>8.389052498964728E-4</v>
      </c>
      <c r="D1430" s="494"/>
      <c r="E1430" s="485">
        <f ca="1">C1397/16*COS(ASIN(E1418))*COS(ASIN(E1418))*(4+C1397*(4-3*COS(ASIN(E1418))*COS(ASIN(E1418))))</f>
        <v>8.389052498964728E-4</v>
      </c>
      <c r="F1430" s="485"/>
      <c r="G1430" s="460"/>
      <c r="H1430" s="460"/>
      <c r="I1430" s="150"/>
    </row>
    <row r="1431" spans="1:9" s="444" customFormat="1" ht="12.3" x14ac:dyDescent="0.4">
      <c r="A1431" s="447"/>
      <c r="B1431" s="147" t="s">
        <v>145</v>
      </c>
      <c r="C1431" s="485"/>
      <c r="D1431" s="494"/>
      <c r="E1431" s="460"/>
      <c r="F1431" s="485"/>
      <c r="G1431" s="460"/>
      <c r="H1431" s="460"/>
      <c r="I1431" s="150"/>
    </row>
    <row r="1432" spans="1:9" s="444" customFormat="1" ht="12.3" x14ac:dyDescent="0.4">
      <c r="A1432" s="447"/>
      <c r="B1432" s="151" t="s">
        <v>144</v>
      </c>
      <c r="C1432" s="485">
        <f>C1398+(1-C1430)*C1397*C1418*(ACOS(C1413)+C1430*SIN(ACOS(C1413))*(C1420+C1430*C1413*(-1+2*C1420*C1420)))</f>
        <v>0</v>
      </c>
      <c r="D1432" s="494"/>
      <c r="E1432" s="511">
        <f ca="1">C1398+(1-E1430)*C1397*E1418*(ACOS(E1413)+E1430*SIN(ACOS(E1413))*(E1420+E1430*E1413*(-1+2*E1420*E1420)))</f>
        <v>0</v>
      </c>
      <c r="F1432" s="485"/>
      <c r="G1432" s="460"/>
      <c r="H1432" s="460"/>
      <c r="I1432" s="150"/>
    </row>
    <row r="1433" spans="1:9" s="444" customFormat="1" ht="12.3" x14ac:dyDescent="0.4">
      <c r="A1433" s="447"/>
      <c r="B1433" s="149" t="s">
        <v>143</v>
      </c>
      <c r="C1433" s="485"/>
      <c r="D1433" s="494"/>
      <c r="E1433" s="148"/>
      <c r="F1433" s="485"/>
      <c r="G1433" s="460"/>
      <c r="H1433" s="460"/>
      <c r="I1433" s="496"/>
    </row>
    <row r="1434" spans="1:9" s="444" customFormat="1" ht="12.3" x14ac:dyDescent="0.4">
      <c r="A1434" s="447"/>
      <c r="B1434" s="460" t="s">
        <v>142</v>
      </c>
      <c r="C1434" s="485">
        <f>IF(B1449="samepoint",0,C1396*C1423*(ATAN(C1415)-C1427))</f>
        <v>0</v>
      </c>
      <c r="D1434" s="494"/>
      <c r="E1434" s="485">
        <f>IF(B1449="samepoint",0,C1396*E1423*(E1416-E1427))</f>
        <v>0</v>
      </c>
      <c r="F1434" s="460"/>
      <c r="G1434" s="460"/>
      <c r="H1434" s="460"/>
      <c r="I1434" s="496"/>
    </row>
    <row r="1435" spans="1:9" s="444" customFormat="1" ht="12.3" x14ac:dyDescent="0.4">
      <c r="A1435" s="447"/>
      <c r="B1435" s="147" t="s">
        <v>141</v>
      </c>
      <c r="C1435" s="485"/>
      <c r="D1435" s="494"/>
      <c r="E1435" s="485"/>
      <c r="F1435" s="460"/>
      <c r="G1435" s="460"/>
      <c r="H1435" s="460"/>
      <c r="I1435" s="496"/>
    </row>
    <row r="1436" spans="1:9" s="444" customFormat="1" ht="16.2" x14ac:dyDescent="0.65">
      <c r="A1436" s="447"/>
      <c r="B1436" s="460" t="s">
        <v>140</v>
      </c>
      <c r="C1436" s="485"/>
      <c r="D1436" s="494"/>
      <c r="E1436" s="485" t="e">
        <f ca="1">C1407*SIN(E1432)/(C1403*C1406-C1402*C1407*COS(E1432))</f>
        <v>#DIV/0!</v>
      </c>
      <c r="F1436" s="460"/>
      <c r="G1436" s="460"/>
      <c r="H1436" s="460"/>
      <c r="I1436" s="496"/>
    </row>
    <row r="1437" spans="1:9" s="444" customFormat="1" ht="12.3" x14ac:dyDescent="0.4">
      <c r="A1437" s="447"/>
      <c r="B1437" s="147" t="s">
        <v>139</v>
      </c>
      <c r="C1437" s="485"/>
      <c r="D1437" s="494"/>
      <c r="E1437" s="485"/>
      <c r="F1437" s="460"/>
      <c r="G1437" s="460"/>
      <c r="H1437" s="460"/>
      <c r="I1437" s="496"/>
    </row>
    <row r="1438" spans="1:9" s="444" customFormat="1" ht="16.8" x14ac:dyDescent="0.7">
      <c r="A1438" s="447"/>
      <c r="B1438" s="460" t="s">
        <v>138</v>
      </c>
      <c r="C1438" s="485"/>
      <c r="D1438" s="494"/>
      <c r="E1438" s="485" t="e">
        <f>C1403*SIN(C1432)/(-C1402*C1407+C1403*C1406*COS(C1432))</f>
        <v>#DIV/0!</v>
      </c>
      <c r="F1438" s="460"/>
      <c r="G1438" s="460"/>
      <c r="H1438" s="460"/>
      <c r="I1438" s="496"/>
    </row>
    <row r="1439" spans="1:9" s="444" customFormat="1" ht="12.3" x14ac:dyDescent="0.4">
      <c r="A1439" s="447"/>
      <c r="B1439" s="460"/>
      <c r="C1439" s="485"/>
      <c r="D1439" s="494"/>
      <c r="E1439" s="460"/>
      <c r="F1439" s="485"/>
      <c r="G1439" s="460"/>
      <c r="H1439" s="460"/>
      <c r="I1439" s="496"/>
    </row>
    <row r="1440" spans="1:9" s="444" customFormat="1" ht="12.3" x14ac:dyDescent="0.4">
      <c r="A1440" s="447"/>
      <c r="B1440" s="460"/>
      <c r="C1440" s="497"/>
      <c r="D1440" s="447"/>
      <c r="E1440" s="460"/>
      <c r="F1440" s="485"/>
      <c r="G1440" s="460"/>
      <c r="H1440" s="460"/>
      <c r="I1440" s="496"/>
    </row>
    <row r="1441" spans="1:16" s="444" customFormat="1" ht="12.3" x14ac:dyDescent="0.4">
      <c r="A1441" s="447"/>
      <c r="B1441" s="460"/>
      <c r="C1441" s="460"/>
      <c r="D1441" s="447"/>
      <c r="E1441" s="489"/>
      <c r="F1441" s="494"/>
      <c r="G1441" s="460"/>
      <c r="H1441" s="460"/>
      <c r="I1441" s="496"/>
    </row>
    <row r="1442" spans="1:16" s="444" customFormat="1" ht="12.3" x14ac:dyDescent="0.4">
      <c r="A1442" s="447"/>
      <c r="B1442" s="146" t="s">
        <v>137</v>
      </c>
      <c r="C1442" s="146"/>
      <c r="D1442" s="489"/>
      <c r="E1442" s="146" t="s">
        <v>136</v>
      </c>
      <c r="F1442" s="146"/>
      <c r="G1442" s="460"/>
      <c r="H1442" s="460"/>
      <c r="I1442" s="496"/>
    </row>
    <row r="1443" spans="1:16" s="444" customFormat="1" ht="14.7" x14ac:dyDescent="0.6">
      <c r="A1443" s="447"/>
      <c r="B1443" s="145" t="s">
        <v>417</v>
      </c>
      <c r="C1443" s="485" t="e">
        <f ca="1">ATAN(E1436)</f>
        <v>#DIV/0!</v>
      </c>
      <c r="D1443" s="447"/>
      <c r="E1443" s="145" t="s">
        <v>418</v>
      </c>
      <c r="F1443" s="485" t="e">
        <f>ATAN(E1438)</f>
        <v>#DIV/0!</v>
      </c>
      <c r="G1443" s="460"/>
      <c r="H1443" s="460"/>
      <c r="I1443" s="496" t="e">
        <f>ATAN2(E1392-E1390,E1393-E1391)*180/PI()</f>
        <v>#DIV/0!</v>
      </c>
      <c r="J1443" s="496" t="e">
        <f>ATAN2(E1390-E1392,E1391-E1393)*180/PI()</f>
        <v>#DIV/0!</v>
      </c>
    </row>
    <row r="1444" spans="1:16" s="444" customFormat="1" ht="14.7" x14ac:dyDescent="0.6">
      <c r="A1444" s="447"/>
      <c r="B1444" s="145" t="s">
        <v>419</v>
      </c>
      <c r="C1444" s="485" t="e">
        <f ca="1">(C1443/PI())*180+360</f>
        <v>#DIV/0!</v>
      </c>
      <c r="D1444" s="447"/>
      <c r="E1444" s="145" t="s">
        <v>420</v>
      </c>
      <c r="F1444" s="485" t="e">
        <f>(F1443/PI())*180+180</f>
        <v>#DIV/0!</v>
      </c>
      <c r="G1444" s="460"/>
      <c r="H1444" s="460"/>
      <c r="I1444" s="496" t="e">
        <f>IF(I1443&lt;0,C1443*180/PI()+360,C1443*180/PI())</f>
        <v>#DIV/0!</v>
      </c>
      <c r="J1444" s="498" t="e">
        <f>IF(J1443&gt;0,F1443*180/PI()+180,F1443*180/PI())</f>
        <v>#DIV/0!</v>
      </c>
    </row>
    <row r="1445" spans="1:16" s="444" customFormat="1" ht="14.7" x14ac:dyDescent="0.6">
      <c r="A1445" s="447"/>
      <c r="B1445" s="145" t="s">
        <v>419</v>
      </c>
      <c r="C1445" s="485" t="e">
        <f ca="1">IF(C1444&gt;=360,C1444-360,C1444)</f>
        <v>#DIV/0!</v>
      </c>
      <c r="D1445" s="447"/>
      <c r="E1445" s="145" t="s">
        <v>420</v>
      </c>
      <c r="F1445" s="485" t="e">
        <f>IF(F1444&gt;=360,F1444-360,F1444)</f>
        <v>#DIV/0!</v>
      </c>
      <c r="G1445" s="460"/>
      <c r="H1445" s="460"/>
      <c r="I1445" s="496" t="e">
        <f ca="1">ATAN2((C1403*C1406-C1402*C1407*COS(E1432)),C1407*SIN(E1432))</f>
        <v>#DIV/0!</v>
      </c>
      <c r="J1445" s="485" t="e">
        <f ca="1">ATAN2((-C1402*C1407+C1403*C1406*COS(E1432)),C1403*SIN(E1432))</f>
        <v>#DIV/0!</v>
      </c>
    </row>
    <row r="1446" spans="1:16" s="444" customFormat="1" ht="14.7" x14ac:dyDescent="0.6">
      <c r="A1446" s="447"/>
      <c r="B1446" s="145" t="s">
        <v>419</v>
      </c>
      <c r="C1446" s="485">
        <f>IF(B1449="samepoint",0,IF(B1450="northsouth",0,IF(B1451="southnorth",180,C1445)))</f>
        <v>0</v>
      </c>
      <c r="D1446" s="447"/>
      <c r="E1446" s="145" t="s">
        <v>420</v>
      </c>
      <c r="F1446" s="485">
        <f>IF(B1449="samepoint",0,IF(B1450="northsouth",180,IF(B1451="southnorth",0,F1445)))</f>
        <v>0</v>
      </c>
      <c r="G1446" s="447"/>
      <c r="H1446" s="447"/>
      <c r="I1446" s="485">
        <f>IF(B1449="samepoint",0,IF(B1450="northsouth",0,IF(B1451="southnorth",180,IF(I1445&lt;0,I1445*180/PI()+360,I1445*180/PI()))))</f>
        <v>0</v>
      </c>
      <c r="J1446" s="485">
        <f>IF(B1449="samepoint",0,IF(B1450="northsouth",180,IF(B1451="southnorth",0,J1445*180/PI()+180)))</f>
        <v>0</v>
      </c>
    </row>
    <row r="1447" spans="1:16" s="444" customFormat="1" ht="12.3" x14ac:dyDescent="0.4">
      <c r="A1447" s="447"/>
      <c r="B1447" s="145"/>
      <c r="C1447" s="447"/>
      <c r="D1447" s="447"/>
      <c r="E1447" s="145"/>
      <c r="F1447" s="447"/>
      <c r="G1447" s="447"/>
      <c r="H1447" s="447"/>
      <c r="I1447" s="447"/>
    </row>
    <row r="1448" spans="1:16" s="444" customFormat="1" ht="12.3" x14ac:dyDescent="0.4">
      <c r="A1448" s="447"/>
      <c r="B1448" s="144" t="s">
        <v>135</v>
      </c>
      <c r="C1448" s="144"/>
      <c r="D1448" s="447"/>
      <c r="E1448" s="447"/>
      <c r="F1448" s="447"/>
      <c r="G1448" s="447"/>
      <c r="H1448" s="447"/>
      <c r="I1448" s="447"/>
    </row>
    <row r="1449" spans="1:16" s="444" customFormat="1" ht="12.3" x14ac:dyDescent="0.4">
      <c r="A1449" s="447"/>
      <c r="B1449" s="447" t="str">
        <f>IF(AND(C1390=C1392,C1391=C1393),"samepoint","N.A. " )</f>
        <v>samepoint</v>
      </c>
      <c r="C1449" s="447" t="s">
        <v>134</v>
      </c>
      <c r="D1449" s="447"/>
      <c r="E1449" s="447"/>
      <c r="F1449" s="447"/>
      <c r="G1449" s="447"/>
      <c r="H1449" s="447"/>
      <c r="I1449" s="447"/>
    </row>
    <row r="1450" spans="1:16" s="444" customFormat="1" ht="12.3" x14ac:dyDescent="0.4">
      <c r="A1450" s="447"/>
      <c r="B1450" s="447" t="str">
        <f>IF(AND(C1391=C1393,C1392&gt;C1390),"northsouth","N.A. ")</f>
        <v xml:space="preserve">N.A. </v>
      </c>
      <c r="C1450" s="447" t="s">
        <v>133</v>
      </c>
      <c r="D1450" s="447"/>
      <c r="E1450" s="447"/>
      <c r="F1450" s="447"/>
      <c r="G1450" s="447"/>
      <c r="H1450" s="447"/>
      <c r="I1450" s="447"/>
    </row>
    <row r="1451" spans="1:16" s="444" customFormat="1" ht="12.3" x14ac:dyDescent="0.4">
      <c r="A1451" s="447"/>
      <c r="B1451" s="447" t="str">
        <f>IF(AND(C1391=C1393,C1390&gt;C1392),"southnorth","N.A. ")</f>
        <v xml:space="preserve">N.A. </v>
      </c>
      <c r="C1451" s="447" t="s">
        <v>132</v>
      </c>
      <c r="D1451" s="447"/>
      <c r="E1451" s="447"/>
      <c r="F1451" s="447"/>
      <c r="G1451" s="447"/>
      <c r="H1451" s="447"/>
      <c r="I1451" s="447"/>
    </row>
    <row r="1452" spans="1:16" s="444" customFormat="1" ht="12.3" x14ac:dyDescent="0.4">
      <c r="A1452" s="447"/>
      <c r="B1452" s="447"/>
      <c r="C1452" s="447"/>
      <c r="D1452" s="447"/>
      <c r="E1452" s="447"/>
      <c r="F1452" s="447"/>
      <c r="G1452" s="447"/>
      <c r="H1452" s="447"/>
      <c r="I1452" s="447"/>
      <c r="K1452" s="444">
        <f>MIN(K1456:K1460)</f>
        <v>0</v>
      </c>
    </row>
    <row r="1453" spans="1:16" s="444" customFormat="1" ht="12.3" x14ac:dyDescent="0.4">
      <c r="A1453" s="447"/>
      <c r="B1453" s="447"/>
      <c r="C1453" s="447"/>
      <c r="D1453" s="447"/>
      <c r="E1453" s="447"/>
      <c r="F1453" s="447"/>
      <c r="G1453" s="447"/>
      <c r="H1453" s="447"/>
      <c r="I1453" s="447"/>
    </row>
    <row r="1454" spans="1:16" s="444" customFormat="1" ht="15" x14ac:dyDescent="0.5">
      <c r="A1454" s="447"/>
      <c r="B1454" s="448" t="s">
        <v>187</v>
      </c>
      <c r="C1454" s="448" t="s">
        <v>186</v>
      </c>
      <c r="D1454" s="447"/>
      <c r="E1454" s="447"/>
      <c r="F1454" s="447"/>
      <c r="G1454" s="447"/>
      <c r="H1454" s="447"/>
      <c r="I1454" s="447"/>
      <c r="K1454" s="444" t="s">
        <v>187</v>
      </c>
      <c r="L1454" s="444" t="s">
        <v>186</v>
      </c>
    </row>
    <row r="1455" spans="1:16" s="444" customFormat="1" ht="17.399999999999999" x14ac:dyDescent="0.55000000000000004">
      <c r="A1455" s="447"/>
      <c r="B1455" s="449" t="s">
        <v>185</v>
      </c>
      <c r="C1455" s="450" t="s">
        <v>188</v>
      </c>
      <c r="D1455" s="451"/>
      <c r="E1455" s="452"/>
      <c r="F1455" s="453" t="s">
        <v>183</v>
      </c>
      <c r="G1455" s="512" t="s">
        <v>182</v>
      </c>
      <c r="H1455" s="512"/>
      <c r="I1455" s="454"/>
      <c r="J1455" s="455"/>
      <c r="K1455" s="444" t="s">
        <v>185</v>
      </c>
      <c r="L1455" s="444" t="s">
        <v>477</v>
      </c>
      <c r="O1455" s="444" t="s">
        <v>183</v>
      </c>
      <c r="P1455" s="444" t="s">
        <v>182</v>
      </c>
    </row>
    <row r="1456" spans="1:16" s="444" customFormat="1" ht="14.7" x14ac:dyDescent="0.6">
      <c r="A1456" s="447"/>
      <c r="B1456" s="158" t="s">
        <v>405</v>
      </c>
      <c r="C1456" s="1068" t="s">
        <v>181</v>
      </c>
      <c r="D1456" s="1069"/>
      <c r="E1456" s="458"/>
      <c r="F1456" s="157" t="s">
        <v>406</v>
      </c>
      <c r="G1456" s="1069" t="s">
        <v>181</v>
      </c>
      <c r="H1456" s="1069"/>
      <c r="I1456" s="1070"/>
      <c r="J1456" s="460"/>
      <c r="K1456" s="444" t="s">
        <v>503</v>
      </c>
      <c r="L1456" s="444" t="s">
        <v>181</v>
      </c>
      <c r="O1456" s="444" t="s">
        <v>504</v>
      </c>
      <c r="P1456" s="444" t="s">
        <v>181</v>
      </c>
    </row>
    <row r="1457" spans="1:18" s="444" customFormat="1" ht="14.7" x14ac:dyDescent="0.6">
      <c r="A1457" s="447"/>
      <c r="B1457" s="158" t="s">
        <v>407</v>
      </c>
      <c r="C1457" s="1071" t="s">
        <v>181</v>
      </c>
      <c r="D1457" s="1072"/>
      <c r="E1457" s="463"/>
      <c r="F1457" s="157" t="s">
        <v>408</v>
      </c>
      <c r="G1457" s="1072" t="s">
        <v>181</v>
      </c>
      <c r="H1457" s="1072"/>
      <c r="I1457" s="1073"/>
      <c r="K1457" s="444" t="s">
        <v>505</v>
      </c>
      <c r="L1457" s="444" t="s">
        <v>181</v>
      </c>
      <c r="O1457" s="444" t="s">
        <v>506</v>
      </c>
      <c r="P1457" s="444" t="s">
        <v>181</v>
      </c>
    </row>
    <row r="1458" spans="1:18" s="444" customFormat="1" ht="12.3" x14ac:dyDescent="0.4">
      <c r="A1458" s="447"/>
      <c r="B1458" s="464" t="s">
        <v>180</v>
      </c>
      <c r="C1458" s="465">
        <f>E1507</f>
        <v>0</v>
      </c>
      <c r="D1458" s="513"/>
      <c r="E1458" s="514"/>
      <c r="F1458" s="500"/>
      <c r="G1458" s="468"/>
      <c r="H1458" s="468"/>
      <c r="I1458" s="156" t="s">
        <v>179</v>
      </c>
      <c r="J1458" s="447"/>
      <c r="K1458" s="444" t="s">
        <v>180</v>
      </c>
      <c r="L1458" s="444">
        <f>N1507</f>
        <v>0</v>
      </c>
      <c r="R1458" s="444" t="s">
        <v>179</v>
      </c>
    </row>
    <row r="1459" spans="1:18" s="444" customFormat="1" ht="14.7" x14ac:dyDescent="0.6">
      <c r="A1459" s="447"/>
      <c r="B1459" s="464" t="s">
        <v>409</v>
      </c>
      <c r="C1459" s="469">
        <f>I1519</f>
        <v>0</v>
      </c>
      <c r="D1459" s="470"/>
      <c r="E1459" s="471"/>
      <c r="F1459" s="501"/>
      <c r="G1459" s="472"/>
      <c r="H1459" s="473"/>
      <c r="J1459" s="474"/>
      <c r="K1459" s="444" t="s">
        <v>507</v>
      </c>
      <c r="L1459" s="444">
        <f>R1519</f>
        <v>0</v>
      </c>
    </row>
    <row r="1460" spans="1:18" s="444" customFormat="1" ht="14.7" x14ac:dyDescent="0.6">
      <c r="A1460" s="447"/>
      <c r="B1460" s="475" t="s">
        <v>410</v>
      </c>
      <c r="C1460" s="476">
        <f>J1519</f>
        <v>0</v>
      </c>
      <c r="D1460" s="477"/>
      <c r="E1460" s="478"/>
      <c r="F1460" s="506">
        <f>IF(OR(C1463=0,C1465=0),0,C1458/1000)</f>
        <v>0</v>
      </c>
      <c r="G1460" s="447" t="s">
        <v>178</v>
      </c>
      <c r="H1460" s="447"/>
      <c r="K1460" s="444" t="s">
        <v>508</v>
      </c>
      <c r="L1460" s="444">
        <f>S1519</f>
        <v>0</v>
      </c>
      <c r="O1460" s="444">
        <f>IF(OR(L1463=0,L1465=0),0,L1458/1000)</f>
        <v>0</v>
      </c>
      <c r="P1460" s="444" t="s">
        <v>178</v>
      </c>
    </row>
    <row r="1461" spans="1:18" s="444" customFormat="1" ht="12.3" x14ac:dyDescent="0.4">
      <c r="A1461" s="447"/>
      <c r="B1461" s="460"/>
      <c r="C1461" s="487"/>
      <c r="D1461" s="489"/>
      <c r="E1461" s="489"/>
      <c r="F1461" s="447"/>
      <c r="G1461" s="460"/>
    </row>
    <row r="1462" spans="1:18" s="444" customFormat="1" ht="12.3" x14ac:dyDescent="0.4">
      <c r="A1462" s="447"/>
      <c r="B1462" s="447"/>
      <c r="C1462" s="503" t="s">
        <v>177</v>
      </c>
      <c r="D1462" s="504"/>
      <c r="E1462" s="503" t="s">
        <v>85</v>
      </c>
      <c r="F1462" s="447"/>
      <c r="G1462" s="460"/>
      <c r="H1462" s="460"/>
      <c r="I1462" s="447"/>
      <c r="L1462" s="444" t="s">
        <v>177</v>
      </c>
      <c r="N1462" s="444" t="s">
        <v>85</v>
      </c>
    </row>
    <row r="1463" spans="1:18" s="444" customFormat="1" ht="14.7" x14ac:dyDescent="0.6">
      <c r="A1463" s="447"/>
      <c r="B1463" s="460" t="s">
        <v>411</v>
      </c>
      <c r="C1463" s="485">
        <f>C732</f>
        <v>0</v>
      </c>
      <c r="D1463" s="447"/>
      <c r="E1463" s="485">
        <f>C1463*PI()/180</f>
        <v>0</v>
      </c>
      <c r="F1463" s="447"/>
      <c r="G1463" s="460"/>
      <c r="H1463" s="460"/>
      <c r="I1463" s="447"/>
      <c r="K1463" s="444" t="s">
        <v>503</v>
      </c>
      <c r="L1463" s="498">
        <f>C13</f>
        <v>0</v>
      </c>
      <c r="N1463" s="444">
        <f>L1463*PI()/180</f>
        <v>0</v>
      </c>
    </row>
    <row r="1464" spans="1:18" s="444" customFormat="1" ht="14.7" x14ac:dyDescent="0.6">
      <c r="A1464" s="447"/>
      <c r="B1464" s="460" t="s">
        <v>412</v>
      </c>
      <c r="C1464" s="485">
        <f>C733</f>
        <v>0</v>
      </c>
      <c r="D1464" s="447"/>
      <c r="E1464" s="485">
        <f>C1464*PI()/180</f>
        <v>0</v>
      </c>
      <c r="F1464" s="447"/>
      <c r="G1464" s="460"/>
      <c r="H1464" s="485"/>
      <c r="I1464" s="447"/>
      <c r="K1464" s="444" t="s">
        <v>505</v>
      </c>
      <c r="L1464" s="498">
        <f>C14</f>
        <v>0</v>
      </c>
      <c r="N1464" s="444">
        <f>L1464*PI()/180</f>
        <v>0</v>
      </c>
    </row>
    <row r="1465" spans="1:18" s="444" customFormat="1" ht="14.7" x14ac:dyDescent="0.6">
      <c r="A1465" s="447"/>
      <c r="B1465" s="460" t="s">
        <v>413</v>
      </c>
      <c r="C1465" s="485">
        <f>IF(TPOrder!DU2="",DEGREES(TPOrder!DR8),DEGREES(TPOrder!DU2))</f>
        <v>0</v>
      </c>
      <c r="D1465" s="447"/>
      <c r="E1465" s="485">
        <f>C1465*PI()/180</f>
        <v>0</v>
      </c>
      <c r="F1465" s="447"/>
      <c r="G1465" s="460"/>
      <c r="H1465" s="460"/>
      <c r="I1465" s="447"/>
      <c r="K1465" s="444" t="s">
        <v>504</v>
      </c>
      <c r="L1465" s="444">
        <f>DEGREES(N1465)</f>
        <v>0</v>
      </c>
      <c r="N1465" s="444">
        <f>B!J12</f>
        <v>0</v>
      </c>
    </row>
    <row r="1466" spans="1:18" s="444" customFormat="1" ht="14.7" x14ac:dyDescent="0.6">
      <c r="A1466" s="447"/>
      <c r="B1466" s="460" t="s">
        <v>414</v>
      </c>
      <c r="C1466" s="485">
        <f>IF(TPOrder!DV2="",DEGREES(TPOrder!DS8),DEGREES(TPOrder!DV2))</f>
        <v>0</v>
      </c>
      <c r="D1466" s="447"/>
      <c r="E1466" s="485">
        <f>C1466*PI()/180</f>
        <v>0</v>
      </c>
      <c r="F1466" s="447"/>
      <c r="G1466" s="460"/>
      <c r="H1466" s="485"/>
      <c r="I1466" s="447"/>
      <c r="K1466" s="444" t="s">
        <v>506</v>
      </c>
      <c r="L1466" s="444">
        <f>DEGREES(N1466)</f>
        <v>0</v>
      </c>
      <c r="N1466" s="444">
        <f>B!J13</f>
        <v>0</v>
      </c>
    </row>
    <row r="1467" spans="1:18" s="444" customFormat="1" ht="12.3" x14ac:dyDescent="0.4">
      <c r="A1467" s="447"/>
      <c r="B1467" s="485"/>
      <c r="C1467" s="485"/>
      <c r="D1467" s="485"/>
      <c r="E1467" s="485"/>
      <c r="F1467" s="447"/>
      <c r="G1467" s="460"/>
      <c r="H1467" s="485"/>
      <c r="I1467" s="447"/>
    </row>
    <row r="1468" spans="1:18" s="444" customFormat="1" ht="12.3" x14ac:dyDescent="0.4">
      <c r="A1468" s="447"/>
      <c r="B1468" s="460" t="s">
        <v>176</v>
      </c>
      <c r="C1468" s="487">
        <v>6378137</v>
      </c>
      <c r="D1468" s="488"/>
      <c r="E1468" s="489" t="s">
        <v>175</v>
      </c>
      <c r="F1468" s="485">
        <f>C1470+C1470*C1470</f>
        <v>3.3640520041011246E-3</v>
      </c>
      <c r="G1468" s="460"/>
      <c r="H1468" s="460"/>
      <c r="I1468" s="447"/>
      <c r="K1468" s="444" t="s">
        <v>176</v>
      </c>
      <c r="L1468" s="444">
        <v>6378137</v>
      </c>
      <c r="N1468" s="444" t="s">
        <v>175</v>
      </c>
      <c r="O1468" s="444">
        <f>L1470+L1470*L1470</f>
        <v>3.3640520041011246E-3</v>
      </c>
    </row>
    <row r="1469" spans="1:18" s="444" customFormat="1" ht="12.3" x14ac:dyDescent="0.4">
      <c r="A1469" s="447"/>
      <c r="B1469" s="489" t="s">
        <v>174</v>
      </c>
      <c r="C1469" s="487">
        <f>C1468*(1-C1470)</f>
        <v>6356752.3142451793</v>
      </c>
      <c r="D1469" s="488"/>
      <c r="E1469" s="489" t="s">
        <v>173</v>
      </c>
      <c r="F1469" s="485">
        <f>F1468/2</f>
        <v>1.6820260020505623E-3</v>
      </c>
      <c r="G1469" s="460"/>
      <c r="H1469" s="460"/>
      <c r="I1469" s="447"/>
      <c r="K1469" s="444" t="s">
        <v>174</v>
      </c>
      <c r="L1469" s="444">
        <f>L1468*(1-L1470)</f>
        <v>6356752.3142451793</v>
      </c>
      <c r="N1469" s="444" t="s">
        <v>173</v>
      </c>
      <c r="O1469" s="444">
        <f>O1468/2</f>
        <v>1.6820260020505623E-3</v>
      </c>
    </row>
    <row r="1470" spans="1:18" s="444" customFormat="1" ht="12.3" x14ac:dyDescent="0.4">
      <c r="A1470" s="447"/>
      <c r="B1470" s="489" t="s">
        <v>172</v>
      </c>
      <c r="C1470" s="485">
        <v>3.3528106647474801E-3</v>
      </c>
      <c r="D1470" s="489"/>
      <c r="E1470" s="489" t="s">
        <v>171</v>
      </c>
      <c r="F1470" s="485">
        <f>C1470*C1470/2</f>
        <v>5.6206696768222199E-6</v>
      </c>
      <c r="G1470" s="460"/>
      <c r="H1470" s="460"/>
      <c r="I1470" s="447"/>
      <c r="K1470" s="444" t="s">
        <v>172</v>
      </c>
      <c r="L1470" s="444">
        <v>3.3528106647474801E-3</v>
      </c>
      <c r="N1470" s="444" t="s">
        <v>171</v>
      </c>
      <c r="O1470" s="444">
        <f>L1470*L1470/2</f>
        <v>5.6206696768222199E-6</v>
      </c>
    </row>
    <row r="1471" spans="1:18" s="444" customFormat="1" ht="12.3" x14ac:dyDescent="0.4">
      <c r="A1471" s="447"/>
      <c r="B1471" s="460" t="s">
        <v>415</v>
      </c>
      <c r="C1471" s="485">
        <f>E1466-E1464</f>
        <v>0</v>
      </c>
      <c r="D1471" s="447"/>
      <c r="E1471" s="447" t="s">
        <v>170</v>
      </c>
      <c r="F1471" s="485">
        <f>C1470*C1470/8</f>
        <v>1.405167419205555E-6</v>
      </c>
      <c r="G1471" s="460"/>
      <c r="H1471" s="460"/>
      <c r="I1471" s="447"/>
      <c r="K1471" s="444" t="s">
        <v>509</v>
      </c>
      <c r="L1471" s="444">
        <f>N1466-N1464</f>
        <v>0</v>
      </c>
      <c r="N1471" s="444" t="s">
        <v>170</v>
      </c>
      <c r="O1471" s="444">
        <f>L1470*L1470/8</f>
        <v>1.405167419205555E-6</v>
      </c>
    </row>
    <row r="1472" spans="1:18" s="444" customFormat="1" ht="12.3" x14ac:dyDescent="0.4">
      <c r="A1472" s="447"/>
      <c r="B1472" s="447"/>
      <c r="C1472" s="447"/>
      <c r="D1472" s="447"/>
      <c r="E1472" s="489" t="s">
        <v>169</v>
      </c>
      <c r="F1472" s="485">
        <f>C1470*C1470/16</f>
        <v>7.0258370960277749E-7</v>
      </c>
      <c r="G1472" s="460"/>
      <c r="H1472" s="460"/>
      <c r="I1472" s="447"/>
      <c r="N1472" s="444" t="s">
        <v>169</v>
      </c>
      <c r="O1472" s="444">
        <f>L1470*L1470/16</f>
        <v>7.0258370960277749E-7</v>
      </c>
    </row>
    <row r="1473" spans="1:14" s="444" customFormat="1" ht="12.3" x14ac:dyDescent="0.4">
      <c r="A1473" s="447"/>
      <c r="B1473" s="447" t="s">
        <v>168</v>
      </c>
      <c r="C1473" s="490">
        <f>(1-C1470)*TAN(E1463)</f>
        <v>0</v>
      </c>
      <c r="D1473" s="447"/>
      <c r="E1473" s="489"/>
      <c r="F1473" s="460"/>
      <c r="G1473" s="460"/>
      <c r="H1473" s="460"/>
      <c r="I1473" s="447"/>
      <c r="K1473" s="444" t="s">
        <v>168</v>
      </c>
      <c r="L1473" s="444">
        <f>(1-L1470)*TAN(N1463)</f>
        <v>0</v>
      </c>
    </row>
    <row r="1474" spans="1:14" s="444" customFormat="1" ht="12.3" x14ac:dyDescent="0.4">
      <c r="A1474" s="447"/>
      <c r="B1474" s="460" t="s">
        <v>106</v>
      </c>
      <c r="C1474" s="485">
        <f>ATAN(C1473)</f>
        <v>0</v>
      </c>
      <c r="D1474" s="489"/>
      <c r="E1474" s="155"/>
      <c r="F1474" s="485"/>
      <c r="G1474" s="460"/>
      <c r="H1474" s="460"/>
      <c r="I1474" s="447"/>
      <c r="K1474" s="444" t="s">
        <v>106</v>
      </c>
      <c r="L1474" s="444">
        <f>ATAN(L1473)</f>
        <v>0</v>
      </c>
    </row>
    <row r="1475" spans="1:14" s="444" customFormat="1" ht="12.3" x14ac:dyDescent="0.4">
      <c r="A1475" s="447"/>
      <c r="B1475" s="460" t="s">
        <v>167</v>
      </c>
      <c r="C1475" s="485">
        <f>SIN(C1474)</f>
        <v>0</v>
      </c>
      <c r="D1475" s="489"/>
      <c r="E1475" s="148"/>
      <c r="F1475" s="485"/>
      <c r="G1475" s="460"/>
      <c r="H1475" s="460"/>
      <c r="I1475" s="447"/>
      <c r="K1475" s="444" t="s">
        <v>167</v>
      </c>
      <c r="L1475" s="444">
        <f>SIN(L1474)</f>
        <v>0</v>
      </c>
    </row>
    <row r="1476" spans="1:14" s="444" customFormat="1" ht="12.3" x14ac:dyDescent="0.4">
      <c r="A1476" s="447"/>
      <c r="B1476" s="460" t="s">
        <v>166</v>
      </c>
      <c r="C1476" s="485">
        <f>COS(C1474)</f>
        <v>1</v>
      </c>
      <c r="D1476" s="489"/>
      <c r="E1476" s="460"/>
      <c r="F1476" s="485"/>
      <c r="G1476" s="460"/>
      <c r="H1476" s="460"/>
      <c r="I1476" s="447"/>
      <c r="K1476" s="444" t="s">
        <v>166</v>
      </c>
      <c r="L1476" s="444">
        <f>COS(L1474)</f>
        <v>1</v>
      </c>
    </row>
    <row r="1477" spans="1:14" s="444" customFormat="1" ht="12.3" x14ac:dyDescent="0.4">
      <c r="A1477" s="447"/>
      <c r="B1477" s="460" t="s">
        <v>165</v>
      </c>
      <c r="C1477" s="491">
        <f>(1-C1470)*TAN(E1465)</f>
        <v>0</v>
      </c>
      <c r="D1477" s="489"/>
      <c r="E1477" s="460"/>
      <c r="F1477" s="485"/>
      <c r="G1477" s="460"/>
      <c r="H1477" s="460"/>
      <c r="I1477" s="447"/>
      <c r="K1477" s="444" t="s">
        <v>165</v>
      </c>
      <c r="L1477" s="444">
        <f>(1-L1470)*TAN(N1465)</f>
        <v>0</v>
      </c>
    </row>
    <row r="1478" spans="1:14" s="444" customFormat="1" ht="12.3" x14ac:dyDescent="0.4">
      <c r="A1478" s="447"/>
      <c r="B1478" s="460" t="s">
        <v>164</v>
      </c>
      <c r="C1478" s="485">
        <f>ATAN(C1477)</f>
        <v>0</v>
      </c>
      <c r="D1478" s="489"/>
      <c r="E1478" s="460"/>
      <c r="F1478" s="485"/>
      <c r="G1478" s="460"/>
      <c r="H1478" s="460"/>
      <c r="I1478" s="447"/>
      <c r="K1478" s="444" t="s">
        <v>164</v>
      </c>
      <c r="L1478" s="444">
        <f>ATAN(L1477)</f>
        <v>0</v>
      </c>
    </row>
    <row r="1479" spans="1:14" s="444" customFormat="1" ht="12.3" x14ac:dyDescent="0.4">
      <c r="A1479" s="447"/>
      <c r="B1479" s="460" t="s">
        <v>163</v>
      </c>
      <c r="C1479" s="485">
        <f>SIN(C1478)</f>
        <v>0</v>
      </c>
      <c r="D1479" s="489"/>
      <c r="E1479" s="460"/>
      <c r="F1479" s="485"/>
      <c r="G1479" s="460"/>
      <c r="H1479" s="460"/>
      <c r="I1479" s="447"/>
      <c r="K1479" s="444" t="s">
        <v>163</v>
      </c>
      <c r="L1479" s="444">
        <f>SIN(L1478)</f>
        <v>0</v>
      </c>
    </row>
    <row r="1480" spans="1:14" s="444" customFormat="1" ht="12.3" x14ac:dyDescent="0.4">
      <c r="A1480" s="447"/>
      <c r="B1480" s="460" t="s">
        <v>162</v>
      </c>
      <c r="C1480" s="485">
        <f>COS(C1478)</f>
        <v>1</v>
      </c>
      <c r="D1480" s="489"/>
      <c r="E1480" s="460"/>
      <c r="F1480" s="485"/>
      <c r="G1480" s="460"/>
      <c r="H1480" s="460"/>
      <c r="I1480" s="447"/>
      <c r="K1480" s="444" t="s">
        <v>162</v>
      </c>
      <c r="L1480" s="444">
        <f>COS(L1478)</f>
        <v>1</v>
      </c>
    </row>
    <row r="1481" spans="1:14" s="444" customFormat="1" ht="12.3" x14ac:dyDescent="0.4">
      <c r="A1481" s="447"/>
      <c r="B1481" s="147" t="s">
        <v>161</v>
      </c>
      <c r="C1481" s="485"/>
      <c r="D1481" s="489"/>
      <c r="E1481" s="460"/>
      <c r="F1481" s="485"/>
      <c r="G1481" s="460"/>
      <c r="H1481" s="460"/>
      <c r="I1481" s="447"/>
      <c r="K1481" s="444" t="s">
        <v>161</v>
      </c>
    </row>
    <row r="1482" spans="1:14" s="444" customFormat="1" ht="12.3" x14ac:dyDescent="0.4">
      <c r="A1482" s="447"/>
      <c r="B1482" s="148" t="s">
        <v>144</v>
      </c>
      <c r="C1482" s="485">
        <f>C1471</f>
        <v>0</v>
      </c>
      <c r="D1482" s="489"/>
      <c r="E1482" s="485">
        <f ca="1">E1505</f>
        <v>0</v>
      </c>
      <c r="F1482" s="485"/>
      <c r="G1482" s="460"/>
      <c r="H1482" s="460"/>
      <c r="I1482" s="447"/>
      <c r="K1482" s="444" t="s">
        <v>144</v>
      </c>
      <c r="L1482" s="444">
        <f>L1471</f>
        <v>0</v>
      </c>
      <c r="N1482" s="444">
        <f ca="1">N1505</f>
        <v>0</v>
      </c>
    </row>
    <row r="1483" spans="1:14" s="444" customFormat="1" ht="12.3" x14ac:dyDescent="0.4">
      <c r="A1483" s="447"/>
      <c r="B1483" s="147" t="s">
        <v>160</v>
      </c>
      <c r="C1483" s="485"/>
      <c r="D1483" s="489"/>
      <c r="E1483" s="460"/>
      <c r="F1483" s="485"/>
      <c r="G1483" s="460"/>
      <c r="H1483" s="460"/>
      <c r="I1483" s="447"/>
      <c r="K1483" s="444" t="s">
        <v>160</v>
      </c>
    </row>
    <row r="1484" spans="1:14" s="444" customFormat="1" ht="13.8" x14ac:dyDescent="0.4">
      <c r="A1484" s="447"/>
      <c r="B1484" s="460" t="s">
        <v>159</v>
      </c>
      <c r="C1484" s="485">
        <f>(C1480*SIN(C1482)*C1480*SIN(C1482))+(C1476*C1479-C1475*C1480*COS(C1482))*(C1476*C1479-C1475*C1480*COS(C1482))</f>
        <v>0</v>
      </c>
      <c r="D1484" s="489"/>
      <c r="E1484" s="485">
        <f ca="1">(C1480*SIN(E1482)*C1480*SIN(E1482))+(C1476*C1479-C1475*C1480*COS(E1482))*(C1476*C1479-C1475*C1480*COS(E1482))</f>
        <v>0</v>
      </c>
      <c r="F1484" s="485"/>
      <c r="G1484" s="460"/>
      <c r="H1484" s="460"/>
      <c r="I1484" s="447"/>
      <c r="K1484" s="444" t="s">
        <v>510</v>
      </c>
      <c r="L1484" s="444">
        <f>(L1480*SIN(L1482)*L1480*SIN(L1482))+(L1476*L1479-L1475*L1480*COS(L1482))*(L1476*L1479-L1475*L1480*COS(L1482))</f>
        <v>0</v>
      </c>
      <c r="N1484" s="444">
        <f ca="1">(L1480*SIN(N1482)*L1480*SIN(N1482))+(L1476*L1479-L1475*L1480*COS(N1482))*(L1476*L1479-L1475*L1480*COS(N1482))</f>
        <v>0</v>
      </c>
    </row>
    <row r="1485" spans="1:14" s="444" customFormat="1" ht="12.3" x14ac:dyDescent="0.4">
      <c r="A1485" s="447"/>
      <c r="B1485" s="154" t="s">
        <v>158</v>
      </c>
      <c r="C1485" s="485"/>
      <c r="D1485" s="489"/>
      <c r="E1485" s="489"/>
      <c r="F1485" s="485"/>
      <c r="G1485" s="460"/>
      <c r="H1485" s="460"/>
      <c r="I1485" s="447"/>
      <c r="K1485" s="444" t="s">
        <v>158</v>
      </c>
    </row>
    <row r="1486" spans="1:14" s="444" customFormat="1" ht="12.3" x14ac:dyDescent="0.4">
      <c r="A1486" s="447"/>
      <c r="B1486" s="447" t="s">
        <v>157</v>
      </c>
      <c r="C1486" s="447">
        <f>(C1475*C1479)+(C1476*C1480*COS(C1482))</f>
        <v>1</v>
      </c>
      <c r="D1486" s="447"/>
      <c r="E1486" s="447">
        <f ca="1">(C1475*C1479)+(C1476*C1480*COS(E1482))</f>
        <v>1</v>
      </c>
      <c r="F1486" s="447"/>
      <c r="G1486" s="460"/>
      <c r="H1486" s="460"/>
      <c r="I1486" s="447"/>
      <c r="K1486" s="444" t="s">
        <v>511</v>
      </c>
      <c r="L1486" s="444">
        <f>(L1475*L1479)+(L1476*L1480*COS(L1482))</f>
        <v>1</v>
      </c>
      <c r="N1486" s="444">
        <f ca="1">(L1475*L1479)+(L1476*L1480*COS(N1482))</f>
        <v>1</v>
      </c>
    </row>
    <row r="1487" spans="1:14" s="444" customFormat="1" ht="12.3" x14ac:dyDescent="0.4">
      <c r="A1487" s="447"/>
      <c r="B1487" s="153" t="s">
        <v>156</v>
      </c>
      <c r="C1487" s="489"/>
      <c r="D1487" s="489"/>
      <c r="E1487" s="489"/>
      <c r="F1487" s="460"/>
      <c r="G1487" s="460"/>
      <c r="H1487" s="460"/>
      <c r="I1487" s="447"/>
      <c r="K1487" s="444" t="s">
        <v>156</v>
      </c>
    </row>
    <row r="1488" spans="1:14" s="444" customFormat="1" ht="12.3" x14ac:dyDescent="0.4">
      <c r="A1488" s="447"/>
      <c r="B1488" s="460" t="s">
        <v>155</v>
      </c>
      <c r="C1488" s="485">
        <f>SQRT(C1484)/C1486</f>
        <v>0</v>
      </c>
      <c r="D1488" s="489"/>
      <c r="E1488" s="485">
        <f ca="1">SQRT(E1484)/E1486</f>
        <v>0</v>
      </c>
      <c r="F1488" s="485"/>
      <c r="G1488" s="447"/>
      <c r="H1488" s="447"/>
      <c r="I1488" s="492"/>
      <c r="K1488" s="444" t="s">
        <v>512</v>
      </c>
      <c r="L1488" s="444">
        <f>SQRT(L1484)/L1486</f>
        <v>0</v>
      </c>
      <c r="N1488" s="444">
        <f ca="1">SQRT(N1484)/N1486</f>
        <v>0</v>
      </c>
    </row>
    <row r="1489" spans="1:14" s="444" customFormat="1" ht="12.3" x14ac:dyDescent="0.4">
      <c r="A1489" s="447"/>
      <c r="B1489" s="148" t="s">
        <v>142</v>
      </c>
      <c r="C1489" s="485">
        <f>ATAN(C1488)</f>
        <v>0</v>
      </c>
      <c r="D1489" s="489"/>
      <c r="E1489" s="485">
        <f ca="1">IF(ATAN(E1488)&lt;0,ATAN(E1488)+PI(),ATAN(E1488))</f>
        <v>0</v>
      </c>
      <c r="F1489" s="485"/>
      <c r="G1489" s="447"/>
      <c r="H1489" s="447"/>
      <c r="I1489" s="492"/>
      <c r="K1489" s="444" t="s">
        <v>142</v>
      </c>
      <c r="L1489" s="444">
        <f>ATAN(L1488)</f>
        <v>0</v>
      </c>
      <c r="N1489" s="444">
        <f ca="1">IF(ATAN(N1488)&lt;0,ATAN(N1488)+PI(),ATAN(N1488))</f>
        <v>0</v>
      </c>
    </row>
    <row r="1490" spans="1:14" s="444" customFormat="1" ht="12.3" x14ac:dyDescent="0.4">
      <c r="A1490" s="447"/>
      <c r="B1490" s="147" t="s">
        <v>154</v>
      </c>
      <c r="C1490" s="485"/>
      <c r="D1490" s="489"/>
      <c r="E1490" s="460"/>
      <c r="F1490" s="485"/>
      <c r="G1490" s="447"/>
      <c r="H1490" s="447"/>
      <c r="I1490" s="492"/>
      <c r="K1490" s="444" t="s">
        <v>154</v>
      </c>
    </row>
    <row r="1491" spans="1:14" s="444" customFormat="1" ht="12.3" x14ac:dyDescent="0.4">
      <c r="A1491" s="447"/>
      <c r="B1491" s="460" t="s">
        <v>153</v>
      </c>
      <c r="C1491" s="485">
        <f>IF(C1484=0,0,C1476*C1480*SIN(C1482)/SQRT(C1484))</f>
        <v>0</v>
      </c>
      <c r="D1491" s="489"/>
      <c r="E1491" s="485">
        <f ca="1">IF(E1484=0,0,C1476*C1480*SIN(E1482)/SQRT(E1484))</f>
        <v>0</v>
      </c>
      <c r="F1491" s="485"/>
      <c r="G1491" s="460"/>
      <c r="H1491" s="460"/>
      <c r="I1491" s="492"/>
      <c r="K1491" s="444" t="s">
        <v>513</v>
      </c>
      <c r="L1491" s="444">
        <f>IF(L1484=0,0,L1476*L1480*SIN(L1482)/SQRT(L1484))</f>
        <v>0</v>
      </c>
      <c r="N1491" s="444">
        <f ca="1">IF(N1484=0,0,L1476*L1480*SIN(N1482)/SQRT(N1484))</f>
        <v>0</v>
      </c>
    </row>
    <row r="1492" spans="1:14" s="444" customFormat="1" ht="12.3" x14ac:dyDescent="0.4">
      <c r="A1492" s="447"/>
      <c r="B1492" s="147" t="s">
        <v>152</v>
      </c>
      <c r="C1492" s="485"/>
      <c r="D1492" s="489"/>
      <c r="E1492" s="489"/>
      <c r="F1492" s="485"/>
      <c r="G1492" s="460"/>
      <c r="H1492" s="460"/>
      <c r="I1492" s="447"/>
      <c r="K1492" s="444" t="s">
        <v>152</v>
      </c>
    </row>
    <row r="1493" spans="1:14" s="444" customFormat="1" ht="16.2" x14ac:dyDescent="0.65">
      <c r="A1493" s="447"/>
      <c r="B1493" s="447" t="s">
        <v>416</v>
      </c>
      <c r="C1493" s="447">
        <f>IF((COS(ASIN(C1491))*COS(ASIN(C1491)))=0,0,C1486-2*C1475*C1479/(COS(ASIN(C1491))*COS(ASIN(C1491))))</f>
        <v>1</v>
      </c>
      <c r="D1493" s="489"/>
      <c r="E1493" s="447">
        <f ca="1">E1486-2*C1475*C1479/(COS(ASIN(E1491))*COS(ASIN(E1491)))</f>
        <v>1</v>
      </c>
      <c r="F1493" s="460"/>
      <c r="G1493" s="460"/>
      <c r="H1493" s="460"/>
      <c r="I1493" s="447"/>
      <c r="K1493" s="444" t="s">
        <v>514</v>
      </c>
      <c r="L1493" s="444">
        <f>IF((COS(ASIN(L1491))*COS(ASIN(L1491)))=0,0,L1486-2*L1475*L1479/(COS(ASIN(L1491))*COS(ASIN(L1491))))</f>
        <v>1</v>
      </c>
      <c r="N1493" s="444">
        <f ca="1">N1486-2*L1475*L1479/(COS(ASIN(N1491))*COS(ASIN(N1491)))</f>
        <v>1</v>
      </c>
    </row>
    <row r="1494" spans="1:14" s="444" customFormat="1" ht="15.9" x14ac:dyDescent="0.45">
      <c r="A1494" s="447"/>
      <c r="B1494" s="447" t="s">
        <v>151</v>
      </c>
      <c r="C1494" s="487">
        <f>COS(ASIN(C1491))*COS(ASIN(C1491))*(C1468*C1468-C1469*C1469)/(C1469*C1469)</f>
        <v>6.7394967422764341E-3</v>
      </c>
      <c r="D1494" s="489"/>
      <c r="E1494" s="487">
        <f ca="1">COS(ASIN(E1491))*COS(ASIN(E1491))*(C1468*C1468-C1469*C1469)/(C1469*C1469)</f>
        <v>6.7394967422764341E-3</v>
      </c>
      <c r="F1494" s="447"/>
      <c r="G1494" s="460"/>
      <c r="H1494" s="460"/>
      <c r="I1494" s="447"/>
      <c r="K1494" s="444" t="s">
        <v>515</v>
      </c>
      <c r="L1494" s="444">
        <f>COS(ASIN(L1491))*COS(ASIN(L1491))*(L1468*L1468-L1469*L1469)/(L1469*L1469)</f>
        <v>6.7394967422764341E-3</v>
      </c>
      <c r="N1494" s="444">
        <f ca="1">COS(ASIN(N1491))*COS(ASIN(N1491))*(L1468*L1468-L1469*L1469)/(L1469*L1469)</f>
        <v>6.7394967422764341E-3</v>
      </c>
    </row>
    <row r="1495" spans="1:14" s="444" customFormat="1" ht="12.3" x14ac:dyDescent="0.4">
      <c r="A1495" s="447"/>
      <c r="B1495" s="152" t="s">
        <v>150</v>
      </c>
      <c r="C1495" s="485"/>
      <c r="D1495" s="489"/>
      <c r="E1495" s="460"/>
      <c r="F1495" s="485"/>
      <c r="G1495" s="460"/>
      <c r="H1495" s="460"/>
      <c r="I1495" s="447"/>
      <c r="K1495" s="444" t="s">
        <v>150</v>
      </c>
    </row>
    <row r="1496" spans="1:14" s="444" customFormat="1" ht="12.3" x14ac:dyDescent="0.4">
      <c r="A1496" s="447"/>
      <c r="B1496" s="460" t="s">
        <v>9</v>
      </c>
      <c r="C1496" s="485">
        <f>1+C1494/16384*(4096+C1494*(-768+C1494*(320-175*C1494)))</f>
        <v>1.0016827510415456</v>
      </c>
      <c r="D1496" s="489"/>
      <c r="E1496" s="485">
        <f ca="1">1+E1494/16384*(4096+E1494*(-768+E1494*(320-175*E1494)))</f>
        <v>1.0016827510415456</v>
      </c>
      <c r="F1496" s="485"/>
      <c r="G1496" s="460"/>
      <c r="H1496" s="460"/>
      <c r="I1496" s="447"/>
      <c r="K1496" s="444" t="s">
        <v>9</v>
      </c>
      <c r="L1496" s="444">
        <f>1+L1494/16384*(4096+L1494*(-768+L1494*(320-175*L1494)))</f>
        <v>1.0016827510415456</v>
      </c>
      <c r="N1496" s="444">
        <f ca="1">1+N1494/16384*(4096+N1494*(-768+N1494*(320-175*N1494)))</f>
        <v>1.0016827510415456</v>
      </c>
    </row>
    <row r="1497" spans="1:14" s="444" customFormat="1" ht="12.3" x14ac:dyDescent="0.4">
      <c r="A1497" s="447"/>
      <c r="B1497" s="147" t="s">
        <v>149</v>
      </c>
      <c r="C1497" s="485"/>
      <c r="D1497" s="489"/>
      <c r="E1497" s="460"/>
      <c r="F1497" s="485"/>
      <c r="G1497" s="460"/>
      <c r="H1497" s="460"/>
      <c r="I1497" s="490"/>
      <c r="K1497" s="444" t="s">
        <v>149</v>
      </c>
    </row>
    <row r="1498" spans="1:14" s="444" customFormat="1" ht="12.3" x14ac:dyDescent="0.4">
      <c r="A1498" s="447"/>
      <c r="B1498" s="460" t="s">
        <v>10</v>
      </c>
      <c r="C1498" s="485">
        <f>C1494/1024*(256+C1494*(-128+C1494*(74-47*C1494)))</f>
        <v>1.6792186103152505E-3</v>
      </c>
      <c r="D1498" s="489"/>
      <c r="E1498" s="485">
        <f ca="1">E1494/1024*(256+E1494*(-128+E1494*(74-47*E1494)))</f>
        <v>1.6792186103152505E-3</v>
      </c>
      <c r="F1498" s="485"/>
      <c r="G1498" s="460"/>
      <c r="H1498" s="460"/>
      <c r="I1498" s="447"/>
      <c r="K1498" s="444" t="s">
        <v>10</v>
      </c>
      <c r="L1498" s="444">
        <f>L1494/1024*(256+L1494*(-128+L1494*(74-47*L1494)))</f>
        <v>1.6792186103152505E-3</v>
      </c>
      <c r="N1498" s="444">
        <f ca="1">N1494/1024*(256+N1494*(-128+N1494*(74-47*N1494)))</f>
        <v>1.6792186103152505E-3</v>
      </c>
    </row>
    <row r="1499" spans="1:14" s="444" customFormat="1" ht="12.3" x14ac:dyDescent="0.4">
      <c r="A1499" s="447"/>
      <c r="B1499" s="147" t="s">
        <v>148</v>
      </c>
      <c r="C1499" s="485"/>
      <c r="D1499" s="489"/>
      <c r="E1499" s="460"/>
      <c r="F1499" s="485"/>
      <c r="G1499" s="460"/>
      <c r="H1499" s="460"/>
      <c r="I1499" s="447"/>
      <c r="K1499" s="444" t="s">
        <v>148</v>
      </c>
    </row>
    <row r="1500" spans="1:14" s="444" customFormat="1" ht="12.3" x14ac:dyDescent="0.4">
      <c r="A1500" s="447"/>
      <c r="B1500" s="148" t="s">
        <v>147</v>
      </c>
      <c r="C1500" s="485">
        <f>C1498*SQRT(C1484)*(C1493+C1498/4*(C1486*(-1+2*C1493*C1493)-C1498/6*C1493*(-3+4*C1484)*(-3+4*C1493*C1493)))</f>
        <v>0</v>
      </c>
      <c r="D1500" s="489"/>
      <c r="E1500" s="485">
        <f ca="1">E1498*SQRT(E1484)*(E1493+E1498/4*(E1486*(-1+2*E1493*E1493)-E1498/6*E1493*(-3+4*E1484)*(-3+4*E1493*E1493)))</f>
        <v>0</v>
      </c>
      <c r="F1500" s="485"/>
      <c r="G1500" s="460"/>
      <c r="H1500" s="460"/>
      <c r="I1500" s="447"/>
      <c r="K1500" s="444" t="s">
        <v>147</v>
      </c>
      <c r="L1500" s="444">
        <f>L1498*SQRT(L1484)*(L1493+L1498/4*(L1486*(-1+2*L1493*L1493)-L1498/6*L1493*(-3+4*L1484)*(-3+4*L1493*L1493)))</f>
        <v>0</v>
      </c>
      <c r="N1500" s="444">
        <f ca="1">N1498*SQRT(N1484)*(N1493+N1498/4*(N1486*(-1+2*N1493*N1493)-N1498/6*N1493*(-3+4*N1484)*(-3+4*N1493*N1493)))</f>
        <v>0</v>
      </c>
    </row>
    <row r="1501" spans="1:14" s="444" customFormat="1" ht="12.3" x14ac:dyDescent="0.4">
      <c r="A1501" s="447"/>
      <c r="B1501" s="460"/>
      <c r="C1501" s="485"/>
      <c r="D1501" s="489"/>
      <c r="E1501" s="460"/>
      <c r="F1501" s="485"/>
      <c r="G1501" s="460"/>
      <c r="H1501" s="460"/>
      <c r="I1501" s="447"/>
    </row>
    <row r="1502" spans="1:14" s="444" customFormat="1" ht="12.3" x14ac:dyDescent="0.4">
      <c r="A1502" s="447"/>
      <c r="B1502" s="147" t="s">
        <v>146</v>
      </c>
      <c r="C1502" s="485"/>
      <c r="D1502" s="494"/>
      <c r="E1502" s="460"/>
      <c r="F1502" s="485"/>
      <c r="G1502" s="460"/>
      <c r="H1502" s="460"/>
      <c r="I1502" s="150"/>
      <c r="K1502" s="444" t="s">
        <v>146</v>
      </c>
    </row>
    <row r="1503" spans="1:14" s="444" customFormat="1" ht="12.3" x14ac:dyDescent="0.4">
      <c r="A1503" s="447"/>
      <c r="B1503" s="460" t="s">
        <v>11</v>
      </c>
      <c r="C1503" s="485">
        <f>C1470/16*COS(ASIN(C1491))*COS(ASIN(C1491))*(4+C1470*(4-3*COS(ASIN(C1491))*COS(ASIN(C1491))))</f>
        <v>8.389052498964728E-4</v>
      </c>
      <c r="D1503" s="494"/>
      <c r="E1503" s="485">
        <f ca="1">C1470/16*COS(ASIN(E1491))*COS(ASIN(E1491))*(4+C1470*(4-3*COS(ASIN(E1491))*COS(ASIN(E1491))))</f>
        <v>8.389052498964728E-4</v>
      </c>
      <c r="F1503" s="485"/>
      <c r="G1503" s="460"/>
      <c r="H1503" s="460"/>
      <c r="I1503" s="150"/>
      <c r="K1503" s="444" t="s">
        <v>11</v>
      </c>
      <c r="L1503" s="444">
        <f>L1470/16*COS(ASIN(L1491))*COS(ASIN(L1491))*(4+L1470*(4-3*COS(ASIN(L1491))*COS(ASIN(L1491))))</f>
        <v>8.389052498964728E-4</v>
      </c>
      <c r="N1503" s="444">
        <f ca="1">L1470/16*COS(ASIN(N1491))*COS(ASIN(N1491))*(4+L1470*(4-3*COS(ASIN(N1491))*COS(ASIN(N1491))))</f>
        <v>8.389052498964728E-4</v>
      </c>
    </row>
    <row r="1504" spans="1:14" s="444" customFormat="1" ht="12.3" x14ac:dyDescent="0.4">
      <c r="A1504" s="447"/>
      <c r="B1504" s="147" t="s">
        <v>145</v>
      </c>
      <c r="C1504" s="485"/>
      <c r="D1504" s="494"/>
      <c r="E1504" s="460"/>
      <c r="F1504" s="485"/>
      <c r="G1504" s="460"/>
      <c r="H1504" s="460"/>
      <c r="I1504" s="150"/>
      <c r="K1504" s="444" t="s">
        <v>145</v>
      </c>
    </row>
    <row r="1505" spans="1:19" s="444" customFormat="1" ht="12.3" x14ac:dyDescent="0.4">
      <c r="A1505" s="447"/>
      <c r="B1505" s="151" t="s">
        <v>144</v>
      </c>
      <c r="C1505" s="485">
        <f>C1471+(1-C1503)*C1470*C1491*(ACOS(C1486)+C1503*SIN(ACOS(C1486))*(C1493+C1503*C1486*(-1+2*C1493*C1493)))</f>
        <v>0</v>
      </c>
      <c r="D1505" s="494"/>
      <c r="E1505" s="511">
        <f ca="1">C1471+(1-E1503)*C1470*E1491*(ACOS(E1486)+E1503*SIN(ACOS(E1486))*(E1493+E1503*E1486*(-1+2*E1493*E1493)))</f>
        <v>0</v>
      </c>
      <c r="F1505" s="485"/>
      <c r="G1505" s="460"/>
      <c r="H1505" s="460"/>
      <c r="I1505" s="150"/>
      <c r="K1505" s="444" t="s">
        <v>144</v>
      </c>
      <c r="L1505" s="444">
        <f>L1471+(1-L1503)*L1470*L1491*(ACOS(L1486)+L1503*SIN(ACOS(L1486))*(L1493+L1503*L1486*(-1+2*L1493*L1493)))</f>
        <v>0</v>
      </c>
      <c r="N1505" s="444">
        <f ca="1">L1471+(1-N1503)*L1470*N1491*(ACOS(N1486)+N1503*SIN(ACOS(N1486))*(N1493+N1503*N1486*(-1+2*N1493*N1493)))</f>
        <v>0</v>
      </c>
    </row>
    <row r="1506" spans="1:19" s="444" customFormat="1" ht="12.3" x14ac:dyDescent="0.4">
      <c r="A1506" s="447"/>
      <c r="B1506" s="149" t="s">
        <v>143</v>
      </c>
      <c r="C1506" s="485"/>
      <c r="D1506" s="494"/>
      <c r="E1506" s="148"/>
      <c r="F1506" s="485"/>
      <c r="G1506" s="460"/>
      <c r="H1506" s="460"/>
      <c r="I1506" s="496"/>
      <c r="K1506" s="444" t="s">
        <v>143</v>
      </c>
    </row>
    <row r="1507" spans="1:19" s="444" customFormat="1" ht="12.3" x14ac:dyDescent="0.4">
      <c r="A1507" s="447"/>
      <c r="B1507" s="460" t="s">
        <v>142</v>
      </c>
      <c r="C1507" s="485">
        <f>IF(B1522="samepoint",0,C1469*C1496*(ATAN(C1488)-C1500))</f>
        <v>0</v>
      </c>
      <c r="D1507" s="494"/>
      <c r="E1507" s="485">
        <f>IF(B1522="samepoint",0,C1469*E1496*(E1489-E1500))</f>
        <v>0</v>
      </c>
      <c r="F1507" s="460"/>
      <c r="G1507" s="460"/>
      <c r="H1507" s="460"/>
      <c r="I1507" s="496"/>
      <c r="K1507" s="444" t="s">
        <v>142</v>
      </c>
      <c r="L1507" s="444">
        <f>IF(K1522="samepoint",0,L1469*L1496*(ATAN(L1488)-L1500))</f>
        <v>0</v>
      </c>
      <c r="N1507" s="444">
        <f>IF(K1522="samepoint",0,L1469*N1496*(N1489-N1500))</f>
        <v>0</v>
      </c>
    </row>
    <row r="1508" spans="1:19" s="444" customFormat="1" ht="12.3" x14ac:dyDescent="0.4">
      <c r="A1508" s="447"/>
      <c r="B1508" s="147" t="s">
        <v>141</v>
      </c>
      <c r="C1508" s="485"/>
      <c r="D1508" s="494"/>
      <c r="E1508" s="485"/>
      <c r="F1508" s="460"/>
      <c r="G1508" s="460"/>
      <c r="H1508" s="460"/>
      <c r="I1508" s="496"/>
      <c r="K1508" s="444" t="s">
        <v>141</v>
      </c>
    </row>
    <row r="1509" spans="1:19" s="444" customFormat="1" ht="16.2" x14ac:dyDescent="0.65">
      <c r="A1509" s="447"/>
      <c r="B1509" s="460" t="s">
        <v>140</v>
      </c>
      <c r="C1509" s="485"/>
      <c r="D1509" s="494"/>
      <c r="E1509" s="485" t="e">
        <f ca="1">C1480*SIN(E1505)/(C1476*C1479-C1475*C1480*COS(E1505))</f>
        <v>#DIV/0!</v>
      </c>
      <c r="F1509" s="460"/>
      <c r="G1509" s="460"/>
      <c r="H1509" s="460"/>
      <c r="I1509" s="496"/>
      <c r="K1509" s="444" t="s">
        <v>516</v>
      </c>
      <c r="N1509" s="444" t="e">
        <f ca="1">L1480*SIN(N1505)/(L1476*L1479-L1475*L1480*COS(N1505))</f>
        <v>#DIV/0!</v>
      </c>
    </row>
    <row r="1510" spans="1:19" s="444" customFormat="1" ht="12.3" x14ac:dyDescent="0.4">
      <c r="A1510" s="447"/>
      <c r="B1510" s="147" t="s">
        <v>139</v>
      </c>
      <c r="C1510" s="485"/>
      <c r="D1510" s="494"/>
      <c r="E1510" s="485"/>
      <c r="F1510" s="460"/>
      <c r="G1510" s="460"/>
      <c r="H1510" s="460"/>
      <c r="I1510" s="496"/>
      <c r="K1510" s="444" t="s">
        <v>139</v>
      </c>
    </row>
    <row r="1511" spans="1:19" s="444" customFormat="1" ht="16.8" x14ac:dyDescent="0.7">
      <c r="A1511" s="447"/>
      <c r="B1511" s="460" t="s">
        <v>138</v>
      </c>
      <c r="C1511" s="485"/>
      <c r="D1511" s="494"/>
      <c r="E1511" s="485" t="e">
        <f>C1476*SIN(C1505)/(-C1475*C1480+C1476*C1479*COS(C1505))</f>
        <v>#DIV/0!</v>
      </c>
      <c r="F1511" s="460"/>
      <c r="G1511" s="460"/>
      <c r="H1511" s="460"/>
      <c r="I1511" s="496"/>
      <c r="K1511" s="444" t="s">
        <v>517</v>
      </c>
      <c r="N1511" s="444" t="e">
        <f>L1476*SIN(L1505)/(-L1475*L1480+L1476*L1479*COS(L1505))</f>
        <v>#DIV/0!</v>
      </c>
    </row>
    <row r="1512" spans="1:19" s="444" customFormat="1" ht="12.3" x14ac:dyDescent="0.4">
      <c r="A1512" s="447"/>
      <c r="B1512" s="460"/>
      <c r="C1512" s="485"/>
      <c r="D1512" s="494"/>
      <c r="E1512" s="460"/>
      <c r="F1512" s="485"/>
      <c r="G1512" s="460"/>
      <c r="H1512" s="460"/>
      <c r="I1512" s="496"/>
    </row>
    <row r="1513" spans="1:19" s="444" customFormat="1" ht="12.3" x14ac:dyDescent="0.4">
      <c r="A1513" s="447"/>
      <c r="B1513" s="460"/>
      <c r="C1513" s="497"/>
      <c r="D1513" s="447"/>
      <c r="E1513" s="460"/>
      <c r="F1513" s="485"/>
      <c r="G1513" s="460"/>
      <c r="H1513" s="460"/>
      <c r="I1513" s="496"/>
    </row>
    <row r="1514" spans="1:19" s="444" customFormat="1" ht="12.3" x14ac:dyDescent="0.4">
      <c r="A1514" s="447"/>
      <c r="B1514" s="460"/>
      <c r="C1514" s="460"/>
      <c r="D1514" s="447"/>
      <c r="E1514" s="489"/>
      <c r="F1514" s="494"/>
      <c r="G1514" s="460"/>
      <c r="H1514" s="460"/>
      <c r="I1514" s="496"/>
    </row>
    <row r="1515" spans="1:19" s="444" customFormat="1" ht="12.3" x14ac:dyDescent="0.4">
      <c r="A1515" s="447"/>
      <c r="B1515" s="146" t="s">
        <v>137</v>
      </c>
      <c r="C1515" s="146"/>
      <c r="D1515" s="489"/>
      <c r="E1515" s="146" t="s">
        <v>136</v>
      </c>
      <c r="F1515" s="146"/>
      <c r="G1515" s="460"/>
      <c r="H1515" s="460"/>
      <c r="I1515" s="496"/>
      <c r="K1515" s="444" t="s">
        <v>137</v>
      </c>
      <c r="N1515" s="444" t="s">
        <v>136</v>
      </c>
    </row>
    <row r="1516" spans="1:19" s="444" customFormat="1" ht="14.7" x14ac:dyDescent="0.6">
      <c r="A1516" s="447"/>
      <c r="B1516" s="145" t="s">
        <v>417</v>
      </c>
      <c r="C1516" s="485" t="e">
        <f ca="1">ATAN(E1509)</f>
        <v>#DIV/0!</v>
      </c>
      <c r="D1516" s="447"/>
      <c r="E1516" s="145" t="s">
        <v>418</v>
      </c>
      <c r="F1516" s="485" t="e">
        <f>ATAN(E1511)</f>
        <v>#DIV/0!</v>
      </c>
      <c r="G1516" s="460"/>
      <c r="H1516" s="460"/>
      <c r="I1516" s="496" t="e">
        <f>ATAN2(E1465-E1463,E1466-E1464)*180/PI()</f>
        <v>#DIV/0!</v>
      </c>
      <c r="J1516" s="496" t="e">
        <f>ATAN2(E1463-E1465,E1464-E1466)*180/PI()</f>
        <v>#DIV/0!</v>
      </c>
      <c r="K1516" s="444" t="s">
        <v>518</v>
      </c>
      <c r="L1516" s="444" t="e">
        <f ca="1">ATAN(N1509)</f>
        <v>#DIV/0!</v>
      </c>
      <c r="N1516" s="444" t="s">
        <v>493</v>
      </c>
      <c r="O1516" s="444" t="e">
        <f>ATAN(N1511)</f>
        <v>#DIV/0!</v>
      </c>
      <c r="R1516" s="444" t="e">
        <f>ATAN2(N1465-N1463,N1466-N1464)*180/PI()</f>
        <v>#DIV/0!</v>
      </c>
      <c r="S1516" s="444" t="e">
        <f>ATAN2(N1463-N1465,N1464-N1466)*180/PI()</f>
        <v>#DIV/0!</v>
      </c>
    </row>
    <row r="1517" spans="1:19" s="444" customFormat="1" ht="14.7" x14ac:dyDescent="0.6">
      <c r="A1517" s="447"/>
      <c r="B1517" s="145" t="s">
        <v>419</v>
      </c>
      <c r="C1517" s="485" t="e">
        <f ca="1">(C1516/PI())*180+360</f>
        <v>#DIV/0!</v>
      </c>
      <c r="D1517" s="447"/>
      <c r="E1517" s="145" t="s">
        <v>420</v>
      </c>
      <c r="F1517" s="485" t="e">
        <f>(F1516/PI())*180+180</f>
        <v>#DIV/0!</v>
      </c>
      <c r="G1517" s="460"/>
      <c r="H1517" s="460"/>
      <c r="I1517" s="496" t="e">
        <f>IF(I1516&lt;0,C1516*180/PI()+360,C1516*180/PI())</f>
        <v>#DIV/0!</v>
      </c>
      <c r="J1517" s="498" t="e">
        <f>IF(J1516&gt;0,F1516*180/PI()+180,F1516*180/PI())</f>
        <v>#DIV/0!</v>
      </c>
      <c r="K1517" s="444" t="s">
        <v>519</v>
      </c>
      <c r="L1517" s="444" t="e">
        <f ca="1">(L1516/PI())*180+360</f>
        <v>#DIV/0!</v>
      </c>
      <c r="N1517" s="444" t="s">
        <v>494</v>
      </c>
      <c r="O1517" s="444" t="e">
        <f>(O1516/PI())*180+180</f>
        <v>#DIV/0!</v>
      </c>
      <c r="R1517" s="444" t="e">
        <f>IF(R1516&lt;0,L1516*180/PI()+360,L1516*180/PI())</f>
        <v>#DIV/0!</v>
      </c>
      <c r="S1517" s="444" t="e">
        <f>IF(S1516&gt;0,O1516*180/PI()+180,O1516*180/PI())</f>
        <v>#DIV/0!</v>
      </c>
    </row>
    <row r="1518" spans="1:19" s="444" customFormat="1" ht="14.7" x14ac:dyDescent="0.6">
      <c r="A1518" s="447"/>
      <c r="B1518" s="145" t="s">
        <v>419</v>
      </c>
      <c r="C1518" s="485" t="e">
        <f ca="1">IF(C1517&gt;=360,C1517-360,C1517)</f>
        <v>#DIV/0!</v>
      </c>
      <c r="D1518" s="447"/>
      <c r="E1518" s="145" t="s">
        <v>420</v>
      </c>
      <c r="F1518" s="485" t="e">
        <f>IF(F1517&gt;=360,F1517-360,F1517)</f>
        <v>#DIV/0!</v>
      </c>
      <c r="G1518" s="460"/>
      <c r="H1518" s="460"/>
      <c r="I1518" s="496" t="e">
        <f ca="1">ATAN2((C1476*C1479-C1475*C1480*COS(E1505)),C1480*SIN(E1505))</f>
        <v>#DIV/0!</v>
      </c>
      <c r="J1518" s="485" t="e">
        <f ca="1">ATAN2((-C1475*C1480+C1476*C1479*COS(E1505)),C1476*SIN(E1505))</f>
        <v>#DIV/0!</v>
      </c>
      <c r="K1518" s="444" t="s">
        <v>519</v>
      </c>
      <c r="L1518" s="444" t="e">
        <f ca="1">IF(L1517&gt;=360,L1517-360,L1517)</f>
        <v>#DIV/0!</v>
      </c>
      <c r="N1518" s="444" t="s">
        <v>494</v>
      </c>
      <c r="O1518" s="444" t="e">
        <f>IF(O1517&gt;=360,O1517-360,O1517)</f>
        <v>#DIV/0!</v>
      </c>
      <c r="R1518" s="444" t="e">
        <f ca="1">ATAN2((L1476*L1479-L1475*L1480*COS(N1505)),L1480*SIN(N1505))</f>
        <v>#DIV/0!</v>
      </c>
      <c r="S1518" s="444" t="e">
        <f ca="1">ATAN2((-L1475*L1480+L1476*L1479*COS(N1505)),L1476*SIN(N1505))</f>
        <v>#DIV/0!</v>
      </c>
    </row>
    <row r="1519" spans="1:19" s="444" customFormat="1" ht="14.7" x14ac:dyDescent="0.6">
      <c r="A1519" s="447"/>
      <c r="B1519" s="145" t="s">
        <v>419</v>
      </c>
      <c r="C1519" s="485">
        <f>IF(B1522="samepoint",0,IF(B1523="northsouth",0,IF(B1524="southnorth",180,C1518)))</f>
        <v>0</v>
      </c>
      <c r="D1519" s="447"/>
      <c r="E1519" s="145" t="s">
        <v>420</v>
      </c>
      <c r="F1519" s="485">
        <f>IF(B1522="samepoint",0,IF(B1523="northsouth",180,IF(B1524="southnorth",0,F1518)))</f>
        <v>0</v>
      </c>
      <c r="G1519" s="447"/>
      <c r="H1519" s="447"/>
      <c r="I1519" s="485">
        <f>IF(B1522="samepoint",0,IF(B1523="northsouth",0,IF(B1524="southnorth",180,IF(I1518&lt;0,I1518*180/PI()+360,I1518*180/PI()))))</f>
        <v>0</v>
      </c>
      <c r="J1519" s="485">
        <f>IF(B1522="samepoint",0,IF(B1523="northsouth",180,IF(B1524="southnorth",0,J1518*180/PI()+180)))</f>
        <v>0</v>
      </c>
      <c r="K1519" s="444" t="s">
        <v>519</v>
      </c>
      <c r="L1519" s="444">
        <f>IF(K1522="samepoint",0,IF(K1523="northsouth",0,IF(K1524="southnorth",180,L1518)))</f>
        <v>0</v>
      </c>
      <c r="N1519" s="444" t="s">
        <v>494</v>
      </c>
      <c r="O1519" s="444">
        <f>IF(K1522="samepoint",0,IF(K1523="northsouth",180,IF(K1524="southnorth",0,O1518)))</f>
        <v>0</v>
      </c>
      <c r="R1519" s="444">
        <f>IF(K1522="samepoint",0,IF(K1523="northsouth",0,IF(K1524="southnorth",180,IF(R1518&lt;0,R1518*180/PI()+360,R1518*180/PI()))))</f>
        <v>0</v>
      </c>
      <c r="S1519" s="444">
        <f>IF(K1522="samepoint",0,IF(K1523="northsouth",180,IF(K1524="southnorth",0,S1518*180/PI()+180)))</f>
        <v>0</v>
      </c>
    </row>
    <row r="1520" spans="1:19" s="444" customFormat="1" ht="12.3" x14ac:dyDescent="0.4">
      <c r="A1520" s="447"/>
      <c r="B1520" s="145"/>
      <c r="C1520" s="447"/>
      <c r="D1520" s="447"/>
      <c r="E1520" s="145"/>
      <c r="F1520" s="447"/>
      <c r="G1520" s="447"/>
      <c r="H1520" s="447"/>
      <c r="I1520" s="447"/>
    </row>
    <row r="1521" spans="1:20" s="444" customFormat="1" ht="12.3" x14ac:dyDescent="0.4">
      <c r="A1521" s="447"/>
      <c r="B1521" s="144" t="s">
        <v>135</v>
      </c>
      <c r="C1521" s="144"/>
      <c r="D1521" s="447"/>
      <c r="E1521" s="447"/>
      <c r="F1521" s="447"/>
      <c r="G1521" s="447"/>
      <c r="H1521" s="447"/>
      <c r="I1521" s="447"/>
      <c r="K1521" s="444" t="s">
        <v>135</v>
      </c>
    </row>
    <row r="1522" spans="1:20" s="444" customFormat="1" ht="12.3" x14ac:dyDescent="0.4">
      <c r="A1522" s="447"/>
      <c r="B1522" s="447" t="str">
        <f>IF(AND(C1463=C1465,C1464=C1466),"samepoint","N.A. " )</f>
        <v>samepoint</v>
      </c>
      <c r="C1522" s="447" t="s">
        <v>134</v>
      </c>
      <c r="D1522" s="447"/>
      <c r="E1522" s="447"/>
      <c r="F1522" s="447"/>
      <c r="G1522" s="447"/>
      <c r="H1522" s="447"/>
      <c r="I1522" s="447"/>
      <c r="K1522" s="444" t="str">
        <f>IF(AND(L1463=L1465,L1464=L1466),"samepoint","N.A. " )</f>
        <v>samepoint</v>
      </c>
      <c r="L1522" s="444" t="s">
        <v>134</v>
      </c>
    </row>
    <row r="1523" spans="1:20" s="444" customFormat="1" ht="12.3" x14ac:dyDescent="0.4">
      <c r="A1523" s="447"/>
      <c r="B1523" s="447" t="str">
        <f>IF(AND(C1464=C1466,C1465&gt;C1463),"northsouth","N.A. ")</f>
        <v xml:space="preserve">N.A. </v>
      </c>
      <c r="C1523" s="447" t="s">
        <v>133</v>
      </c>
      <c r="D1523" s="447"/>
      <c r="E1523" s="447"/>
      <c r="F1523" s="447"/>
      <c r="G1523" s="447"/>
      <c r="H1523" s="447"/>
      <c r="I1523" s="447"/>
      <c r="K1523" s="444" t="str">
        <f>IF(AND(L1464=L1466,L1465&gt;L1463),"northsouth","N.A. ")</f>
        <v xml:space="preserve">N.A. </v>
      </c>
      <c r="L1523" s="444" t="s">
        <v>133</v>
      </c>
    </row>
    <row r="1524" spans="1:20" s="444" customFormat="1" ht="12.3" x14ac:dyDescent="0.4">
      <c r="A1524" s="447"/>
      <c r="B1524" s="447" t="str">
        <f>IF(AND(C1464=C1466,C1463&gt;C1465),"southnorth","N.A. ")</f>
        <v xml:space="preserve">N.A. </v>
      </c>
      <c r="C1524" s="447" t="s">
        <v>132</v>
      </c>
      <c r="D1524" s="447"/>
      <c r="E1524" s="447"/>
      <c r="F1524" s="447"/>
      <c r="G1524" s="447"/>
      <c r="H1524" s="447"/>
      <c r="I1524" s="447"/>
      <c r="K1524" s="444" t="str">
        <f>IF(AND(L1464=L1466,L1463&gt;L1465),"southnorth","N.A. ")</f>
        <v xml:space="preserve">N.A. </v>
      </c>
      <c r="L1524" s="444" t="s">
        <v>132</v>
      </c>
    </row>
    <row r="1525" spans="1:20" s="444" customFormat="1" ht="12.3" x14ac:dyDescent="0.4">
      <c r="A1525" s="447"/>
      <c r="B1525" s="447"/>
      <c r="C1525" s="447"/>
      <c r="D1525" s="447"/>
      <c r="E1525" s="447"/>
      <c r="F1525" s="447"/>
      <c r="G1525" s="447"/>
      <c r="H1525" s="447"/>
      <c r="I1525" s="447"/>
    </row>
    <row r="1526" spans="1:20" s="444" customFormat="1" ht="12.3" x14ac:dyDescent="0.4">
      <c r="A1526" s="447"/>
      <c r="B1526" s="447"/>
      <c r="C1526" s="447"/>
      <c r="D1526" s="447"/>
      <c r="E1526" s="447"/>
      <c r="F1526" s="447"/>
      <c r="G1526" s="447"/>
      <c r="H1526" s="447"/>
      <c r="I1526" s="447"/>
    </row>
    <row r="1527" spans="1:20" s="444" customFormat="1" ht="15" x14ac:dyDescent="0.5">
      <c r="A1527" s="447"/>
      <c r="B1527" s="448" t="s">
        <v>187</v>
      </c>
      <c r="C1527" s="448" t="s">
        <v>186</v>
      </c>
      <c r="D1527" s="447"/>
      <c r="E1527" s="447"/>
      <c r="F1527" s="447"/>
      <c r="G1527" s="447"/>
      <c r="H1527" s="447"/>
      <c r="I1527" s="447"/>
      <c r="L1527" s="448" t="s">
        <v>187</v>
      </c>
      <c r="M1527" s="448" t="s">
        <v>186</v>
      </c>
      <c r="N1527" s="447" t="s">
        <v>521</v>
      </c>
      <c r="O1527" s="447"/>
      <c r="P1527" s="447"/>
      <c r="Q1527" s="447"/>
      <c r="R1527" s="447"/>
      <c r="S1527" s="447"/>
    </row>
    <row r="1528" spans="1:20" s="444" customFormat="1" ht="17.399999999999999" x14ac:dyDescent="0.55000000000000004">
      <c r="A1528" s="447"/>
      <c r="B1528" s="449" t="s">
        <v>185</v>
      </c>
      <c r="C1528" s="796" t="s">
        <v>606</v>
      </c>
      <c r="D1528" s="451"/>
      <c r="E1528" s="452"/>
      <c r="F1528" s="453" t="s">
        <v>183</v>
      </c>
      <c r="G1528" s="797" t="s">
        <v>488</v>
      </c>
      <c r="H1528" s="512"/>
      <c r="I1528" s="454"/>
      <c r="J1528" s="455"/>
      <c r="L1528" s="449" t="s">
        <v>185</v>
      </c>
      <c r="M1528" s="796" t="s">
        <v>184</v>
      </c>
      <c r="N1528" s="451"/>
      <c r="O1528" s="452"/>
      <c r="P1528" s="453" t="s">
        <v>183</v>
      </c>
      <c r="Q1528" s="797" t="s">
        <v>182</v>
      </c>
      <c r="R1528" s="512"/>
      <c r="S1528" s="454"/>
      <c r="T1528" s="455"/>
    </row>
    <row r="1529" spans="1:20" s="444" customFormat="1" ht="14.7" x14ac:dyDescent="0.6">
      <c r="A1529" s="447"/>
      <c r="B1529" s="158" t="s">
        <v>405</v>
      </c>
      <c r="C1529" s="1068" t="s">
        <v>214</v>
      </c>
      <c r="D1529" s="1069"/>
      <c r="E1529" s="458"/>
      <c r="F1529" s="157" t="s">
        <v>406</v>
      </c>
      <c r="G1529" s="1069" t="s">
        <v>214</v>
      </c>
      <c r="H1529" s="1069"/>
      <c r="I1529" s="1070"/>
      <c r="J1529" s="460"/>
      <c r="L1529" s="158" t="s">
        <v>503</v>
      </c>
      <c r="M1529" s="1068" t="s">
        <v>214</v>
      </c>
      <c r="N1529" s="1069"/>
      <c r="O1529" s="458"/>
      <c r="P1529" s="157" t="s">
        <v>504</v>
      </c>
      <c r="Q1529" s="1069" t="s">
        <v>520</v>
      </c>
      <c r="R1529" s="1069"/>
      <c r="S1529" s="1070"/>
      <c r="T1529" s="460"/>
    </row>
    <row r="1530" spans="1:20" s="444" customFormat="1" ht="14.7" x14ac:dyDescent="0.6">
      <c r="A1530" s="447"/>
      <c r="B1530" s="158" t="s">
        <v>407</v>
      </c>
      <c r="C1530" s="1071" t="s">
        <v>214</v>
      </c>
      <c r="D1530" s="1072"/>
      <c r="E1530" s="463"/>
      <c r="F1530" s="157" t="s">
        <v>408</v>
      </c>
      <c r="G1530" s="1072" t="s">
        <v>214</v>
      </c>
      <c r="H1530" s="1072"/>
      <c r="I1530" s="1073"/>
      <c r="L1530" s="158" t="s">
        <v>505</v>
      </c>
      <c r="M1530" s="1071" t="s">
        <v>214</v>
      </c>
      <c r="N1530" s="1072"/>
      <c r="O1530" s="463"/>
      <c r="P1530" s="157" t="s">
        <v>506</v>
      </c>
      <c r="Q1530" s="1072" t="s">
        <v>520</v>
      </c>
      <c r="R1530" s="1072"/>
      <c r="S1530" s="1073"/>
    </row>
    <row r="1531" spans="1:20" s="444" customFormat="1" ht="12.3" x14ac:dyDescent="0.4">
      <c r="A1531" s="447"/>
      <c r="B1531" s="464" t="s">
        <v>180</v>
      </c>
      <c r="C1531" s="465">
        <f>E1580</f>
        <v>0</v>
      </c>
      <c r="D1531" s="513"/>
      <c r="E1531" s="514"/>
      <c r="F1531" s="500"/>
      <c r="G1531" s="468"/>
      <c r="H1531" s="468"/>
      <c r="I1531" s="156" t="s">
        <v>179</v>
      </c>
      <c r="J1531" s="447"/>
      <c r="L1531" s="464" t="s">
        <v>180</v>
      </c>
      <c r="M1531" s="465">
        <f>O1580</f>
        <v>0</v>
      </c>
      <c r="N1531" s="513"/>
      <c r="O1531" s="514"/>
      <c r="P1531" s="500"/>
      <c r="Q1531" s="468"/>
      <c r="R1531" s="468"/>
      <c r="S1531" s="156" t="s">
        <v>179</v>
      </c>
      <c r="T1531" s="447"/>
    </row>
    <row r="1532" spans="1:20" s="444" customFormat="1" ht="14.7" x14ac:dyDescent="0.6">
      <c r="A1532" s="447"/>
      <c r="B1532" s="464" t="s">
        <v>409</v>
      </c>
      <c r="C1532" s="469">
        <f>I1592</f>
        <v>0</v>
      </c>
      <c r="D1532" s="470"/>
      <c r="E1532" s="471"/>
      <c r="F1532" s="501"/>
      <c r="G1532" s="472"/>
      <c r="H1532" s="473"/>
      <c r="J1532" s="474"/>
      <c r="L1532" s="464" t="s">
        <v>507</v>
      </c>
      <c r="M1532" s="469">
        <f>S1592</f>
        <v>0</v>
      </c>
      <c r="N1532" s="470"/>
      <c r="O1532" s="471"/>
      <c r="P1532" s="501"/>
      <c r="Q1532" s="472"/>
      <c r="R1532" s="473"/>
      <c r="T1532" s="474"/>
    </row>
    <row r="1533" spans="1:20" s="444" customFormat="1" ht="14.7" x14ac:dyDescent="0.6">
      <c r="A1533" s="447"/>
      <c r="B1533" s="475" t="s">
        <v>410</v>
      </c>
      <c r="C1533" s="476">
        <f>J1592</f>
        <v>0</v>
      </c>
      <c r="D1533" s="477"/>
      <c r="E1533" s="478"/>
      <c r="F1533" s="506">
        <f>IF(OR(C1536=0,C1538=0),0,C1531/1000)</f>
        <v>0</v>
      </c>
      <c r="G1533" s="447" t="s">
        <v>178</v>
      </c>
      <c r="H1533" s="447"/>
      <c r="L1533" s="475" t="s">
        <v>508</v>
      </c>
      <c r="M1533" s="476">
        <f>T1592</f>
        <v>0</v>
      </c>
      <c r="N1533" s="477"/>
      <c r="O1533" s="478"/>
      <c r="P1533" s="506">
        <f>IF(OR(M1536=0,M1538=0),0,M1531/1000)</f>
        <v>0</v>
      </c>
      <c r="Q1533" s="447" t="s">
        <v>178</v>
      </c>
      <c r="R1533" s="447"/>
    </row>
    <row r="1534" spans="1:20" s="444" customFormat="1" ht="12.3" x14ac:dyDescent="0.4">
      <c r="A1534" s="447"/>
      <c r="B1534" s="460"/>
      <c r="C1534" s="487"/>
      <c r="D1534" s="489"/>
      <c r="E1534" s="489"/>
      <c r="F1534" s="447"/>
      <c r="G1534" s="460"/>
      <c r="L1534" s="460"/>
      <c r="M1534" s="487"/>
      <c r="N1534" s="489"/>
      <c r="O1534" s="489"/>
      <c r="P1534" s="447"/>
      <c r="Q1534" s="460"/>
    </row>
    <row r="1535" spans="1:20" s="444" customFormat="1" ht="12.3" x14ac:dyDescent="0.4">
      <c r="A1535" s="447"/>
      <c r="B1535" s="447"/>
      <c r="C1535" s="503" t="s">
        <v>177</v>
      </c>
      <c r="D1535" s="504"/>
      <c r="E1535" s="503" t="s">
        <v>85</v>
      </c>
      <c r="F1535" s="447"/>
      <c r="G1535" s="460"/>
      <c r="H1535" s="460"/>
      <c r="I1535" s="447"/>
      <c r="L1535" s="447"/>
      <c r="M1535" s="503" t="s">
        <v>177</v>
      </c>
      <c r="N1535" s="504"/>
      <c r="O1535" s="503" t="s">
        <v>85</v>
      </c>
      <c r="P1535" s="447"/>
      <c r="Q1535" s="460"/>
      <c r="R1535" s="460"/>
      <c r="S1535" s="447"/>
    </row>
    <row r="1536" spans="1:20" s="444" customFormat="1" ht="14.7" x14ac:dyDescent="0.6">
      <c r="A1536" s="447"/>
      <c r="B1536" s="460" t="s">
        <v>411</v>
      </c>
      <c r="C1536" s="485">
        <f>DEGREES(E1536)</f>
        <v>0</v>
      </c>
      <c r="D1536" s="447"/>
      <c r="E1536" s="485">
        <f>RADIANS(B!A18+(B!B18/60))</f>
        <v>0</v>
      </c>
      <c r="F1536" s="447"/>
      <c r="G1536" s="460"/>
      <c r="H1536" s="460"/>
      <c r="I1536" s="447"/>
      <c r="L1536" s="460" t="s">
        <v>503</v>
      </c>
      <c r="M1536" s="485">
        <f>C1247</f>
        <v>0</v>
      </c>
      <c r="N1536" s="447"/>
      <c r="O1536" s="485">
        <f>RADIANS(M1536)</f>
        <v>0</v>
      </c>
      <c r="P1536" s="447"/>
      <c r="Q1536" s="460"/>
      <c r="R1536" s="460"/>
      <c r="S1536" s="447"/>
    </row>
    <row r="1537" spans="2:18" s="447" customFormat="1" ht="14.7" x14ac:dyDescent="0.6">
      <c r="B1537" s="460" t="s">
        <v>412</v>
      </c>
      <c r="C1537" s="485">
        <f>DEGREES(E1537)</f>
        <v>0</v>
      </c>
      <c r="E1537" s="485">
        <f>RADIANS(B!D18+(B!E18/60))</f>
        <v>0</v>
      </c>
      <c r="G1537" s="460"/>
      <c r="H1537" s="485"/>
      <c r="L1537" s="460" t="s">
        <v>505</v>
      </c>
      <c r="M1537" s="485">
        <f>C1248</f>
        <v>0</v>
      </c>
      <c r="O1537" s="485">
        <f>RADIANS(M1537)</f>
        <v>0</v>
      </c>
      <c r="Q1537" s="460"/>
      <c r="R1537" s="485"/>
    </row>
    <row r="1538" spans="2:18" s="447" customFormat="1" ht="14.7" x14ac:dyDescent="0.6">
      <c r="B1538" s="460" t="s">
        <v>413</v>
      </c>
      <c r="C1538" s="485">
        <f t="shared" ref="C1538:C1539" si="0">DEGREES(E1538)</f>
        <v>0</v>
      </c>
      <c r="E1538" s="485">
        <f>SUMMARY!L16</f>
        <v>0</v>
      </c>
      <c r="G1538" s="460"/>
      <c r="H1538" s="460"/>
      <c r="L1538" s="460" t="s">
        <v>504</v>
      </c>
      <c r="M1538" s="485">
        <f t="shared" ref="M1538:M1539" si="1">DEGREES(O1538)</f>
        <v>0</v>
      </c>
      <c r="O1538" s="485">
        <f>B!I12</f>
        <v>0</v>
      </c>
      <c r="Q1538" s="460"/>
      <c r="R1538" s="460"/>
    </row>
    <row r="1539" spans="2:18" s="447" customFormat="1" ht="14.7" x14ac:dyDescent="0.6">
      <c r="B1539" s="460" t="s">
        <v>414</v>
      </c>
      <c r="C1539" s="485">
        <f t="shared" si="0"/>
        <v>0</v>
      </c>
      <c r="E1539" s="485">
        <f>SUMMARY!L17</f>
        <v>0</v>
      </c>
      <c r="G1539" s="460"/>
      <c r="H1539" s="485"/>
      <c r="L1539" s="460" t="s">
        <v>506</v>
      </c>
      <c r="M1539" s="485">
        <f t="shared" si="1"/>
        <v>0</v>
      </c>
      <c r="O1539" s="485">
        <f>B!I13</f>
        <v>0</v>
      </c>
      <c r="Q1539" s="460"/>
      <c r="R1539" s="485"/>
    </row>
    <row r="1540" spans="2:18" s="447" customFormat="1" ht="12.3" x14ac:dyDescent="0.4">
      <c r="B1540" s="485"/>
      <c r="C1540" s="485"/>
      <c r="D1540" s="485"/>
      <c r="E1540" s="485"/>
      <c r="G1540" s="460"/>
      <c r="H1540" s="485"/>
      <c r="L1540" s="485"/>
      <c r="M1540" s="485"/>
      <c r="N1540" s="485"/>
      <c r="O1540" s="485"/>
      <c r="Q1540" s="460"/>
      <c r="R1540" s="485"/>
    </row>
    <row r="1541" spans="2:18" s="447" customFormat="1" ht="12.3" x14ac:dyDescent="0.4">
      <c r="B1541" s="460" t="s">
        <v>176</v>
      </c>
      <c r="C1541" s="487">
        <v>6378137</v>
      </c>
      <c r="D1541" s="488"/>
      <c r="E1541" s="489" t="s">
        <v>175</v>
      </c>
      <c r="F1541" s="485">
        <f>C1543+C1543*C1543</f>
        <v>3.3640520041011246E-3</v>
      </c>
      <c r="G1541" s="460"/>
      <c r="H1541" s="460"/>
      <c r="L1541" s="460" t="s">
        <v>176</v>
      </c>
      <c r="M1541" s="487">
        <v>6378137</v>
      </c>
      <c r="N1541" s="488"/>
      <c r="O1541" s="489" t="s">
        <v>175</v>
      </c>
      <c r="P1541" s="485">
        <f>M1543+M1543*M1543</f>
        <v>3.3640520041011246E-3</v>
      </c>
      <c r="Q1541" s="460"/>
      <c r="R1541" s="460"/>
    </row>
    <row r="1542" spans="2:18" s="447" customFormat="1" ht="12.3" x14ac:dyDescent="0.4">
      <c r="B1542" s="489" t="s">
        <v>174</v>
      </c>
      <c r="C1542" s="487">
        <f>C1541*(1-C1543)</f>
        <v>6356752.3142451793</v>
      </c>
      <c r="D1542" s="488"/>
      <c r="E1542" s="489" t="s">
        <v>173</v>
      </c>
      <c r="F1542" s="485">
        <f>F1541/2</f>
        <v>1.6820260020505623E-3</v>
      </c>
      <c r="G1542" s="460"/>
      <c r="H1542" s="460"/>
      <c r="L1542" s="489" t="s">
        <v>174</v>
      </c>
      <c r="M1542" s="487">
        <f>M1541*(1-M1543)</f>
        <v>6356752.3142451793</v>
      </c>
      <c r="N1542" s="488"/>
      <c r="O1542" s="489" t="s">
        <v>173</v>
      </c>
      <c r="P1542" s="485">
        <f>P1541/2</f>
        <v>1.6820260020505623E-3</v>
      </c>
      <c r="Q1542" s="460"/>
      <c r="R1542" s="460"/>
    </row>
    <row r="1543" spans="2:18" s="447" customFormat="1" ht="12.3" x14ac:dyDescent="0.4">
      <c r="B1543" s="489" t="s">
        <v>172</v>
      </c>
      <c r="C1543" s="485">
        <v>3.3528106647474801E-3</v>
      </c>
      <c r="D1543" s="489"/>
      <c r="E1543" s="489" t="s">
        <v>171</v>
      </c>
      <c r="F1543" s="485">
        <f>C1543*C1543/2</f>
        <v>5.6206696768222199E-6</v>
      </c>
      <c r="G1543" s="460"/>
      <c r="H1543" s="460"/>
      <c r="L1543" s="489" t="s">
        <v>172</v>
      </c>
      <c r="M1543" s="485">
        <v>3.3528106647474801E-3</v>
      </c>
      <c r="N1543" s="489"/>
      <c r="O1543" s="489" t="s">
        <v>171</v>
      </c>
      <c r="P1543" s="485">
        <f>M1543*M1543/2</f>
        <v>5.6206696768222199E-6</v>
      </c>
      <c r="Q1543" s="460"/>
      <c r="R1543" s="460"/>
    </row>
    <row r="1544" spans="2:18" s="447" customFormat="1" ht="12.3" x14ac:dyDescent="0.4">
      <c r="B1544" s="460" t="s">
        <v>415</v>
      </c>
      <c r="C1544" s="485">
        <f>E1539-E1537</f>
        <v>0</v>
      </c>
      <c r="E1544" s="447" t="s">
        <v>170</v>
      </c>
      <c r="F1544" s="485">
        <f>C1543*C1543/8</f>
        <v>1.405167419205555E-6</v>
      </c>
      <c r="G1544" s="460"/>
      <c r="H1544" s="460"/>
      <c r="L1544" s="460" t="s">
        <v>509</v>
      </c>
      <c r="M1544" s="485">
        <f>O1539-O1537</f>
        <v>0</v>
      </c>
      <c r="O1544" s="447" t="s">
        <v>170</v>
      </c>
      <c r="P1544" s="485">
        <f>M1543*M1543/8</f>
        <v>1.405167419205555E-6</v>
      </c>
      <c r="Q1544" s="460"/>
      <c r="R1544" s="460"/>
    </row>
    <row r="1545" spans="2:18" s="447" customFormat="1" ht="12.3" x14ac:dyDescent="0.4">
      <c r="E1545" s="489" t="s">
        <v>169</v>
      </c>
      <c r="F1545" s="485">
        <f>C1543*C1543/16</f>
        <v>7.0258370960277749E-7</v>
      </c>
      <c r="G1545" s="460"/>
      <c r="H1545" s="460"/>
      <c r="O1545" s="489" t="s">
        <v>169</v>
      </c>
      <c r="P1545" s="485">
        <f>M1543*M1543/16</f>
        <v>7.0258370960277749E-7</v>
      </c>
      <c r="Q1545" s="460"/>
      <c r="R1545" s="460"/>
    </row>
    <row r="1546" spans="2:18" s="447" customFormat="1" ht="12.3" x14ac:dyDescent="0.4">
      <c r="B1546" s="447" t="s">
        <v>168</v>
      </c>
      <c r="C1546" s="490">
        <f>(1-C1543)*TAN(E1536)</f>
        <v>0</v>
      </c>
      <c r="E1546" s="489"/>
      <c r="F1546" s="460"/>
      <c r="G1546" s="460"/>
      <c r="H1546" s="460"/>
      <c r="L1546" s="447" t="s">
        <v>168</v>
      </c>
      <c r="M1546" s="490">
        <f>(1-M1543)*TAN(O1536)</f>
        <v>0</v>
      </c>
      <c r="O1546" s="489"/>
      <c r="P1546" s="460"/>
      <c r="Q1546" s="460"/>
      <c r="R1546" s="460"/>
    </row>
    <row r="1547" spans="2:18" s="447" customFormat="1" ht="12.3" x14ac:dyDescent="0.4">
      <c r="B1547" s="460" t="s">
        <v>106</v>
      </c>
      <c r="C1547" s="485">
        <f>ATAN(C1546)</f>
        <v>0</v>
      </c>
      <c r="D1547" s="489"/>
      <c r="E1547" s="155"/>
      <c r="F1547" s="485"/>
      <c r="G1547" s="460"/>
      <c r="H1547" s="460"/>
      <c r="L1547" s="460" t="s">
        <v>106</v>
      </c>
      <c r="M1547" s="485">
        <f>ATAN(M1546)</f>
        <v>0</v>
      </c>
      <c r="N1547" s="489"/>
      <c r="O1547" s="155"/>
      <c r="P1547" s="485"/>
      <c r="Q1547" s="460"/>
      <c r="R1547" s="460"/>
    </row>
    <row r="1548" spans="2:18" s="447" customFormat="1" ht="12.3" x14ac:dyDescent="0.4">
      <c r="B1548" s="460" t="s">
        <v>167</v>
      </c>
      <c r="C1548" s="485">
        <f>SIN(C1547)</f>
        <v>0</v>
      </c>
      <c r="D1548" s="489"/>
      <c r="E1548" s="148"/>
      <c r="F1548" s="485"/>
      <c r="G1548" s="460"/>
      <c r="H1548" s="460"/>
      <c r="L1548" s="460" t="s">
        <v>167</v>
      </c>
      <c r="M1548" s="485">
        <f>SIN(M1547)</f>
        <v>0</v>
      </c>
      <c r="N1548" s="489"/>
      <c r="O1548" s="148"/>
      <c r="P1548" s="485"/>
      <c r="Q1548" s="460"/>
      <c r="R1548" s="460"/>
    </row>
    <row r="1549" spans="2:18" s="447" customFormat="1" ht="12.3" x14ac:dyDescent="0.4">
      <c r="B1549" s="460" t="s">
        <v>166</v>
      </c>
      <c r="C1549" s="485">
        <f>COS(C1547)</f>
        <v>1</v>
      </c>
      <c r="D1549" s="489"/>
      <c r="E1549" s="460"/>
      <c r="F1549" s="485"/>
      <c r="G1549" s="460"/>
      <c r="H1549" s="460"/>
      <c r="L1549" s="460" t="s">
        <v>166</v>
      </c>
      <c r="M1549" s="485">
        <f>COS(M1547)</f>
        <v>1</v>
      </c>
      <c r="N1549" s="489"/>
      <c r="O1549" s="460"/>
      <c r="P1549" s="485"/>
      <c r="Q1549" s="460"/>
      <c r="R1549" s="460"/>
    </row>
    <row r="1550" spans="2:18" s="447" customFormat="1" ht="12.3" x14ac:dyDescent="0.4">
      <c r="B1550" s="460" t="s">
        <v>165</v>
      </c>
      <c r="C1550" s="491">
        <f>(1-C1543)*TAN(E1538)</f>
        <v>0</v>
      </c>
      <c r="D1550" s="489"/>
      <c r="E1550" s="460"/>
      <c r="F1550" s="485"/>
      <c r="G1550" s="460"/>
      <c r="H1550" s="460"/>
      <c r="L1550" s="460" t="s">
        <v>165</v>
      </c>
      <c r="M1550" s="491">
        <f>(1-M1543)*TAN(O1538)</f>
        <v>0</v>
      </c>
      <c r="N1550" s="489"/>
      <c r="O1550" s="460"/>
      <c r="P1550" s="485"/>
      <c r="Q1550" s="460"/>
      <c r="R1550" s="460"/>
    </row>
    <row r="1551" spans="2:18" s="447" customFormat="1" ht="12.3" x14ac:dyDescent="0.4">
      <c r="B1551" s="460" t="s">
        <v>164</v>
      </c>
      <c r="C1551" s="485">
        <f>ATAN(C1550)</f>
        <v>0</v>
      </c>
      <c r="D1551" s="489"/>
      <c r="E1551" s="460"/>
      <c r="F1551" s="485"/>
      <c r="G1551" s="460"/>
      <c r="H1551" s="460"/>
      <c r="L1551" s="460" t="s">
        <v>164</v>
      </c>
      <c r="M1551" s="485">
        <f>ATAN(M1550)</f>
        <v>0</v>
      </c>
      <c r="N1551" s="489"/>
      <c r="O1551" s="460"/>
      <c r="P1551" s="485"/>
      <c r="Q1551" s="460"/>
      <c r="R1551" s="460"/>
    </row>
    <row r="1552" spans="2:18" s="447" customFormat="1" ht="12.3" x14ac:dyDescent="0.4">
      <c r="B1552" s="460" t="s">
        <v>163</v>
      </c>
      <c r="C1552" s="485">
        <f>SIN(C1551)</f>
        <v>0</v>
      </c>
      <c r="D1552" s="489"/>
      <c r="E1552" s="460"/>
      <c r="F1552" s="485"/>
      <c r="G1552" s="460"/>
      <c r="H1552" s="460"/>
      <c r="L1552" s="460" t="s">
        <v>163</v>
      </c>
      <c r="M1552" s="485">
        <f>SIN(M1551)</f>
        <v>0</v>
      </c>
      <c r="N1552" s="489"/>
      <c r="O1552" s="460"/>
      <c r="P1552" s="485"/>
      <c r="Q1552" s="460"/>
      <c r="R1552" s="460"/>
    </row>
    <row r="1553" spans="1:19" s="444" customFormat="1" ht="12.3" x14ac:dyDescent="0.4">
      <c r="A1553" s="447"/>
      <c r="B1553" s="460" t="s">
        <v>162</v>
      </c>
      <c r="C1553" s="485">
        <f>COS(C1551)</f>
        <v>1</v>
      </c>
      <c r="D1553" s="489"/>
      <c r="E1553" s="460"/>
      <c r="F1553" s="485"/>
      <c r="G1553" s="460"/>
      <c r="H1553" s="460"/>
      <c r="I1553" s="447"/>
      <c r="L1553" s="460" t="s">
        <v>162</v>
      </c>
      <c r="M1553" s="485">
        <f>COS(M1551)</f>
        <v>1</v>
      </c>
      <c r="N1553" s="489"/>
      <c r="O1553" s="460"/>
      <c r="P1553" s="485"/>
      <c r="Q1553" s="460"/>
      <c r="R1553" s="460"/>
      <c r="S1553" s="447"/>
    </row>
    <row r="1554" spans="1:19" s="444" customFormat="1" ht="12.3" x14ac:dyDescent="0.4">
      <c r="A1554" s="447"/>
      <c r="B1554" s="147" t="s">
        <v>161</v>
      </c>
      <c r="C1554" s="485"/>
      <c r="D1554" s="489"/>
      <c r="E1554" s="460"/>
      <c r="F1554" s="485"/>
      <c r="G1554" s="460"/>
      <c r="H1554" s="460"/>
      <c r="I1554" s="447"/>
      <c r="L1554" s="147" t="s">
        <v>161</v>
      </c>
      <c r="M1554" s="485"/>
      <c r="N1554" s="489"/>
      <c r="O1554" s="460"/>
      <c r="P1554" s="485"/>
      <c r="Q1554" s="460"/>
      <c r="R1554" s="460"/>
      <c r="S1554" s="447"/>
    </row>
    <row r="1555" spans="1:19" s="444" customFormat="1" ht="12.3" x14ac:dyDescent="0.4">
      <c r="A1555" s="447"/>
      <c r="B1555" s="148" t="s">
        <v>144</v>
      </c>
      <c r="C1555" s="485">
        <f>C1544</f>
        <v>0</v>
      </c>
      <c r="D1555" s="489"/>
      <c r="E1555" s="485">
        <f ca="1">E1578</f>
        <v>0</v>
      </c>
      <c r="F1555" s="485"/>
      <c r="G1555" s="460"/>
      <c r="H1555" s="460"/>
      <c r="I1555" s="447"/>
      <c r="L1555" s="148" t="s">
        <v>144</v>
      </c>
      <c r="M1555" s="485">
        <f>M1544</f>
        <v>0</v>
      </c>
      <c r="N1555" s="489"/>
      <c r="O1555" s="485">
        <f ca="1">O1578</f>
        <v>0</v>
      </c>
      <c r="P1555" s="485"/>
      <c r="Q1555" s="460"/>
      <c r="R1555" s="460"/>
      <c r="S1555" s="447"/>
    </row>
    <row r="1556" spans="1:19" s="444" customFormat="1" ht="12.3" x14ac:dyDescent="0.4">
      <c r="A1556" s="447"/>
      <c r="B1556" s="147" t="s">
        <v>160</v>
      </c>
      <c r="C1556" s="485"/>
      <c r="D1556" s="489"/>
      <c r="E1556" s="460"/>
      <c r="F1556" s="485"/>
      <c r="G1556" s="460"/>
      <c r="H1556" s="460"/>
      <c r="I1556" s="447"/>
      <c r="L1556" s="147" t="s">
        <v>160</v>
      </c>
      <c r="M1556" s="485"/>
      <c r="N1556" s="489"/>
      <c r="O1556" s="460"/>
      <c r="P1556" s="485"/>
      <c r="Q1556" s="460"/>
      <c r="R1556" s="460"/>
      <c r="S1556" s="447"/>
    </row>
    <row r="1557" spans="1:19" s="444" customFormat="1" ht="13.8" x14ac:dyDescent="0.4">
      <c r="A1557" s="447"/>
      <c r="B1557" s="460" t="s">
        <v>159</v>
      </c>
      <c r="C1557" s="485">
        <f>(C1553*SIN(C1555)*C1553*SIN(C1555))+(C1549*C1552-C1548*C1553*COS(C1555))*(C1549*C1552-C1548*C1553*COS(C1555))</f>
        <v>0</v>
      </c>
      <c r="D1557" s="489"/>
      <c r="E1557" s="485">
        <f ca="1">(C1553*SIN(E1555)*C1553*SIN(E1555))+(C1549*C1552-C1548*C1553*COS(E1555))*(C1549*C1552-C1548*C1553*COS(E1555))</f>
        <v>0</v>
      </c>
      <c r="F1557" s="485"/>
      <c r="G1557" s="460"/>
      <c r="H1557" s="460"/>
      <c r="I1557" s="447"/>
      <c r="L1557" s="460" t="s">
        <v>510</v>
      </c>
      <c r="M1557" s="485">
        <f>(M1553*SIN(M1555)*M1553*SIN(M1555))+(M1549*M1552-M1548*M1553*COS(M1555))*(M1549*M1552-M1548*M1553*COS(M1555))</f>
        <v>0</v>
      </c>
      <c r="N1557" s="489"/>
      <c r="O1557" s="485">
        <f ca="1">(M1553*SIN(O1555)*M1553*SIN(O1555))+(M1549*M1552-M1548*M1553*COS(O1555))*(M1549*M1552-M1548*M1553*COS(O1555))</f>
        <v>0</v>
      </c>
      <c r="P1557" s="485"/>
      <c r="Q1557" s="460"/>
      <c r="R1557" s="460"/>
      <c r="S1557" s="447"/>
    </row>
    <row r="1558" spans="1:19" s="444" customFormat="1" ht="12.3" x14ac:dyDescent="0.4">
      <c r="A1558" s="447"/>
      <c r="B1558" s="154" t="s">
        <v>158</v>
      </c>
      <c r="C1558" s="485"/>
      <c r="D1558" s="489"/>
      <c r="E1558" s="489"/>
      <c r="F1558" s="485"/>
      <c r="G1558" s="460"/>
      <c r="H1558" s="460"/>
      <c r="I1558" s="447"/>
      <c r="L1558" s="154" t="s">
        <v>158</v>
      </c>
      <c r="M1558" s="485"/>
      <c r="N1558" s="489"/>
      <c r="O1558" s="489"/>
      <c r="P1558" s="485"/>
      <c r="Q1558" s="460"/>
      <c r="R1558" s="460"/>
      <c r="S1558" s="447"/>
    </row>
    <row r="1559" spans="1:19" s="444" customFormat="1" ht="12.3" x14ac:dyDescent="0.4">
      <c r="A1559" s="447"/>
      <c r="B1559" s="447" t="s">
        <v>157</v>
      </c>
      <c r="C1559" s="447">
        <f>(C1548*C1552)+(C1549*C1553*COS(C1555))</f>
        <v>1</v>
      </c>
      <c r="D1559" s="447"/>
      <c r="E1559" s="447">
        <f ca="1">(C1548*C1552)+(C1549*C1553*COS(E1555))</f>
        <v>1</v>
      </c>
      <c r="F1559" s="447"/>
      <c r="G1559" s="460"/>
      <c r="H1559" s="460"/>
      <c r="I1559" s="447"/>
      <c r="L1559" s="447" t="s">
        <v>511</v>
      </c>
      <c r="M1559" s="447">
        <f>(M1548*M1552)+(M1549*M1553*COS(M1555))</f>
        <v>1</v>
      </c>
      <c r="N1559" s="447"/>
      <c r="O1559" s="447">
        <f ca="1">(M1548*M1552)+(M1549*M1553*COS(O1555))</f>
        <v>1</v>
      </c>
      <c r="P1559" s="447"/>
      <c r="Q1559" s="460"/>
      <c r="R1559" s="460"/>
      <c r="S1559" s="447"/>
    </row>
    <row r="1560" spans="1:19" s="444" customFormat="1" ht="12.3" x14ac:dyDescent="0.4">
      <c r="A1560" s="447"/>
      <c r="B1560" s="153" t="s">
        <v>156</v>
      </c>
      <c r="C1560" s="489"/>
      <c r="D1560" s="489"/>
      <c r="E1560" s="489"/>
      <c r="F1560" s="460"/>
      <c r="G1560" s="460"/>
      <c r="H1560" s="460"/>
      <c r="I1560" s="447"/>
      <c r="L1560" s="153" t="s">
        <v>156</v>
      </c>
      <c r="M1560" s="489"/>
      <c r="N1560" s="489"/>
      <c r="O1560" s="489"/>
      <c r="P1560" s="460"/>
      <c r="Q1560" s="460"/>
      <c r="R1560" s="460"/>
      <c r="S1560" s="447"/>
    </row>
    <row r="1561" spans="1:19" s="444" customFormat="1" ht="12.3" x14ac:dyDescent="0.4">
      <c r="A1561" s="447"/>
      <c r="B1561" s="460" t="s">
        <v>155</v>
      </c>
      <c r="C1561" s="485">
        <f>SQRT(C1557)/C1559</f>
        <v>0</v>
      </c>
      <c r="D1561" s="489"/>
      <c r="E1561" s="485">
        <f ca="1">SQRT(E1557)/E1559</f>
        <v>0</v>
      </c>
      <c r="F1561" s="485"/>
      <c r="G1561" s="447"/>
      <c r="H1561" s="447"/>
      <c r="I1561" s="492"/>
      <c r="L1561" s="460" t="s">
        <v>512</v>
      </c>
      <c r="M1561" s="485">
        <f>SQRT(M1557)/M1559</f>
        <v>0</v>
      </c>
      <c r="N1561" s="489"/>
      <c r="O1561" s="485">
        <f ca="1">SQRT(O1557)/O1559</f>
        <v>0</v>
      </c>
      <c r="P1561" s="485"/>
      <c r="Q1561" s="447"/>
      <c r="R1561" s="447"/>
      <c r="S1561" s="492"/>
    </row>
    <row r="1562" spans="1:19" s="444" customFormat="1" ht="12.3" x14ac:dyDescent="0.4">
      <c r="A1562" s="447"/>
      <c r="B1562" s="148" t="s">
        <v>142</v>
      </c>
      <c r="C1562" s="485">
        <f>ATAN(C1561)</f>
        <v>0</v>
      </c>
      <c r="D1562" s="489"/>
      <c r="E1562" s="485">
        <f ca="1">IF(ATAN(E1561)&lt;0,ATAN(E1561)+PI(),ATAN(E1561))</f>
        <v>0</v>
      </c>
      <c r="F1562" s="485"/>
      <c r="G1562" s="447"/>
      <c r="H1562" s="447"/>
      <c r="I1562" s="492"/>
      <c r="L1562" s="148" t="s">
        <v>142</v>
      </c>
      <c r="M1562" s="485">
        <f>ATAN(M1561)</f>
        <v>0</v>
      </c>
      <c r="N1562" s="489"/>
      <c r="O1562" s="485">
        <f ca="1">IF(ATAN(O1561)&lt;0,ATAN(O1561)+PI(),ATAN(O1561))</f>
        <v>0</v>
      </c>
      <c r="P1562" s="485"/>
      <c r="Q1562" s="447"/>
      <c r="R1562" s="447"/>
      <c r="S1562" s="492"/>
    </row>
    <row r="1563" spans="1:19" s="444" customFormat="1" ht="12.3" x14ac:dyDescent="0.4">
      <c r="A1563" s="447"/>
      <c r="B1563" s="147" t="s">
        <v>154</v>
      </c>
      <c r="C1563" s="485"/>
      <c r="D1563" s="489"/>
      <c r="E1563" s="460"/>
      <c r="F1563" s="485"/>
      <c r="G1563" s="447"/>
      <c r="H1563" s="447"/>
      <c r="I1563" s="492"/>
      <c r="L1563" s="147" t="s">
        <v>154</v>
      </c>
      <c r="M1563" s="485"/>
      <c r="N1563" s="489"/>
      <c r="O1563" s="460"/>
      <c r="P1563" s="485"/>
      <c r="Q1563" s="447"/>
      <c r="R1563" s="447"/>
      <c r="S1563" s="492"/>
    </row>
    <row r="1564" spans="1:19" s="444" customFormat="1" ht="12.3" x14ac:dyDescent="0.4">
      <c r="A1564" s="447"/>
      <c r="B1564" s="460" t="s">
        <v>153</v>
      </c>
      <c r="C1564" s="485">
        <f>IF(C1557=0,0,C1549*C1553*SIN(C1555)/SQRT(C1557))</f>
        <v>0</v>
      </c>
      <c r="D1564" s="489"/>
      <c r="E1564" s="485">
        <f ca="1">IF(E1557=0,0,C1549*C1553*SIN(E1555)/SQRT(E1557))</f>
        <v>0</v>
      </c>
      <c r="F1564" s="485"/>
      <c r="G1564" s="460"/>
      <c r="H1564" s="460"/>
      <c r="I1564" s="492"/>
      <c r="L1564" s="460" t="s">
        <v>513</v>
      </c>
      <c r="M1564" s="485">
        <f>IF(M1557=0,0,M1549*M1553*SIN(M1555)/SQRT(M1557))</f>
        <v>0</v>
      </c>
      <c r="N1564" s="489"/>
      <c r="O1564" s="485">
        <f ca="1">IF(O1557=0,0,M1549*M1553*SIN(O1555)/SQRT(O1557))</f>
        <v>0</v>
      </c>
      <c r="P1564" s="485"/>
      <c r="Q1564" s="460"/>
      <c r="R1564" s="460"/>
      <c r="S1564" s="492"/>
    </row>
    <row r="1565" spans="1:19" s="444" customFormat="1" ht="12.3" x14ac:dyDescent="0.4">
      <c r="A1565" s="447"/>
      <c r="B1565" s="147" t="s">
        <v>152</v>
      </c>
      <c r="C1565" s="485"/>
      <c r="D1565" s="489"/>
      <c r="E1565" s="489"/>
      <c r="F1565" s="485"/>
      <c r="G1565" s="460"/>
      <c r="H1565" s="460"/>
      <c r="I1565" s="447"/>
      <c r="L1565" s="147" t="s">
        <v>152</v>
      </c>
      <c r="M1565" s="485"/>
      <c r="N1565" s="489"/>
      <c r="O1565" s="489"/>
      <c r="P1565" s="485"/>
      <c r="Q1565" s="460"/>
      <c r="R1565" s="460"/>
      <c r="S1565" s="447"/>
    </row>
    <row r="1566" spans="1:19" s="444" customFormat="1" ht="16.2" x14ac:dyDescent="0.65">
      <c r="A1566" s="447"/>
      <c r="B1566" s="447" t="s">
        <v>416</v>
      </c>
      <c r="C1566" s="447">
        <f>IF((COS(ASIN(C1564))*COS(ASIN(C1564)))=0,0,C1559-2*C1548*C1552/(COS(ASIN(C1564))*COS(ASIN(C1564))))</f>
        <v>1</v>
      </c>
      <c r="D1566" s="489"/>
      <c r="E1566" s="447">
        <f ca="1">E1559-2*C1548*C1552/(COS(ASIN(E1564))*COS(ASIN(E1564)))</f>
        <v>1</v>
      </c>
      <c r="F1566" s="460"/>
      <c r="G1566" s="460"/>
      <c r="H1566" s="460"/>
      <c r="I1566" s="447"/>
      <c r="L1566" s="447" t="s">
        <v>514</v>
      </c>
      <c r="M1566" s="447">
        <f>IF((COS(ASIN(M1564))*COS(ASIN(M1564)))=0,0,M1559-2*M1548*M1552/(COS(ASIN(M1564))*COS(ASIN(M1564))))</f>
        <v>1</v>
      </c>
      <c r="N1566" s="489"/>
      <c r="O1566" s="447">
        <f ca="1">O1559-2*M1548*M1552/(COS(ASIN(O1564))*COS(ASIN(O1564)))</f>
        <v>1</v>
      </c>
      <c r="P1566" s="460"/>
      <c r="Q1566" s="460"/>
      <c r="R1566" s="460"/>
      <c r="S1566" s="447"/>
    </row>
    <row r="1567" spans="1:19" s="444" customFormat="1" ht="15.9" x14ac:dyDescent="0.45">
      <c r="A1567" s="447"/>
      <c r="B1567" s="447" t="s">
        <v>151</v>
      </c>
      <c r="C1567" s="487">
        <f>COS(ASIN(C1564))*COS(ASIN(C1564))*(C1541*C1541-C1542*C1542)/(C1542*C1542)</f>
        <v>6.7394967422764341E-3</v>
      </c>
      <c r="D1567" s="489"/>
      <c r="E1567" s="487">
        <f ca="1">COS(ASIN(E1564))*COS(ASIN(E1564))*(C1541*C1541-C1542*C1542)/(C1542*C1542)</f>
        <v>6.7394967422764341E-3</v>
      </c>
      <c r="F1567" s="447"/>
      <c r="G1567" s="460"/>
      <c r="H1567" s="460"/>
      <c r="I1567" s="447"/>
      <c r="L1567" s="447" t="s">
        <v>515</v>
      </c>
      <c r="M1567" s="487">
        <f>COS(ASIN(M1564))*COS(ASIN(M1564))*(M1541*M1541-M1542*M1542)/(M1542*M1542)</f>
        <v>6.7394967422764341E-3</v>
      </c>
      <c r="N1567" s="489"/>
      <c r="O1567" s="487">
        <f ca="1">COS(ASIN(O1564))*COS(ASIN(O1564))*(M1541*M1541-M1542*M1542)/(M1542*M1542)</f>
        <v>6.7394967422764341E-3</v>
      </c>
      <c r="P1567" s="447"/>
      <c r="Q1567" s="460"/>
      <c r="R1567" s="460"/>
      <c r="S1567" s="447"/>
    </row>
    <row r="1568" spans="1:19" s="444" customFormat="1" ht="12.3" x14ac:dyDescent="0.4">
      <c r="A1568" s="447"/>
      <c r="B1568" s="152" t="s">
        <v>150</v>
      </c>
      <c r="C1568" s="485"/>
      <c r="D1568" s="489"/>
      <c r="E1568" s="460"/>
      <c r="F1568" s="485"/>
      <c r="G1568" s="460"/>
      <c r="H1568" s="460"/>
      <c r="I1568" s="447"/>
      <c r="L1568" s="152" t="s">
        <v>150</v>
      </c>
      <c r="M1568" s="485"/>
      <c r="N1568" s="489"/>
      <c r="O1568" s="460"/>
      <c r="P1568" s="485"/>
      <c r="Q1568" s="460"/>
      <c r="R1568" s="460"/>
      <c r="S1568" s="447"/>
    </row>
    <row r="1569" spans="1:19" s="444" customFormat="1" ht="12.3" x14ac:dyDescent="0.4">
      <c r="A1569" s="447"/>
      <c r="B1569" s="460" t="s">
        <v>9</v>
      </c>
      <c r="C1569" s="485">
        <f>1+C1567/16384*(4096+C1567*(-768+C1567*(320-175*C1567)))</f>
        <v>1.0016827510415456</v>
      </c>
      <c r="D1569" s="489"/>
      <c r="E1569" s="485">
        <f ca="1">1+E1567/16384*(4096+E1567*(-768+E1567*(320-175*E1567)))</f>
        <v>1.0016827510415456</v>
      </c>
      <c r="F1569" s="485"/>
      <c r="G1569" s="460"/>
      <c r="H1569" s="460"/>
      <c r="I1569" s="447"/>
      <c r="L1569" s="460" t="s">
        <v>9</v>
      </c>
      <c r="M1569" s="485">
        <f>1+M1567/16384*(4096+M1567*(-768+M1567*(320-175*M1567)))</f>
        <v>1.0016827510415456</v>
      </c>
      <c r="N1569" s="489"/>
      <c r="O1569" s="485">
        <f ca="1">1+O1567/16384*(4096+O1567*(-768+O1567*(320-175*O1567)))</f>
        <v>1.0016827510415456</v>
      </c>
      <c r="P1569" s="485"/>
      <c r="Q1569" s="460"/>
      <c r="R1569" s="460"/>
      <c r="S1569" s="447"/>
    </row>
    <row r="1570" spans="1:19" s="444" customFormat="1" ht="12.3" x14ac:dyDescent="0.4">
      <c r="A1570" s="447"/>
      <c r="B1570" s="147" t="s">
        <v>149</v>
      </c>
      <c r="C1570" s="485"/>
      <c r="D1570" s="489"/>
      <c r="E1570" s="460"/>
      <c r="F1570" s="485"/>
      <c r="G1570" s="460"/>
      <c r="H1570" s="460"/>
      <c r="I1570" s="490"/>
      <c r="L1570" s="147" t="s">
        <v>149</v>
      </c>
      <c r="M1570" s="485"/>
      <c r="N1570" s="489"/>
      <c r="O1570" s="460"/>
      <c r="P1570" s="485"/>
      <c r="Q1570" s="460"/>
      <c r="R1570" s="460"/>
      <c r="S1570" s="490"/>
    </row>
    <row r="1571" spans="1:19" s="444" customFormat="1" ht="12.3" x14ac:dyDescent="0.4">
      <c r="A1571" s="447"/>
      <c r="B1571" s="460" t="s">
        <v>10</v>
      </c>
      <c r="C1571" s="485">
        <f>C1567/1024*(256+C1567*(-128+C1567*(74-47*C1567)))</f>
        <v>1.6792186103152505E-3</v>
      </c>
      <c r="D1571" s="489"/>
      <c r="E1571" s="485">
        <f ca="1">E1567/1024*(256+E1567*(-128+E1567*(74-47*E1567)))</f>
        <v>1.6792186103152505E-3</v>
      </c>
      <c r="F1571" s="485"/>
      <c r="G1571" s="460"/>
      <c r="H1571" s="460"/>
      <c r="I1571" s="447"/>
      <c r="L1571" s="460" t="s">
        <v>10</v>
      </c>
      <c r="M1571" s="485">
        <f>M1567/1024*(256+M1567*(-128+M1567*(74-47*M1567)))</f>
        <v>1.6792186103152505E-3</v>
      </c>
      <c r="N1571" s="489"/>
      <c r="O1571" s="485">
        <f ca="1">O1567/1024*(256+O1567*(-128+O1567*(74-47*O1567)))</f>
        <v>1.6792186103152505E-3</v>
      </c>
      <c r="P1571" s="485"/>
      <c r="Q1571" s="460"/>
      <c r="R1571" s="460"/>
      <c r="S1571" s="447"/>
    </row>
    <row r="1572" spans="1:19" s="444" customFormat="1" ht="12.3" x14ac:dyDescent="0.4">
      <c r="A1572" s="447"/>
      <c r="B1572" s="147" t="s">
        <v>148</v>
      </c>
      <c r="C1572" s="485"/>
      <c r="D1572" s="489"/>
      <c r="E1572" s="460"/>
      <c r="F1572" s="485"/>
      <c r="G1572" s="460"/>
      <c r="H1572" s="460"/>
      <c r="I1572" s="447"/>
      <c r="L1572" s="147" t="s">
        <v>148</v>
      </c>
      <c r="M1572" s="485"/>
      <c r="N1572" s="489"/>
      <c r="O1572" s="460"/>
      <c r="P1572" s="485"/>
      <c r="Q1572" s="460"/>
      <c r="R1572" s="460"/>
      <c r="S1572" s="447"/>
    </row>
    <row r="1573" spans="1:19" s="444" customFormat="1" ht="12.3" x14ac:dyDescent="0.4">
      <c r="A1573" s="447"/>
      <c r="B1573" s="148" t="s">
        <v>147</v>
      </c>
      <c r="C1573" s="485">
        <f>C1571*SQRT(C1557)*(C1566+C1571/4*(C1559*(-1+2*C1566*C1566)-C1571/6*C1566*(-3+4*C1557)*(-3+4*C1566*C1566)))</f>
        <v>0</v>
      </c>
      <c r="D1573" s="489"/>
      <c r="E1573" s="485">
        <f ca="1">E1571*SQRT(E1557)*(E1566+E1571/4*(E1559*(-1+2*E1566*E1566)-E1571/6*E1566*(-3+4*E1557)*(-3+4*E1566*E1566)))</f>
        <v>0</v>
      </c>
      <c r="F1573" s="485"/>
      <c r="G1573" s="460"/>
      <c r="H1573" s="460"/>
      <c r="I1573" s="447"/>
      <c r="L1573" s="148" t="s">
        <v>147</v>
      </c>
      <c r="M1573" s="485">
        <f>M1571*SQRT(M1557)*(M1566+M1571/4*(M1559*(-1+2*M1566*M1566)-M1571/6*M1566*(-3+4*M1557)*(-3+4*M1566*M1566)))</f>
        <v>0</v>
      </c>
      <c r="N1573" s="489"/>
      <c r="O1573" s="485">
        <f ca="1">O1571*SQRT(O1557)*(O1566+O1571/4*(O1559*(-1+2*O1566*O1566)-O1571/6*O1566*(-3+4*O1557)*(-3+4*O1566*O1566)))</f>
        <v>0</v>
      </c>
      <c r="P1573" s="485"/>
      <c r="Q1573" s="460"/>
      <c r="R1573" s="460"/>
      <c r="S1573" s="447"/>
    </row>
    <row r="1574" spans="1:19" s="444" customFormat="1" ht="12.3" x14ac:dyDescent="0.4">
      <c r="A1574" s="447"/>
      <c r="B1574" s="460"/>
      <c r="C1574" s="485"/>
      <c r="D1574" s="489"/>
      <c r="E1574" s="460"/>
      <c r="F1574" s="485"/>
      <c r="G1574" s="460"/>
      <c r="H1574" s="460"/>
      <c r="I1574" s="447"/>
      <c r="L1574" s="460"/>
      <c r="M1574" s="485"/>
      <c r="N1574" s="489"/>
      <c r="O1574" s="460"/>
      <c r="P1574" s="485"/>
      <c r="Q1574" s="460"/>
      <c r="R1574" s="460"/>
      <c r="S1574" s="447"/>
    </row>
    <row r="1575" spans="1:19" s="444" customFormat="1" ht="12.3" x14ac:dyDescent="0.4">
      <c r="A1575" s="447"/>
      <c r="B1575" s="147" t="s">
        <v>146</v>
      </c>
      <c r="C1575" s="485"/>
      <c r="D1575" s="494"/>
      <c r="E1575" s="460"/>
      <c r="F1575" s="485"/>
      <c r="G1575" s="460"/>
      <c r="H1575" s="460"/>
      <c r="I1575" s="150"/>
      <c r="L1575" s="147" t="s">
        <v>146</v>
      </c>
      <c r="M1575" s="485"/>
      <c r="N1575" s="494"/>
      <c r="O1575" s="460"/>
      <c r="P1575" s="485"/>
      <c r="Q1575" s="460"/>
      <c r="R1575" s="460"/>
      <c r="S1575" s="150"/>
    </row>
    <row r="1576" spans="1:19" s="444" customFormat="1" ht="12.3" x14ac:dyDescent="0.4">
      <c r="A1576" s="447"/>
      <c r="B1576" s="460" t="s">
        <v>11</v>
      </c>
      <c r="C1576" s="485">
        <f>C1543/16*COS(ASIN(C1564))*COS(ASIN(C1564))*(4+C1543*(4-3*COS(ASIN(C1564))*COS(ASIN(C1564))))</f>
        <v>8.389052498964728E-4</v>
      </c>
      <c r="D1576" s="494"/>
      <c r="E1576" s="485">
        <f ca="1">C1543/16*COS(ASIN(E1564))*COS(ASIN(E1564))*(4+C1543*(4-3*COS(ASIN(E1564))*COS(ASIN(E1564))))</f>
        <v>8.389052498964728E-4</v>
      </c>
      <c r="F1576" s="485"/>
      <c r="G1576" s="460"/>
      <c r="H1576" s="460"/>
      <c r="I1576" s="150"/>
      <c r="L1576" s="460" t="s">
        <v>11</v>
      </c>
      <c r="M1576" s="485">
        <f>M1543/16*COS(ASIN(M1564))*COS(ASIN(M1564))*(4+M1543*(4-3*COS(ASIN(M1564))*COS(ASIN(M1564))))</f>
        <v>8.389052498964728E-4</v>
      </c>
      <c r="N1576" s="494"/>
      <c r="O1576" s="485">
        <f ca="1">M1543/16*COS(ASIN(O1564))*COS(ASIN(O1564))*(4+M1543*(4-3*COS(ASIN(O1564))*COS(ASIN(O1564))))</f>
        <v>8.389052498964728E-4</v>
      </c>
      <c r="P1576" s="485"/>
      <c r="Q1576" s="460"/>
      <c r="R1576" s="460"/>
      <c r="S1576" s="150"/>
    </row>
    <row r="1577" spans="1:19" s="444" customFormat="1" ht="12.3" x14ac:dyDescent="0.4">
      <c r="A1577" s="447"/>
      <c r="B1577" s="147" t="s">
        <v>145</v>
      </c>
      <c r="C1577" s="485"/>
      <c r="D1577" s="494"/>
      <c r="E1577" s="460"/>
      <c r="F1577" s="485"/>
      <c r="G1577" s="460"/>
      <c r="H1577" s="460"/>
      <c r="I1577" s="150"/>
      <c r="L1577" s="147" t="s">
        <v>145</v>
      </c>
      <c r="M1577" s="485"/>
      <c r="N1577" s="494"/>
      <c r="O1577" s="460"/>
      <c r="P1577" s="485"/>
      <c r="Q1577" s="460"/>
      <c r="R1577" s="460"/>
      <c r="S1577" s="150"/>
    </row>
    <row r="1578" spans="1:19" s="444" customFormat="1" ht="12.3" x14ac:dyDescent="0.4">
      <c r="A1578" s="447"/>
      <c r="B1578" s="151" t="s">
        <v>144</v>
      </c>
      <c r="C1578" s="485">
        <f>C1544+(1-C1576)*C1543*C1564*(ACOS(C1559)+C1576*SIN(ACOS(C1559))*(C1566+C1576*C1559*(-1+2*C1566*C1566)))</f>
        <v>0</v>
      </c>
      <c r="D1578" s="494"/>
      <c r="E1578" s="511">
        <f ca="1">C1544+(1-E1576)*C1543*E1564*(ACOS(E1559)+E1576*SIN(ACOS(E1559))*(E1566+E1576*E1559*(-1+2*E1566*E1566)))</f>
        <v>0</v>
      </c>
      <c r="F1578" s="485"/>
      <c r="G1578" s="460"/>
      <c r="H1578" s="460"/>
      <c r="I1578" s="150"/>
      <c r="L1578" s="151" t="s">
        <v>144</v>
      </c>
      <c r="M1578" s="485">
        <f>M1544+(1-M1576)*M1543*M1564*(ACOS(M1559)+M1576*SIN(ACOS(M1559))*(M1566+M1576*M1559*(-1+2*M1566*M1566)))</f>
        <v>0</v>
      </c>
      <c r="N1578" s="494"/>
      <c r="O1578" s="827">
        <f ca="1">M1544+(1-O1576)*M1543*O1564*(ACOS(O1559)+O1576*SIN(ACOS(O1559))*(O1566+O1576*O1559*(-1+2*O1566*O1566)))</f>
        <v>0</v>
      </c>
      <c r="P1578" s="485"/>
      <c r="Q1578" s="460"/>
      <c r="R1578" s="460"/>
      <c r="S1578" s="150"/>
    </row>
    <row r="1579" spans="1:19" s="444" customFormat="1" ht="12.3" x14ac:dyDescent="0.4">
      <c r="A1579" s="447"/>
      <c r="B1579" s="149" t="s">
        <v>143</v>
      </c>
      <c r="C1579" s="485"/>
      <c r="D1579" s="494"/>
      <c r="E1579" s="148"/>
      <c r="F1579" s="485"/>
      <c r="G1579" s="460"/>
      <c r="H1579" s="460"/>
      <c r="I1579" s="496"/>
      <c r="L1579" s="149" t="s">
        <v>143</v>
      </c>
      <c r="M1579" s="485"/>
      <c r="N1579" s="494"/>
      <c r="O1579" s="148"/>
      <c r="P1579" s="485"/>
      <c r="Q1579" s="460"/>
      <c r="R1579" s="460"/>
      <c r="S1579" s="496"/>
    </row>
    <row r="1580" spans="1:19" s="444" customFormat="1" ht="12.3" x14ac:dyDescent="0.4">
      <c r="A1580" s="447"/>
      <c r="B1580" s="460" t="s">
        <v>142</v>
      </c>
      <c r="C1580" s="485">
        <f>IF(B1595="samepoint",0,C1542*C1569*(ATAN(C1561)-C1573))</f>
        <v>0</v>
      </c>
      <c r="D1580" s="494"/>
      <c r="E1580" s="485">
        <f>IF(B1595="samepoint",0,C1542*E1569*(E1562-E1573))</f>
        <v>0</v>
      </c>
      <c r="F1580" s="460"/>
      <c r="G1580" s="460"/>
      <c r="H1580" s="460"/>
      <c r="I1580" s="496"/>
      <c r="L1580" s="460" t="s">
        <v>142</v>
      </c>
      <c r="M1580" s="485">
        <f>IF(L1595="samepoint",0,M1542*M1569*(ATAN(M1561)-M1573))</f>
        <v>0</v>
      </c>
      <c r="N1580" s="494"/>
      <c r="O1580" s="485">
        <f>IF(L1595="samepoint",0,M1542*O1569*(O1562-O1573))</f>
        <v>0</v>
      </c>
      <c r="P1580" s="460"/>
      <c r="Q1580" s="460"/>
      <c r="R1580" s="460"/>
      <c r="S1580" s="496"/>
    </row>
    <row r="1581" spans="1:19" s="444" customFormat="1" ht="12.3" x14ac:dyDescent="0.4">
      <c r="A1581" s="447"/>
      <c r="B1581" s="147" t="s">
        <v>141</v>
      </c>
      <c r="C1581" s="485"/>
      <c r="D1581" s="494"/>
      <c r="E1581" s="485"/>
      <c r="F1581" s="460"/>
      <c r="G1581" s="460"/>
      <c r="H1581" s="460"/>
      <c r="I1581" s="496"/>
      <c r="L1581" s="147" t="s">
        <v>141</v>
      </c>
      <c r="M1581" s="485"/>
      <c r="N1581" s="494"/>
      <c r="O1581" s="485"/>
      <c r="P1581" s="460"/>
      <c r="Q1581" s="460"/>
      <c r="R1581" s="460"/>
      <c r="S1581" s="496"/>
    </row>
    <row r="1582" spans="1:19" s="444" customFormat="1" ht="16.2" x14ac:dyDescent="0.65">
      <c r="A1582" s="447"/>
      <c r="B1582" s="460" t="s">
        <v>140</v>
      </c>
      <c r="C1582" s="485"/>
      <c r="D1582" s="494"/>
      <c r="E1582" s="485" t="e">
        <f ca="1">C1553*SIN(E1578)/(C1549*C1552-C1548*C1553*COS(E1578))</f>
        <v>#DIV/0!</v>
      </c>
      <c r="F1582" s="460"/>
      <c r="G1582" s="460"/>
      <c r="H1582" s="460"/>
      <c r="I1582" s="496"/>
      <c r="L1582" s="460" t="s">
        <v>516</v>
      </c>
      <c r="M1582" s="485"/>
      <c r="N1582" s="494"/>
      <c r="O1582" s="485" t="e">
        <f ca="1">M1553*SIN(O1578)/(M1549*M1552-M1548*M1553*COS(O1578))</f>
        <v>#DIV/0!</v>
      </c>
      <c r="P1582" s="460"/>
      <c r="Q1582" s="460"/>
      <c r="R1582" s="460"/>
      <c r="S1582" s="496"/>
    </row>
    <row r="1583" spans="1:19" s="444" customFormat="1" ht="12.3" x14ac:dyDescent="0.4">
      <c r="A1583" s="447"/>
      <c r="B1583" s="147" t="s">
        <v>139</v>
      </c>
      <c r="C1583" s="485"/>
      <c r="D1583" s="494"/>
      <c r="E1583" s="485"/>
      <c r="F1583" s="460"/>
      <c r="G1583" s="460"/>
      <c r="H1583" s="460"/>
      <c r="I1583" s="496"/>
      <c r="L1583" s="147" t="s">
        <v>139</v>
      </c>
      <c r="M1583" s="485"/>
      <c r="N1583" s="494"/>
      <c r="O1583" s="485"/>
      <c r="P1583" s="460"/>
      <c r="Q1583" s="460"/>
      <c r="R1583" s="460"/>
      <c r="S1583" s="496"/>
    </row>
    <row r="1584" spans="1:19" s="444" customFormat="1" ht="16.8" x14ac:dyDescent="0.7">
      <c r="A1584" s="447"/>
      <c r="B1584" s="460" t="s">
        <v>138</v>
      </c>
      <c r="C1584" s="485"/>
      <c r="D1584" s="494"/>
      <c r="E1584" s="485" t="e">
        <f>C1549*SIN(C1578)/(-C1548*C1553+C1549*C1552*COS(C1578))</f>
        <v>#DIV/0!</v>
      </c>
      <c r="F1584" s="460"/>
      <c r="G1584" s="460"/>
      <c r="H1584" s="460"/>
      <c r="I1584" s="496"/>
      <c r="L1584" s="460" t="s">
        <v>517</v>
      </c>
      <c r="M1584" s="485"/>
      <c r="N1584" s="494"/>
      <c r="O1584" s="485" t="e">
        <f>M1549*SIN(M1578)/(-M1548*M1553+M1549*M1552*COS(M1578))</f>
        <v>#DIV/0!</v>
      </c>
      <c r="P1584" s="460"/>
      <c r="Q1584" s="460"/>
      <c r="R1584" s="460"/>
      <c r="S1584" s="496"/>
    </row>
    <row r="1585" spans="1:20" s="444" customFormat="1" ht="12.3" x14ac:dyDescent="0.4">
      <c r="A1585" s="447"/>
      <c r="B1585" s="460"/>
      <c r="C1585" s="485"/>
      <c r="D1585" s="494"/>
      <c r="E1585" s="460"/>
      <c r="F1585" s="485"/>
      <c r="G1585" s="460"/>
      <c r="H1585" s="460"/>
      <c r="I1585" s="496"/>
      <c r="L1585" s="460"/>
      <c r="M1585" s="485"/>
      <c r="N1585" s="494"/>
      <c r="O1585" s="460"/>
      <c r="P1585" s="485"/>
      <c r="Q1585" s="460"/>
      <c r="R1585" s="460"/>
      <c r="S1585" s="496"/>
    </row>
    <row r="1586" spans="1:20" s="444" customFormat="1" ht="12.3" x14ac:dyDescent="0.4">
      <c r="A1586" s="447"/>
      <c r="B1586" s="460"/>
      <c r="C1586" s="497"/>
      <c r="D1586" s="447"/>
      <c r="E1586" s="460"/>
      <c r="F1586" s="485"/>
      <c r="G1586" s="460"/>
      <c r="H1586" s="460"/>
      <c r="I1586" s="496"/>
      <c r="L1586" s="460"/>
      <c r="M1586" s="497"/>
      <c r="N1586" s="447"/>
      <c r="O1586" s="460"/>
      <c r="P1586" s="485"/>
      <c r="Q1586" s="460"/>
      <c r="R1586" s="460"/>
      <c r="S1586" s="496"/>
    </row>
    <row r="1587" spans="1:20" s="444" customFormat="1" ht="12.3" x14ac:dyDescent="0.4">
      <c r="A1587" s="447"/>
      <c r="B1587" s="460"/>
      <c r="C1587" s="460"/>
      <c r="D1587" s="447"/>
      <c r="E1587" s="489"/>
      <c r="F1587" s="494"/>
      <c r="G1587" s="460"/>
      <c r="H1587" s="460"/>
      <c r="I1587" s="496"/>
      <c r="L1587" s="460"/>
      <c r="M1587" s="460"/>
      <c r="N1587" s="447"/>
      <c r="O1587" s="489"/>
      <c r="P1587" s="494"/>
      <c r="Q1587" s="460"/>
      <c r="R1587" s="460"/>
      <c r="S1587" s="496"/>
    </row>
    <row r="1588" spans="1:20" s="444" customFormat="1" ht="12.3" x14ac:dyDescent="0.4">
      <c r="A1588" s="447"/>
      <c r="B1588" s="146" t="s">
        <v>137</v>
      </c>
      <c r="C1588" s="146"/>
      <c r="D1588" s="489"/>
      <c r="E1588" s="146" t="s">
        <v>136</v>
      </c>
      <c r="F1588" s="146"/>
      <c r="G1588" s="460"/>
      <c r="H1588" s="460"/>
      <c r="I1588" s="496"/>
      <c r="L1588" s="146" t="s">
        <v>137</v>
      </c>
      <c r="M1588" s="146"/>
      <c r="N1588" s="489"/>
      <c r="O1588" s="146" t="s">
        <v>136</v>
      </c>
      <c r="P1588" s="146"/>
      <c r="Q1588" s="460"/>
      <c r="R1588" s="460"/>
      <c r="S1588" s="496"/>
    </row>
    <row r="1589" spans="1:20" s="444" customFormat="1" ht="14.7" x14ac:dyDescent="0.6">
      <c r="A1589" s="447"/>
      <c r="B1589" s="145" t="s">
        <v>417</v>
      </c>
      <c r="C1589" s="485" t="e">
        <f ca="1">ATAN(E1582)</f>
        <v>#DIV/0!</v>
      </c>
      <c r="D1589" s="447"/>
      <c r="E1589" s="145" t="s">
        <v>418</v>
      </c>
      <c r="F1589" s="485" t="e">
        <f>ATAN(E1584)</f>
        <v>#DIV/0!</v>
      </c>
      <c r="G1589" s="460"/>
      <c r="H1589" s="460"/>
      <c r="I1589" s="496" t="e">
        <f>ATAN2(E1538-E1536,E1539-E1537)*180/PI()</f>
        <v>#DIV/0!</v>
      </c>
      <c r="J1589" s="496" t="e">
        <f>ATAN2(E1536-E1538,E1537-E1539)*180/PI()</f>
        <v>#DIV/0!</v>
      </c>
      <c r="L1589" s="145" t="s">
        <v>518</v>
      </c>
      <c r="M1589" s="485" t="e">
        <f ca="1">ATAN(O1582)</f>
        <v>#DIV/0!</v>
      </c>
      <c r="N1589" s="447"/>
      <c r="O1589" s="145" t="s">
        <v>493</v>
      </c>
      <c r="P1589" s="485" t="e">
        <f>ATAN(O1584)</f>
        <v>#DIV/0!</v>
      </c>
      <c r="Q1589" s="460"/>
      <c r="R1589" s="460"/>
      <c r="S1589" s="496" t="e">
        <f>ATAN2(O1538-O1536,O1539-O1537)*180/PI()</f>
        <v>#DIV/0!</v>
      </c>
      <c r="T1589" s="496" t="e">
        <f>ATAN2(O1536-O1538,O1537-O1539)*180/PI()</f>
        <v>#DIV/0!</v>
      </c>
    </row>
    <row r="1590" spans="1:20" s="444" customFormat="1" ht="14.7" x14ac:dyDescent="0.6">
      <c r="A1590" s="447"/>
      <c r="B1590" s="145" t="s">
        <v>419</v>
      </c>
      <c r="C1590" s="485" t="e">
        <f ca="1">(C1589/PI())*180+360</f>
        <v>#DIV/0!</v>
      </c>
      <c r="D1590" s="447"/>
      <c r="E1590" s="145" t="s">
        <v>420</v>
      </c>
      <c r="F1590" s="485" t="e">
        <f>(F1589/PI())*180+180</f>
        <v>#DIV/0!</v>
      </c>
      <c r="G1590" s="460"/>
      <c r="H1590" s="460"/>
      <c r="I1590" s="496" t="e">
        <f>IF(I1589&lt;0,C1589*180/PI()+360,C1589*180/PI())</f>
        <v>#DIV/0!</v>
      </c>
      <c r="J1590" s="498" t="e">
        <f>IF(J1589&gt;0,F1589*180/PI()+180,F1589*180/PI())</f>
        <v>#DIV/0!</v>
      </c>
      <c r="L1590" s="145" t="s">
        <v>519</v>
      </c>
      <c r="M1590" s="485" t="e">
        <f ca="1">(M1589/PI())*180+360</f>
        <v>#DIV/0!</v>
      </c>
      <c r="N1590" s="447"/>
      <c r="O1590" s="145" t="s">
        <v>494</v>
      </c>
      <c r="P1590" s="485" t="e">
        <f>(P1589/PI())*180+180</f>
        <v>#DIV/0!</v>
      </c>
      <c r="Q1590" s="460"/>
      <c r="R1590" s="460"/>
      <c r="S1590" s="496" t="e">
        <f>IF(S1589&lt;0,M1589*180/PI()+360,M1589*180/PI())</f>
        <v>#DIV/0!</v>
      </c>
      <c r="T1590" s="498" t="e">
        <f>IF(T1589&gt;0,P1589*180/PI()+180,P1589*180/PI())</f>
        <v>#DIV/0!</v>
      </c>
    </row>
    <row r="1591" spans="1:20" s="444" customFormat="1" ht="14.7" x14ac:dyDescent="0.6">
      <c r="A1591" s="447"/>
      <c r="B1591" s="145" t="s">
        <v>419</v>
      </c>
      <c r="C1591" s="485" t="e">
        <f ca="1">IF(C1590&gt;=360,C1590-360,C1590)</f>
        <v>#DIV/0!</v>
      </c>
      <c r="D1591" s="447"/>
      <c r="E1591" s="145" t="s">
        <v>420</v>
      </c>
      <c r="F1591" s="485" t="e">
        <f>IF(F1590&gt;=360,F1590-360,F1590)</f>
        <v>#DIV/0!</v>
      </c>
      <c r="G1591" s="460"/>
      <c r="H1591" s="460"/>
      <c r="I1591" s="496" t="e">
        <f ca="1">ATAN2((C1549*C1552-C1548*C1553*COS(E1578)),C1553*SIN(E1578))</f>
        <v>#DIV/0!</v>
      </c>
      <c r="J1591" s="485" t="e">
        <f ca="1">ATAN2((-C1548*C1553+C1549*C1552*COS(E1578)),C1549*SIN(E1578))</f>
        <v>#DIV/0!</v>
      </c>
      <c r="L1591" s="145" t="s">
        <v>519</v>
      </c>
      <c r="M1591" s="485" t="e">
        <f ca="1">IF(M1590&gt;=360,M1590-360,M1590)</f>
        <v>#DIV/0!</v>
      </c>
      <c r="N1591" s="447"/>
      <c r="O1591" s="145" t="s">
        <v>494</v>
      </c>
      <c r="P1591" s="485" t="e">
        <f>IF(P1590&gt;=360,P1590-360,P1590)</f>
        <v>#DIV/0!</v>
      </c>
      <c r="Q1591" s="460"/>
      <c r="R1591" s="460"/>
      <c r="S1591" s="496" t="e">
        <f ca="1">ATAN2((M1549*M1552-M1548*M1553*COS(O1578)),M1553*SIN(O1578))</f>
        <v>#DIV/0!</v>
      </c>
      <c r="T1591" s="485" t="e">
        <f ca="1">ATAN2((-M1548*M1553+M1549*M1552*COS(O1578)),M1549*SIN(O1578))</f>
        <v>#DIV/0!</v>
      </c>
    </row>
    <row r="1592" spans="1:20" s="444" customFormat="1" ht="14.7" x14ac:dyDescent="0.6">
      <c r="A1592" s="447"/>
      <c r="B1592" s="145" t="s">
        <v>419</v>
      </c>
      <c r="C1592" s="485">
        <f>IF(B1595="samepoint",0,IF(B1596="northsouth",0,IF(B1597="southnorth",180,C1591)))</f>
        <v>0</v>
      </c>
      <c r="D1592" s="447"/>
      <c r="E1592" s="145" t="s">
        <v>420</v>
      </c>
      <c r="F1592" s="485">
        <f>IF(B1595="samepoint",0,IF(B1596="northsouth",180,IF(B1597="southnorth",0,F1591)))</f>
        <v>0</v>
      </c>
      <c r="G1592" s="447"/>
      <c r="H1592" s="447"/>
      <c r="I1592" s="485">
        <f>IF(B1595="samepoint",0,IF(B1596="northsouth",0,IF(B1597="southnorth",180,IF(I1591&lt;0,I1591*180/PI()+360,I1591*180/PI()))))</f>
        <v>0</v>
      </c>
      <c r="J1592" s="485">
        <f>IF(B1595="samepoint",0,IF(B1596="northsouth",180,IF(B1597="southnorth",0,J1591*180/PI()+180)))</f>
        <v>0</v>
      </c>
      <c r="L1592" s="145" t="s">
        <v>519</v>
      </c>
      <c r="M1592" s="485">
        <f>IF(L1595="samepoint",0,IF(L1596="northsouth",0,IF(L1597="southnorth",180,M1591)))</f>
        <v>0</v>
      </c>
      <c r="N1592" s="447"/>
      <c r="O1592" s="145" t="s">
        <v>494</v>
      </c>
      <c r="P1592" s="485">
        <f>IF(L1595="samepoint",0,IF(L1596="northsouth",180,IF(L1597="southnorth",0,P1591)))</f>
        <v>0</v>
      </c>
      <c r="Q1592" s="447"/>
      <c r="R1592" s="447"/>
      <c r="S1592" s="485">
        <f>IF(L1595="samepoint",0,IF(L1596="northsouth",0,IF(L1597="southnorth",180,IF(S1591&lt;0,S1591*180/PI()+360,S1591*180/PI()))))</f>
        <v>0</v>
      </c>
      <c r="T1592" s="485">
        <f>IF(L1595="samepoint",0,IF(L1596="northsouth",180,IF(L1597="southnorth",0,T1591*180/PI()+180)))</f>
        <v>0</v>
      </c>
    </row>
    <row r="1593" spans="1:20" s="444" customFormat="1" ht="12.3" x14ac:dyDescent="0.4">
      <c r="A1593" s="447"/>
      <c r="B1593" s="145"/>
      <c r="C1593" s="447"/>
      <c r="D1593" s="447"/>
      <c r="E1593" s="145"/>
      <c r="F1593" s="447"/>
      <c r="G1593" s="447"/>
      <c r="H1593" s="447"/>
      <c r="I1593" s="447"/>
      <c r="L1593" s="145"/>
      <c r="M1593" s="447"/>
      <c r="N1593" s="447"/>
      <c r="O1593" s="145"/>
      <c r="P1593" s="447"/>
      <c r="Q1593" s="447"/>
      <c r="R1593" s="447"/>
      <c r="S1593" s="447"/>
    </row>
    <row r="1594" spans="1:20" s="444" customFormat="1" ht="12.3" x14ac:dyDescent="0.4">
      <c r="A1594" s="447"/>
      <c r="B1594" s="144" t="s">
        <v>135</v>
      </c>
      <c r="C1594" s="144"/>
      <c r="D1594" s="447"/>
      <c r="E1594" s="447"/>
      <c r="F1594" s="447"/>
      <c r="G1594" s="447"/>
      <c r="H1594" s="447"/>
      <c r="I1594" s="447"/>
      <c r="L1594" s="144" t="s">
        <v>135</v>
      </c>
      <c r="M1594" s="144"/>
      <c r="N1594" s="447"/>
      <c r="O1594" s="447"/>
      <c r="P1594" s="447"/>
      <c r="Q1594" s="447"/>
      <c r="R1594" s="447"/>
      <c r="S1594" s="447"/>
    </row>
    <row r="1595" spans="1:20" s="444" customFormat="1" ht="12.3" x14ac:dyDescent="0.4">
      <c r="A1595" s="447"/>
      <c r="B1595" s="447" t="str">
        <f>IF(AND(C1536=C1538,C1537=C1539),"samepoint","N.A. " )</f>
        <v>samepoint</v>
      </c>
      <c r="C1595" s="447" t="s">
        <v>134</v>
      </c>
      <c r="D1595" s="447"/>
      <c r="E1595" s="447"/>
      <c r="F1595" s="447"/>
      <c r="G1595" s="447"/>
      <c r="H1595" s="447"/>
      <c r="I1595" s="447"/>
      <c r="L1595" s="447" t="str">
        <f>IF(AND(M1536=M1538,M1537=M1539),"samepoint","N.A. " )</f>
        <v>samepoint</v>
      </c>
      <c r="M1595" s="447" t="s">
        <v>134</v>
      </c>
      <c r="N1595" s="447"/>
      <c r="O1595" s="447"/>
      <c r="P1595" s="447"/>
      <c r="Q1595" s="447"/>
      <c r="R1595" s="447"/>
      <c r="S1595" s="447"/>
    </row>
    <row r="1596" spans="1:20" s="444" customFormat="1" ht="12.3" x14ac:dyDescent="0.4">
      <c r="A1596" s="447"/>
      <c r="B1596" s="447" t="str">
        <f>IF(AND(C1537=C1539,C1538&gt;C1536),"northsouth","N.A. ")</f>
        <v xml:space="preserve">N.A. </v>
      </c>
      <c r="C1596" s="447" t="s">
        <v>133</v>
      </c>
      <c r="D1596" s="447"/>
      <c r="E1596" s="447"/>
      <c r="F1596" s="447"/>
      <c r="G1596" s="447"/>
      <c r="H1596" s="447"/>
      <c r="I1596" s="447"/>
      <c r="L1596" s="447" t="str">
        <f>IF(AND(M1537=M1539,M1538&gt;M1536),"northsouth","N.A. ")</f>
        <v xml:space="preserve">N.A. </v>
      </c>
      <c r="M1596" s="447" t="s">
        <v>133</v>
      </c>
      <c r="N1596" s="447"/>
      <c r="O1596" s="447"/>
      <c r="P1596" s="447"/>
      <c r="Q1596" s="447"/>
      <c r="R1596" s="447"/>
      <c r="S1596" s="447"/>
    </row>
    <row r="1597" spans="1:20" s="444" customFormat="1" ht="12.3" x14ac:dyDescent="0.4">
      <c r="A1597" s="447"/>
      <c r="B1597" s="447" t="str">
        <f>IF(AND(C1537=C1539,C1536&gt;C1538),"southnorth","N.A. ")</f>
        <v xml:space="preserve">N.A. </v>
      </c>
      <c r="C1597" s="447" t="s">
        <v>132</v>
      </c>
      <c r="D1597" s="447"/>
      <c r="E1597" s="447"/>
      <c r="F1597" s="447"/>
      <c r="G1597" s="447"/>
      <c r="H1597" s="447"/>
      <c r="I1597" s="447"/>
      <c r="L1597" s="447" t="str">
        <f>IF(AND(M1537=M1539,M1536&gt;M1538),"southnorth","N.A. ")</f>
        <v xml:space="preserve">N.A. </v>
      </c>
      <c r="M1597" s="447" t="s">
        <v>132</v>
      </c>
      <c r="N1597" s="447"/>
      <c r="O1597" s="447"/>
      <c r="P1597" s="447"/>
      <c r="Q1597" s="447"/>
      <c r="R1597" s="447"/>
      <c r="S1597" s="447"/>
    </row>
    <row r="1598" spans="1:20" s="444" customFormat="1" ht="12.3" x14ac:dyDescent="0.4">
      <c r="A1598" s="447"/>
      <c r="B1598" s="447"/>
      <c r="C1598" s="447"/>
      <c r="D1598" s="447"/>
      <c r="E1598" s="447"/>
      <c r="F1598" s="447"/>
      <c r="G1598" s="447"/>
      <c r="H1598" s="447"/>
      <c r="I1598" s="447"/>
      <c r="L1598" s="447"/>
      <c r="M1598" s="447"/>
      <c r="N1598" s="447"/>
      <c r="O1598" s="447"/>
      <c r="P1598" s="447"/>
      <c r="Q1598" s="447"/>
      <c r="R1598" s="447"/>
      <c r="S1598" s="447"/>
    </row>
    <row r="1599" spans="1:20" s="444" customFormat="1" ht="12.3" x14ac:dyDescent="0.4">
      <c r="A1599" s="447"/>
      <c r="B1599" s="447"/>
      <c r="C1599" s="447"/>
      <c r="D1599" s="447"/>
      <c r="E1599" s="447"/>
      <c r="F1599" s="447"/>
      <c r="G1599" s="447"/>
      <c r="H1599" s="447"/>
      <c r="I1599" s="447"/>
    </row>
    <row r="1600" spans="1:20" s="444" customFormat="1" ht="15" x14ac:dyDescent="0.5">
      <c r="A1600" s="447"/>
      <c r="B1600" s="448" t="s">
        <v>187</v>
      </c>
      <c r="C1600" s="448" t="s">
        <v>186</v>
      </c>
      <c r="D1600" s="447"/>
      <c r="E1600" s="447"/>
      <c r="F1600" s="447"/>
      <c r="G1600" s="447"/>
      <c r="H1600" s="447"/>
      <c r="I1600" s="447"/>
    </row>
    <row r="1601" spans="1:10" s="444" customFormat="1" ht="17.399999999999999" x14ac:dyDescent="0.55000000000000004">
      <c r="A1601" s="447"/>
      <c r="B1601" s="449" t="s">
        <v>185</v>
      </c>
      <c r="C1601" s="796" t="s">
        <v>576</v>
      </c>
      <c r="D1601" s="451"/>
      <c r="E1601" s="452"/>
      <c r="F1601" s="453" t="s">
        <v>183</v>
      </c>
      <c r="G1601" s="797" t="s">
        <v>576</v>
      </c>
      <c r="H1601" s="512"/>
      <c r="I1601" s="454"/>
      <c r="J1601" s="455"/>
    </row>
    <row r="1602" spans="1:10" s="444" customFormat="1" ht="14.7" x14ac:dyDescent="0.6">
      <c r="A1602" s="447"/>
      <c r="B1602" s="158" t="s">
        <v>405</v>
      </c>
      <c r="C1602" s="1068" t="s">
        <v>577</v>
      </c>
      <c r="D1602" s="1069"/>
      <c r="E1602" s="458"/>
      <c r="F1602" s="157" t="s">
        <v>406</v>
      </c>
      <c r="G1602" s="1069" t="s">
        <v>577</v>
      </c>
      <c r="H1602" s="1069"/>
      <c r="I1602" s="1070"/>
      <c r="J1602" s="460"/>
    </row>
    <row r="1603" spans="1:10" s="444" customFormat="1" ht="14.7" x14ac:dyDescent="0.6">
      <c r="A1603" s="447"/>
      <c r="B1603" s="158" t="s">
        <v>407</v>
      </c>
      <c r="C1603" s="1071" t="s">
        <v>577</v>
      </c>
      <c r="D1603" s="1072"/>
      <c r="E1603" s="463"/>
      <c r="F1603" s="157" t="s">
        <v>408</v>
      </c>
      <c r="G1603" s="1072" t="s">
        <v>577</v>
      </c>
      <c r="H1603" s="1072"/>
      <c r="I1603" s="1073"/>
    </row>
    <row r="1604" spans="1:10" s="444" customFormat="1" ht="12.3" x14ac:dyDescent="0.4">
      <c r="A1604" s="447"/>
      <c r="B1604" s="464" t="s">
        <v>180</v>
      </c>
      <c r="C1604" s="465">
        <f ca="1">E1653</f>
        <v>9220771.1859836616</v>
      </c>
      <c r="D1604" s="513"/>
      <c r="E1604" s="514"/>
      <c r="F1604" s="500"/>
      <c r="G1604" s="468"/>
      <c r="H1604" s="468"/>
      <c r="I1604" s="156" t="s">
        <v>179</v>
      </c>
      <c r="J1604" s="447"/>
    </row>
    <row r="1605" spans="1:10" s="444" customFormat="1" ht="14.7" x14ac:dyDescent="0.6">
      <c r="A1605" s="447"/>
      <c r="B1605" s="464" t="s">
        <v>409</v>
      </c>
      <c r="C1605" s="469">
        <f ca="1">I1665</f>
        <v>298.68245330307661</v>
      </c>
      <c r="D1605" s="470"/>
      <c r="E1605" s="471"/>
      <c r="F1605" s="501"/>
      <c r="G1605" s="472"/>
      <c r="H1605" s="473"/>
      <c r="J1605" s="474"/>
    </row>
    <row r="1606" spans="1:10" s="444" customFormat="1" ht="14.7" x14ac:dyDescent="0.6">
      <c r="A1606" s="447"/>
      <c r="B1606" s="475" t="s">
        <v>410</v>
      </c>
      <c r="C1606" s="476">
        <f ca="1">J1665</f>
        <v>93.770819356863342</v>
      </c>
      <c r="D1606" s="477"/>
      <c r="E1606" s="478"/>
      <c r="F1606" s="506">
        <f>IF(OR(C1609=0,C1611=0),0,C1604/1000)</f>
        <v>0</v>
      </c>
      <c r="G1606" s="447" t="s">
        <v>178</v>
      </c>
      <c r="H1606" s="447"/>
    </row>
    <row r="1607" spans="1:10" s="444" customFormat="1" ht="12.3" x14ac:dyDescent="0.4">
      <c r="A1607" s="447"/>
      <c r="B1607" s="460"/>
      <c r="C1607" s="487"/>
      <c r="D1607" s="489"/>
      <c r="E1607" s="489"/>
      <c r="F1607" s="447"/>
      <c r="G1607" s="460"/>
    </row>
    <row r="1608" spans="1:10" s="444" customFormat="1" ht="12.3" x14ac:dyDescent="0.4">
      <c r="A1608" s="447"/>
      <c r="B1608" s="447"/>
      <c r="C1608" s="503" t="s">
        <v>177</v>
      </c>
      <c r="D1608" s="504"/>
      <c r="E1608" s="503" t="s">
        <v>85</v>
      </c>
      <c r="F1608" s="447"/>
      <c r="G1608" s="460"/>
      <c r="H1608" s="460"/>
      <c r="I1608" s="447"/>
    </row>
    <row r="1609" spans="1:10" s="444" customFormat="1" ht="14.7" x14ac:dyDescent="0.6">
      <c r="A1609" s="447"/>
      <c r="B1609" s="460" t="s">
        <v>411</v>
      </c>
      <c r="C1609" s="485">
        <f>DEGREES(E1609)</f>
        <v>0</v>
      </c>
      <c r="D1609" s="447"/>
      <c r="E1609" s="485">
        <v>0</v>
      </c>
      <c r="F1609" s="447"/>
      <c r="G1609" s="460"/>
      <c r="H1609" s="460"/>
      <c r="I1609" s="447"/>
    </row>
    <row r="1610" spans="1:10" s="444" customFormat="1" ht="14.7" x14ac:dyDescent="0.6">
      <c r="A1610" s="447"/>
      <c r="B1610" s="460" t="s">
        <v>412</v>
      </c>
      <c r="C1610" s="485">
        <f>DEGREES(E1610)</f>
        <v>0</v>
      </c>
      <c r="D1610" s="447"/>
      <c r="E1610" s="485">
        <v>0</v>
      </c>
      <c r="F1610" s="447"/>
      <c r="G1610" s="460"/>
      <c r="H1610" s="485"/>
      <c r="I1610" s="447"/>
    </row>
    <row r="1611" spans="1:10" s="444" customFormat="1" ht="14.7" x14ac:dyDescent="0.6">
      <c r="A1611" s="447"/>
      <c r="B1611" s="460" t="s">
        <v>413</v>
      </c>
      <c r="C1611" s="14">
        <f>DEGREES(E1611)</f>
        <v>28.535083333333333</v>
      </c>
      <c r="D1611" s="447"/>
      <c r="E1611" s="485">
        <v>0.49803115649762525</v>
      </c>
      <c r="F1611" s="447"/>
      <c r="G1611" s="460"/>
      <c r="H1611" s="460"/>
      <c r="I1611" s="447"/>
    </row>
    <row r="1612" spans="1:10" s="444" customFormat="1" ht="14.7" x14ac:dyDescent="0.6">
      <c r="A1612" s="447"/>
      <c r="B1612" s="460" t="s">
        <v>414</v>
      </c>
      <c r="C1612" s="14">
        <f>DEGREES(E1612)</f>
        <v>-81.879949999999994</v>
      </c>
      <c r="D1612" s="447"/>
      <c r="E1612" s="485">
        <v>-1.4290747188683308</v>
      </c>
      <c r="F1612" s="447"/>
      <c r="G1612" s="460"/>
      <c r="H1612" s="485"/>
      <c r="I1612" s="447"/>
    </row>
    <row r="1613" spans="1:10" s="444" customFormat="1" ht="12.3" x14ac:dyDescent="0.4">
      <c r="A1613" s="447"/>
      <c r="B1613" s="485"/>
      <c r="C1613" s="485"/>
      <c r="D1613" s="485"/>
      <c r="E1613" s="485"/>
      <c r="F1613" s="447"/>
      <c r="G1613" s="460"/>
      <c r="H1613" s="485"/>
      <c r="I1613" s="447"/>
    </row>
    <row r="1614" spans="1:10" s="444" customFormat="1" ht="12.3" x14ac:dyDescent="0.4">
      <c r="A1614" s="447"/>
      <c r="B1614" s="460" t="s">
        <v>176</v>
      </c>
      <c r="C1614" s="487">
        <v>6378137</v>
      </c>
      <c r="D1614" s="488"/>
      <c r="E1614" s="489" t="s">
        <v>175</v>
      </c>
      <c r="F1614" s="485">
        <f>C1616+C1616*C1616</f>
        <v>3.3640520041011246E-3</v>
      </c>
      <c r="G1614" s="460"/>
      <c r="H1614" s="460"/>
      <c r="I1614" s="447"/>
    </row>
    <row r="1615" spans="1:10" s="444" customFormat="1" ht="12.3" x14ac:dyDescent="0.4">
      <c r="A1615" s="447"/>
      <c r="B1615" s="489" t="s">
        <v>174</v>
      </c>
      <c r="C1615" s="487">
        <f>C1614*(1-C1616)</f>
        <v>6356752.3142451793</v>
      </c>
      <c r="D1615" s="488"/>
      <c r="E1615" s="489" t="s">
        <v>173</v>
      </c>
      <c r="F1615" s="485">
        <f>F1614/2</f>
        <v>1.6820260020505623E-3</v>
      </c>
      <c r="G1615" s="460"/>
      <c r="H1615" s="460"/>
      <c r="I1615" s="447"/>
    </row>
    <row r="1616" spans="1:10" s="444" customFormat="1" ht="12.3" x14ac:dyDescent="0.4">
      <c r="A1616" s="447"/>
      <c r="B1616" s="489" t="s">
        <v>172</v>
      </c>
      <c r="C1616" s="485">
        <v>3.3528106647474801E-3</v>
      </c>
      <c r="D1616" s="489"/>
      <c r="E1616" s="489" t="s">
        <v>171</v>
      </c>
      <c r="F1616" s="485">
        <f>C1616*C1616/2</f>
        <v>5.6206696768222199E-6</v>
      </c>
      <c r="G1616" s="460"/>
      <c r="H1616" s="460"/>
      <c r="I1616" s="447"/>
    </row>
    <row r="1617" spans="2:8" s="447" customFormat="1" ht="12.3" x14ac:dyDescent="0.4">
      <c r="B1617" s="460" t="s">
        <v>415</v>
      </c>
      <c r="C1617" s="485">
        <f>E1612-E1610</f>
        <v>-1.4290747188683308</v>
      </c>
      <c r="E1617" s="447" t="s">
        <v>170</v>
      </c>
      <c r="F1617" s="485">
        <f>C1616*C1616/8</f>
        <v>1.405167419205555E-6</v>
      </c>
      <c r="G1617" s="460"/>
      <c r="H1617" s="460"/>
    </row>
    <row r="1618" spans="2:8" s="447" customFormat="1" ht="12.3" x14ac:dyDescent="0.4">
      <c r="E1618" s="489" t="s">
        <v>169</v>
      </c>
      <c r="F1618" s="485">
        <f>C1616*C1616/16</f>
        <v>7.0258370960277749E-7</v>
      </c>
      <c r="G1618" s="460"/>
      <c r="H1618" s="460"/>
    </row>
    <row r="1619" spans="2:8" s="447" customFormat="1" ht="12.3" x14ac:dyDescent="0.4">
      <c r="B1619" s="447" t="s">
        <v>168</v>
      </c>
      <c r="C1619" s="490">
        <f>(1-C1616)*TAN(E1609)</f>
        <v>0</v>
      </c>
      <c r="E1619" s="489"/>
      <c r="F1619" s="460"/>
      <c r="G1619" s="460"/>
      <c r="H1619" s="460"/>
    </row>
    <row r="1620" spans="2:8" s="447" customFormat="1" ht="12.3" x14ac:dyDescent="0.4">
      <c r="B1620" s="460" t="s">
        <v>106</v>
      </c>
      <c r="C1620" s="485">
        <f>ATAN(C1619)</f>
        <v>0</v>
      </c>
      <c r="D1620" s="489"/>
      <c r="E1620" s="155"/>
      <c r="F1620" s="485"/>
      <c r="G1620" s="460"/>
      <c r="H1620" s="460"/>
    </row>
    <row r="1621" spans="2:8" s="447" customFormat="1" ht="12.3" x14ac:dyDescent="0.4">
      <c r="B1621" s="460" t="s">
        <v>167</v>
      </c>
      <c r="C1621" s="485">
        <f>SIN(C1620)</f>
        <v>0</v>
      </c>
      <c r="D1621" s="489"/>
      <c r="E1621" s="148"/>
      <c r="F1621" s="485"/>
      <c r="G1621" s="460"/>
      <c r="H1621" s="460"/>
    </row>
    <row r="1622" spans="2:8" s="447" customFormat="1" ht="12.3" x14ac:dyDescent="0.4">
      <c r="B1622" s="460" t="s">
        <v>166</v>
      </c>
      <c r="C1622" s="485">
        <f>COS(C1620)</f>
        <v>1</v>
      </c>
      <c r="D1622" s="489"/>
      <c r="E1622" s="460"/>
      <c r="F1622" s="485"/>
      <c r="G1622" s="460"/>
      <c r="H1622" s="460"/>
    </row>
    <row r="1623" spans="2:8" s="447" customFormat="1" ht="12.3" x14ac:dyDescent="0.4">
      <c r="B1623" s="460" t="s">
        <v>165</v>
      </c>
      <c r="C1623" s="491">
        <f>(1-C1616)*TAN(E1611)</f>
        <v>0.54192570871845547</v>
      </c>
      <c r="D1623" s="489"/>
      <c r="E1623" s="460"/>
      <c r="F1623" s="485"/>
      <c r="G1623" s="460"/>
      <c r="H1623" s="460"/>
    </row>
    <row r="1624" spans="2:8" s="447" customFormat="1" ht="12.3" x14ac:dyDescent="0.4">
      <c r="B1624" s="460" t="s">
        <v>164</v>
      </c>
      <c r="C1624" s="485">
        <f>ATAN(C1623)</f>
        <v>0.49662301116968577</v>
      </c>
      <c r="D1624" s="489"/>
      <c r="E1624" s="460"/>
      <c r="F1624" s="485"/>
      <c r="G1624" s="460"/>
      <c r="H1624" s="460"/>
    </row>
    <row r="1625" spans="2:8" s="447" customFormat="1" ht="12.3" x14ac:dyDescent="0.4">
      <c r="B1625" s="460" t="s">
        <v>163</v>
      </c>
      <c r="C1625" s="485">
        <f>SIN(C1624)</f>
        <v>0.47645922403317176</v>
      </c>
      <c r="D1625" s="489"/>
      <c r="E1625" s="460"/>
      <c r="F1625" s="485"/>
      <c r="G1625" s="460"/>
      <c r="H1625" s="460"/>
    </row>
    <row r="1626" spans="2:8" s="447" customFormat="1" ht="12.3" x14ac:dyDescent="0.4">
      <c r="B1626" s="460" t="s">
        <v>162</v>
      </c>
      <c r="C1626" s="485">
        <f>COS(C1624)</f>
        <v>0.87919656950747249</v>
      </c>
      <c r="D1626" s="489"/>
      <c r="E1626" s="460"/>
      <c r="F1626" s="485"/>
      <c r="G1626" s="460"/>
      <c r="H1626" s="460"/>
    </row>
    <row r="1627" spans="2:8" s="447" customFormat="1" ht="12.3" x14ac:dyDescent="0.4">
      <c r="B1627" s="147" t="s">
        <v>161</v>
      </c>
      <c r="C1627" s="485"/>
      <c r="D1627" s="489"/>
      <c r="E1627" s="460"/>
      <c r="F1627" s="485"/>
      <c r="G1627" s="460"/>
      <c r="H1627" s="460"/>
    </row>
    <row r="1628" spans="2:8" s="447" customFormat="1" ht="12.3" x14ac:dyDescent="0.4">
      <c r="B1628" s="148" t="s">
        <v>144</v>
      </c>
      <c r="C1628" s="485">
        <f>C1617</f>
        <v>-1.4290747188683308</v>
      </c>
      <c r="D1628" s="489"/>
      <c r="E1628" s="485">
        <f ca="1">E1651</f>
        <v>-1.4333390801627803</v>
      </c>
      <c r="F1628" s="485"/>
      <c r="G1628" s="460"/>
      <c r="H1628" s="460"/>
    </row>
    <row r="1629" spans="2:8" s="447" customFormat="1" ht="12.3" x14ac:dyDescent="0.4">
      <c r="B1629" s="147" t="s">
        <v>160</v>
      </c>
      <c r="C1629" s="485"/>
      <c r="D1629" s="489"/>
      <c r="E1629" s="460"/>
      <c r="F1629" s="485"/>
      <c r="G1629" s="460"/>
      <c r="H1629" s="460"/>
    </row>
    <row r="1630" spans="2:8" s="447" customFormat="1" ht="13.8" x14ac:dyDescent="0.4">
      <c r="B1630" s="460" t="s">
        <v>159</v>
      </c>
      <c r="C1630" s="485">
        <f>(C1626*SIN(C1628)*C1626*SIN(C1628))+(C1622*C1625-C1621*C1626*COS(C1628))*(C1622*C1625-C1621*C1626*COS(C1628))</f>
        <v>0.98457821802158807</v>
      </c>
      <c r="D1630" s="489"/>
      <c r="E1630" s="485">
        <f ca="1">(C1626*SIN(E1628)*C1626*SIN(E1628))+(C1622*C1625-C1621*C1626*COS(E1628))*(C1622*C1625-C1621*C1626*COS(E1628))</f>
        <v>0.98548656315114269</v>
      </c>
      <c r="F1630" s="485"/>
      <c r="G1630" s="460"/>
      <c r="H1630" s="460"/>
    </row>
    <row r="1631" spans="2:8" s="447" customFormat="1" ht="12.3" x14ac:dyDescent="0.4">
      <c r="B1631" s="154" t="s">
        <v>158</v>
      </c>
      <c r="C1631" s="485"/>
      <c r="D1631" s="489"/>
      <c r="E1631" s="489"/>
      <c r="F1631" s="485"/>
      <c r="G1631" s="460"/>
      <c r="H1631" s="460"/>
    </row>
    <row r="1632" spans="2:8" s="447" customFormat="1" ht="12.3" x14ac:dyDescent="0.4">
      <c r="B1632" s="447" t="s">
        <v>157</v>
      </c>
      <c r="C1632" s="447">
        <f>(C1621*C1625)+(C1622*C1626*COS(C1628))</f>
        <v>0.12418446754088022</v>
      </c>
      <c r="E1632" s="447">
        <f ca="1">(C1621*C1625)+(C1622*C1626*COS(E1628))</f>
        <v>0.12047172634629764</v>
      </c>
      <c r="G1632" s="460"/>
      <c r="H1632" s="460"/>
    </row>
    <row r="1633" spans="1:9" s="444" customFormat="1" ht="12.3" x14ac:dyDescent="0.4">
      <c r="A1633" s="447"/>
      <c r="B1633" s="153" t="s">
        <v>156</v>
      </c>
      <c r="C1633" s="489"/>
      <c r="D1633" s="489"/>
      <c r="E1633" s="489"/>
      <c r="F1633" s="460"/>
      <c r="G1633" s="460"/>
      <c r="H1633" s="460"/>
      <c r="I1633" s="447"/>
    </row>
    <row r="1634" spans="1:9" s="444" customFormat="1" ht="12.3" x14ac:dyDescent="0.4">
      <c r="A1634" s="447"/>
      <c r="B1634" s="460" t="s">
        <v>155</v>
      </c>
      <c r="C1634" s="485">
        <f>SQRT(C1630)/C1632</f>
        <v>7.9902033504642196</v>
      </c>
      <c r="D1634" s="489"/>
      <c r="E1634" s="485">
        <f ca="1">SQRT(E1630)/E1632</f>
        <v>8.2402468104475961</v>
      </c>
      <c r="F1634" s="485"/>
      <c r="G1634" s="447"/>
      <c r="H1634" s="447"/>
      <c r="I1634" s="492"/>
    </row>
    <row r="1635" spans="1:9" s="444" customFormat="1" ht="12.3" x14ac:dyDescent="0.4">
      <c r="A1635" s="447"/>
      <c r="B1635" s="148" t="s">
        <v>142</v>
      </c>
      <c r="C1635" s="485">
        <f>ATAN(C1634)</f>
        <v>1.44629043261817</v>
      </c>
      <c r="D1635" s="489"/>
      <c r="E1635" s="485">
        <f ca="1">IF(ATAN(E1634)&lt;0,ATAN(E1634)+PI(),ATAN(E1634))</f>
        <v>1.4500312708329965</v>
      </c>
      <c r="F1635" s="485"/>
      <c r="G1635" s="447"/>
      <c r="H1635" s="447"/>
      <c r="I1635" s="492"/>
    </row>
    <row r="1636" spans="1:9" s="444" customFormat="1" ht="12.3" x14ac:dyDescent="0.4">
      <c r="A1636" s="447"/>
      <c r="B1636" s="147" t="s">
        <v>154</v>
      </c>
      <c r="C1636" s="485"/>
      <c r="D1636" s="489"/>
      <c r="E1636" s="460"/>
      <c r="F1636" s="485"/>
      <c r="G1636" s="447"/>
      <c r="H1636" s="447"/>
      <c r="I1636" s="492"/>
    </row>
    <row r="1637" spans="1:9" s="444" customFormat="1" ht="12.3" x14ac:dyDescent="0.4">
      <c r="A1637" s="447"/>
      <c r="B1637" s="460" t="s">
        <v>153</v>
      </c>
      <c r="C1637" s="485">
        <f>IF(C1630=0,0,C1622*C1626*SIN(C1628)/SQRT(C1630))</f>
        <v>-0.87717205849940139</v>
      </c>
      <c r="D1637" s="489"/>
      <c r="E1637" s="485">
        <f ca="1">IF(E1630=0,0,C1622*C1626*SIN(E1628)/SQRT(E1630))</f>
        <v>-0.87729318988052885</v>
      </c>
      <c r="F1637" s="485"/>
      <c r="G1637" s="460"/>
      <c r="H1637" s="460"/>
      <c r="I1637" s="492"/>
    </row>
    <row r="1638" spans="1:9" s="444" customFormat="1" ht="12.3" x14ac:dyDescent="0.4">
      <c r="A1638" s="447"/>
      <c r="B1638" s="147" t="s">
        <v>152</v>
      </c>
      <c r="C1638" s="485"/>
      <c r="D1638" s="489"/>
      <c r="E1638" s="489"/>
      <c r="F1638" s="485"/>
      <c r="G1638" s="460"/>
      <c r="H1638" s="460"/>
      <c r="I1638" s="447"/>
    </row>
    <row r="1639" spans="1:9" s="444" customFormat="1" ht="16.2" x14ac:dyDescent="0.65">
      <c r="A1639" s="447"/>
      <c r="B1639" s="447" t="s">
        <v>416</v>
      </c>
      <c r="C1639" s="447">
        <f>IF((COS(ASIN(C1637))*COS(ASIN(C1637)))=0,0,C1632-2*C1621*C1625/(COS(ASIN(C1637))*COS(ASIN(C1637))))</f>
        <v>0.12418446754088022</v>
      </c>
      <c r="D1639" s="489"/>
      <c r="E1639" s="447">
        <f ca="1">E1632-2*C1621*C1625/(COS(ASIN(E1637))*COS(ASIN(E1637)))</f>
        <v>0.12047172634629764</v>
      </c>
      <c r="F1639" s="460"/>
      <c r="G1639" s="460"/>
      <c r="H1639" s="460"/>
      <c r="I1639" s="447"/>
    </row>
    <row r="1640" spans="1:9" s="444" customFormat="1" ht="15.9" x14ac:dyDescent="0.45">
      <c r="A1640" s="447"/>
      <c r="B1640" s="447" t="s">
        <v>151</v>
      </c>
      <c r="C1640" s="487">
        <f>COS(ASIN(C1637))*COS(ASIN(C1637))*(C1614*C1614-C1615*C1615)/(C1615*C1615)</f>
        <v>1.5539202360500542E-3</v>
      </c>
      <c r="D1640" s="489"/>
      <c r="E1640" s="487">
        <f ca="1">COS(ASIN(E1637))*COS(ASIN(E1637))*(C1614*C1614-C1615*C1615)/(C1615*C1615)</f>
        <v>1.5524879528197087E-3</v>
      </c>
      <c r="F1640" s="447"/>
      <c r="G1640" s="460"/>
      <c r="H1640" s="460"/>
      <c r="I1640" s="447"/>
    </row>
    <row r="1641" spans="1:9" s="444" customFormat="1" ht="12.3" x14ac:dyDescent="0.4">
      <c r="A1641" s="447"/>
      <c r="B1641" s="152" t="s">
        <v>150</v>
      </c>
      <c r="C1641" s="485"/>
      <c r="D1641" s="489"/>
      <c r="E1641" s="460"/>
      <c r="F1641" s="485"/>
      <c r="G1641" s="460"/>
      <c r="H1641" s="460"/>
      <c r="I1641" s="447"/>
    </row>
    <row r="1642" spans="1:9" s="444" customFormat="1" ht="12.3" x14ac:dyDescent="0.4">
      <c r="A1642" s="447"/>
      <c r="B1642" s="460" t="s">
        <v>9</v>
      </c>
      <c r="C1642" s="485">
        <f>1+C1640/16384*(4096+C1640*(-768+C1640*(320-175*C1640)))</f>
        <v>1.0003883669446683</v>
      </c>
      <c r="D1642" s="489"/>
      <c r="E1642" s="485">
        <f ca="1">1+E1640/16384*(4096+E1640*(-768+E1640*(320-175*E1640)))</f>
        <v>1.0003880090822173</v>
      </c>
      <c r="F1642" s="485"/>
      <c r="G1642" s="460"/>
      <c r="H1642" s="460"/>
      <c r="I1642" s="447"/>
    </row>
    <row r="1643" spans="1:9" s="444" customFormat="1" ht="12.3" x14ac:dyDescent="0.4">
      <c r="A1643" s="447"/>
      <c r="B1643" s="147" t="s">
        <v>149</v>
      </c>
      <c r="C1643" s="485"/>
      <c r="D1643" s="489"/>
      <c r="E1643" s="460"/>
      <c r="F1643" s="485"/>
      <c r="G1643" s="460"/>
      <c r="H1643" s="460"/>
      <c r="I1643" s="490"/>
    </row>
    <row r="1644" spans="1:9" s="444" customFormat="1" ht="12.3" x14ac:dyDescent="0.4">
      <c r="A1644" s="447"/>
      <c r="B1644" s="460" t="s">
        <v>10</v>
      </c>
      <c r="C1644" s="485">
        <f>C1640/1024*(256+C1640*(-128+C1640*(74-47*C1640)))</f>
        <v>3.8817849638759187E-4</v>
      </c>
      <c r="D1644" s="489"/>
      <c r="E1644" s="485">
        <f ca="1">E1640/1024*(256+E1640*(-128+E1640*(74-47*E1640)))</f>
        <v>3.878209809889366E-4</v>
      </c>
      <c r="F1644" s="485"/>
      <c r="G1644" s="460"/>
      <c r="H1644" s="460"/>
      <c r="I1644" s="447"/>
    </row>
    <row r="1645" spans="1:9" s="444" customFormat="1" ht="12.3" x14ac:dyDescent="0.4">
      <c r="A1645" s="447"/>
      <c r="B1645" s="147" t="s">
        <v>148</v>
      </c>
      <c r="C1645" s="485"/>
      <c r="D1645" s="489"/>
      <c r="E1645" s="460"/>
      <c r="F1645" s="485"/>
      <c r="G1645" s="460"/>
      <c r="H1645" s="460"/>
      <c r="I1645" s="447"/>
    </row>
    <row r="1646" spans="1:9" s="444" customFormat="1" ht="12.3" x14ac:dyDescent="0.4">
      <c r="A1646" s="447"/>
      <c r="B1646" s="148" t="s">
        <v>147</v>
      </c>
      <c r="C1646" s="485">
        <f>C1644*SQRT(C1630)*(C1639+C1644/4*(C1632*(-1+2*C1639*C1639)-C1644/6*C1639*(-3+4*C1630)*(-3+4*C1639*C1639)))</f>
        <v>4.7828088521849583E-5</v>
      </c>
      <c r="D1646" s="489"/>
      <c r="E1646" s="485">
        <f ca="1">E1644*SQRT(E1630)*(E1639+E1644/4*(E1632*(-1+2*E1639*E1639)-E1644/6*E1639*(-3+4*E1630)*(-3+4*E1639*E1639)))</f>
        <v>4.637681384468536E-5</v>
      </c>
      <c r="F1646" s="485"/>
      <c r="G1646" s="460"/>
      <c r="H1646" s="460"/>
      <c r="I1646" s="447"/>
    </row>
    <row r="1647" spans="1:9" s="444" customFormat="1" ht="12.3" x14ac:dyDescent="0.4">
      <c r="A1647" s="447"/>
      <c r="B1647" s="460"/>
      <c r="C1647" s="485"/>
      <c r="D1647" s="489"/>
      <c r="E1647" s="460"/>
      <c r="F1647" s="485"/>
      <c r="G1647" s="460"/>
      <c r="H1647" s="460"/>
      <c r="I1647" s="447"/>
    </row>
    <row r="1648" spans="1:9" s="444" customFormat="1" ht="12.3" x14ac:dyDescent="0.4">
      <c r="A1648" s="447"/>
      <c r="B1648" s="147" t="s">
        <v>146</v>
      </c>
      <c r="C1648" s="485"/>
      <c r="D1648" s="494"/>
      <c r="E1648" s="460"/>
      <c r="F1648" s="485"/>
      <c r="G1648" s="460"/>
      <c r="H1648" s="460"/>
      <c r="I1648" s="150"/>
    </row>
    <row r="1649" spans="1:10" s="444" customFormat="1" ht="12.3" x14ac:dyDescent="0.4">
      <c r="A1649" s="447"/>
      <c r="B1649" s="460" t="s">
        <v>11</v>
      </c>
      <c r="C1649" s="485">
        <f>C1616/16*COS(ASIN(C1637))*COS(ASIN(C1637))*(4+C1616*(4-3*COS(ASIN(C1637))*COS(ASIN(C1637))))</f>
        <v>1.9379962526272891E-4</v>
      </c>
      <c r="D1649" s="494"/>
      <c r="E1649" s="485">
        <f ca="1">C1616/16*COS(ASIN(E1637))*COS(ASIN(E1637))*(4+C1616*(4-3*COS(ASIN(E1637))*COS(ASIN(E1637))))</f>
        <v>1.9362109897561343E-4</v>
      </c>
      <c r="F1649" s="485"/>
      <c r="G1649" s="460"/>
      <c r="H1649" s="460"/>
      <c r="I1649" s="150"/>
    </row>
    <row r="1650" spans="1:10" s="444" customFormat="1" ht="12.3" x14ac:dyDescent="0.4">
      <c r="A1650" s="447"/>
      <c r="B1650" s="147" t="s">
        <v>145</v>
      </c>
      <c r="C1650" s="485"/>
      <c r="D1650" s="494"/>
      <c r="E1650" s="460"/>
      <c r="F1650" s="485"/>
      <c r="G1650" s="460"/>
      <c r="H1650" s="460"/>
      <c r="I1650" s="150"/>
    </row>
    <row r="1651" spans="1:10" s="444" customFormat="1" ht="12.3" x14ac:dyDescent="0.4">
      <c r="A1651" s="447"/>
      <c r="B1651" s="151" t="s">
        <v>144</v>
      </c>
      <c r="C1651" s="485">
        <f>C1617+(1-C1649)*C1616*C1637*(ACOS(C1632)+C1649*SIN(ACOS(C1632))*(C1639+C1649*C1632*(-1+2*C1639*C1639)))</f>
        <v>-1.4333274930918278</v>
      </c>
      <c r="D1651" s="494"/>
      <c r="E1651" s="511">
        <f ca="1">C1617+(1-E1649)*C1616*E1637*(ACOS(E1632)+E1649*SIN(ACOS(E1632))*(E1639+E1649*E1632*(-1+2*E1639*E1639)))</f>
        <v>-1.4333390801627803</v>
      </c>
      <c r="F1651" s="485"/>
      <c r="G1651" s="460"/>
      <c r="H1651" s="460"/>
      <c r="I1651" s="150"/>
    </row>
    <row r="1652" spans="1:10" s="444" customFormat="1" ht="12.3" x14ac:dyDescent="0.4">
      <c r="A1652" s="447"/>
      <c r="B1652" s="149" t="s">
        <v>143</v>
      </c>
      <c r="C1652" s="485"/>
      <c r="D1652" s="494"/>
      <c r="E1652" s="148"/>
      <c r="F1652" s="485"/>
      <c r="G1652" s="460"/>
      <c r="H1652" s="460"/>
      <c r="I1652" s="496"/>
    </row>
    <row r="1653" spans="1:10" s="444" customFormat="1" ht="12.3" x14ac:dyDescent="0.4">
      <c r="A1653" s="447"/>
      <c r="B1653" s="460" t="s">
        <v>142</v>
      </c>
      <c r="C1653" s="485">
        <f>IF(B1668="samepoint",0,C1615*C1642*(ATAN(C1634)-C1646))</f>
        <v>9196976.4383121803</v>
      </c>
      <c r="D1653" s="494"/>
      <c r="E1653" s="485">
        <f ca="1">IF(B1668="samepoint",0,C1615*E1642*(E1635-E1646))</f>
        <v>9220771.1859836616</v>
      </c>
      <c r="F1653" s="460"/>
      <c r="G1653" s="460"/>
      <c r="H1653" s="460"/>
      <c r="I1653" s="496"/>
    </row>
    <row r="1654" spans="1:10" s="444" customFormat="1" ht="12.3" x14ac:dyDescent="0.4">
      <c r="A1654" s="447"/>
      <c r="B1654" s="147" t="s">
        <v>141</v>
      </c>
      <c r="C1654" s="485"/>
      <c r="D1654" s="494"/>
      <c r="E1654" s="485"/>
      <c r="F1654" s="460"/>
      <c r="G1654" s="460"/>
      <c r="H1654" s="460"/>
      <c r="I1654" s="496"/>
    </row>
    <row r="1655" spans="1:10" s="444" customFormat="1" ht="16.2" x14ac:dyDescent="0.65">
      <c r="A1655" s="447"/>
      <c r="B1655" s="460" t="s">
        <v>140</v>
      </c>
      <c r="C1655" s="485"/>
      <c r="D1655" s="494"/>
      <c r="E1655" s="485">
        <f ca="1">C1626*SIN(E1651)/(C1622*C1625-C1621*C1626*COS(E1651))</f>
        <v>-1.8278660754655456</v>
      </c>
      <c r="F1655" s="460"/>
      <c r="G1655" s="460"/>
      <c r="H1655" s="460"/>
      <c r="I1655" s="496"/>
    </row>
    <row r="1656" spans="1:10" s="444" customFormat="1" ht="12.3" x14ac:dyDescent="0.4">
      <c r="A1656" s="447"/>
      <c r="B1656" s="147" t="s">
        <v>139</v>
      </c>
      <c r="C1656" s="485"/>
      <c r="D1656" s="494"/>
      <c r="E1656" s="485"/>
      <c r="F1656" s="460"/>
      <c r="G1656" s="460"/>
      <c r="H1656" s="460"/>
      <c r="I1656" s="496"/>
    </row>
    <row r="1657" spans="1:10" s="444" customFormat="1" ht="16.8" x14ac:dyDescent="0.7">
      <c r="A1657" s="447"/>
      <c r="B1657" s="460" t="s">
        <v>138</v>
      </c>
      <c r="C1657" s="485"/>
      <c r="D1657" s="494"/>
      <c r="E1657" s="485">
        <f>C1622*SIN(C1651)/(-C1621*C1626+C1622*C1625*COS(C1651))</f>
        <v>-15.171277978574111</v>
      </c>
      <c r="F1657" s="460"/>
      <c r="G1657" s="460"/>
      <c r="H1657" s="460"/>
      <c r="I1657" s="496"/>
    </row>
    <row r="1658" spans="1:10" s="444" customFormat="1" ht="12.3" x14ac:dyDescent="0.4">
      <c r="A1658" s="447"/>
      <c r="B1658" s="460"/>
      <c r="C1658" s="485"/>
      <c r="D1658" s="494"/>
      <c r="E1658" s="460"/>
      <c r="F1658" s="485"/>
      <c r="G1658" s="460"/>
      <c r="H1658" s="460"/>
      <c r="I1658" s="496"/>
    </row>
    <row r="1659" spans="1:10" s="444" customFormat="1" ht="12.3" x14ac:dyDescent="0.4">
      <c r="A1659" s="447"/>
      <c r="B1659" s="460"/>
      <c r="C1659" s="497"/>
      <c r="D1659" s="447"/>
      <c r="E1659" s="460"/>
      <c r="F1659" s="485"/>
      <c r="G1659" s="460"/>
      <c r="H1659" s="460"/>
      <c r="I1659" s="496"/>
    </row>
    <row r="1660" spans="1:10" s="444" customFormat="1" ht="12.3" x14ac:dyDescent="0.4">
      <c r="A1660" s="447"/>
      <c r="B1660" s="460"/>
      <c r="C1660" s="460"/>
      <c r="D1660" s="447"/>
      <c r="E1660" s="489"/>
      <c r="F1660" s="494"/>
      <c r="G1660" s="460"/>
      <c r="H1660" s="460"/>
      <c r="I1660" s="496"/>
    </row>
    <row r="1661" spans="1:10" s="444" customFormat="1" ht="12.3" x14ac:dyDescent="0.4">
      <c r="A1661" s="447"/>
      <c r="B1661" s="146" t="s">
        <v>137</v>
      </c>
      <c r="C1661" s="146"/>
      <c r="D1661" s="489"/>
      <c r="E1661" s="146" t="s">
        <v>136</v>
      </c>
      <c r="F1661" s="146"/>
      <c r="G1661" s="460"/>
      <c r="H1661" s="460"/>
      <c r="I1661" s="496"/>
    </row>
    <row r="1662" spans="1:10" s="444" customFormat="1" ht="14.7" x14ac:dyDescent="0.6">
      <c r="A1662" s="447"/>
      <c r="B1662" s="145" t="s">
        <v>417</v>
      </c>
      <c r="C1662" s="485">
        <f ca="1">ATAN(E1655)</f>
        <v>-1.0701930791066867</v>
      </c>
      <c r="D1662" s="447"/>
      <c r="E1662" s="145" t="s">
        <v>418</v>
      </c>
      <c r="F1662" s="485">
        <f>ATAN(E1657)</f>
        <v>-1.5049775114406299</v>
      </c>
      <c r="G1662" s="460"/>
      <c r="H1662" s="460"/>
      <c r="I1662" s="496">
        <f>ATAN2(E1611-E1609,E1612-E1610)*180/PI()</f>
        <v>-70.786603522169571</v>
      </c>
      <c r="J1662" s="496">
        <f>ATAN2(E1609-E1611,E1610-E1612)*180/PI()</f>
        <v>109.21339647783044</v>
      </c>
    </row>
    <row r="1663" spans="1:10" s="444" customFormat="1" ht="14.7" x14ac:dyDescent="0.6">
      <c r="A1663" s="447"/>
      <c r="B1663" s="145" t="s">
        <v>419</v>
      </c>
      <c r="C1663" s="485">
        <f ca="1">(C1662/PI())*180+360</f>
        <v>298.68245330307661</v>
      </c>
      <c r="D1663" s="447"/>
      <c r="E1663" s="145" t="s">
        <v>420</v>
      </c>
      <c r="F1663" s="485">
        <f>(F1662/PI())*180+180</f>
        <v>93.771140332350342</v>
      </c>
      <c r="G1663" s="460"/>
      <c r="H1663" s="460"/>
      <c r="I1663" s="496">
        <f ca="1">IF(I1662&lt;0,C1662*180/PI()+360,C1662*180/PI())</f>
        <v>298.68245330307661</v>
      </c>
      <c r="J1663" s="498">
        <f>IF(J1662&gt;0,F1662*180/PI()+180,F1662*180/PI())</f>
        <v>93.771140332350328</v>
      </c>
    </row>
    <row r="1664" spans="1:10" s="444" customFormat="1" ht="14.7" x14ac:dyDescent="0.6">
      <c r="A1664" s="447"/>
      <c r="B1664" s="145" t="s">
        <v>419</v>
      </c>
      <c r="C1664" s="485">
        <f ca="1">IF(C1663&gt;=360,C1663-360,C1663)</f>
        <v>298.68245330307661</v>
      </c>
      <c r="D1664" s="447"/>
      <c r="E1664" s="145" t="s">
        <v>420</v>
      </c>
      <c r="F1664" s="485">
        <f>IF(F1663&gt;=360,F1663-360,F1663)</f>
        <v>93.771140332350342</v>
      </c>
      <c r="G1664" s="460"/>
      <c r="H1664" s="460"/>
      <c r="I1664" s="496">
        <f ca="1">ATAN2((C1622*C1625-C1621*C1626*COS(E1651)),C1626*SIN(E1651))</f>
        <v>-1.0701930791066867</v>
      </c>
      <c r="J1664" s="485">
        <f ca="1">ATAN2((-C1621*C1626+C1622*C1625*COS(E1651)),C1622*SIN(E1651))</f>
        <v>-1.504983113519696</v>
      </c>
    </row>
    <row r="1665" spans="1:10" s="444" customFormat="1" ht="14.7" x14ac:dyDescent="0.6">
      <c r="A1665" s="447"/>
      <c r="B1665" s="145" t="s">
        <v>419</v>
      </c>
      <c r="C1665" s="485">
        <f ca="1">IF(B1668="samepoint",0,IF(B1669="northsouth",0,IF(B1670="southnorth",180,C1664)))</f>
        <v>298.68245330307661</v>
      </c>
      <c r="D1665" s="447"/>
      <c r="E1665" s="145" t="s">
        <v>420</v>
      </c>
      <c r="F1665" s="485">
        <f>IF(B1668="samepoint",0,IF(B1669="northsouth",180,IF(B1670="southnorth",0,F1664)))</f>
        <v>93.771140332350342</v>
      </c>
      <c r="G1665" s="447"/>
      <c r="H1665" s="447"/>
      <c r="I1665" s="485">
        <f ca="1">IF(B1668="samepoint",0,IF(B1669="northsouth",0,IF(B1670="southnorth",180,IF(I1664&lt;0,I1664*180/PI()+360,I1664*180/PI()))))</f>
        <v>298.68245330307661</v>
      </c>
      <c r="J1665" s="485">
        <f ca="1">IF(B1668="samepoint",0,IF(B1669="northsouth",180,IF(B1670="southnorth",0,J1664*180/PI()+180)))</f>
        <v>93.770819356863342</v>
      </c>
    </row>
    <row r="1666" spans="1:10" s="444" customFormat="1" ht="12.3" x14ac:dyDescent="0.4">
      <c r="A1666" s="447"/>
      <c r="B1666" s="145"/>
      <c r="C1666" s="447"/>
      <c r="D1666" s="447"/>
      <c r="E1666" s="145"/>
      <c r="F1666" s="447"/>
      <c r="G1666" s="447"/>
      <c r="H1666" s="447"/>
      <c r="I1666" s="447"/>
    </row>
    <row r="1667" spans="1:10" s="444" customFormat="1" ht="12.3" x14ac:dyDescent="0.4">
      <c r="A1667" s="447"/>
      <c r="B1667" s="144" t="s">
        <v>135</v>
      </c>
      <c r="C1667" s="144"/>
      <c r="D1667" s="447"/>
      <c r="E1667" s="447"/>
      <c r="F1667" s="447"/>
      <c r="G1667" s="447"/>
      <c r="H1667" s="447"/>
      <c r="I1667" s="447"/>
    </row>
    <row r="1668" spans="1:10" s="444" customFormat="1" ht="12.3" x14ac:dyDescent="0.4">
      <c r="A1668" s="447"/>
      <c r="B1668" s="447" t="str">
        <f>IF(AND(C1609=C1611,C1610=C1612),"samepoint","N.A. " )</f>
        <v xml:space="preserve">N.A. </v>
      </c>
      <c r="C1668" s="447" t="s">
        <v>134</v>
      </c>
      <c r="D1668" s="447"/>
      <c r="E1668" s="447"/>
      <c r="F1668" s="447"/>
      <c r="G1668" s="447"/>
      <c r="H1668" s="447"/>
      <c r="I1668" s="447"/>
    </row>
    <row r="1669" spans="1:10" s="444" customFormat="1" ht="12.3" x14ac:dyDescent="0.4">
      <c r="A1669" s="447"/>
      <c r="B1669" s="447" t="str">
        <f>IF(AND(C1610=C1612,C1611&gt;C1609),"northsouth","N.A. ")</f>
        <v xml:space="preserve">N.A. </v>
      </c>
      <c r="C1669" s="447" t="s">
        <v>133</v>
      </c>
      <c r="D1669" s="447"/>
      <c r="E1669" s="447"/>
      <c r="F1669" s="447"/>
      <c r="G1669" s="447"/>
      <c r="H1669" s="447"/>
      <c r="I1669" s="447"/>
    </row>
    <row r="1670" spans="1:10" s="444" customFormat="1" ht="12.3" x14ac:dyDescent="0.4">
      <c r="A1670" s="447"/>
      <c r="B1670" s="447" t="str">
        <f>IF(AND(C1610=C1612,C1609&gt;C1611),"southnorth","N.A. ")</f>
        <v xml:space="preserve">N.A. </v>
      </c>
      <c r="C1670" s="447" t="s">
        <v>132</v>
      </c>
      <c r="D1670" s="447"/>
      <c r="E1670" s="447"/>
      <c r="F1670" s="447"/>
      <c r="G1670" s="447"/>
      <c r="H1670" s="447"/>
      <c r="I1670" s="447"/>
    </row>
  </sheetData>
  <sheetProtection selectLockedCells="1" selectUnlockedCells="1"/>
  <mergeCells count="71">
    <mergeCell ref="M1529:N1529"/>
    <mergeCell ref="Q1529:S1529"/>
    <mergeCell ref="M1530:N1530"/>
    <mergeCell ref="Q1530:S1530"/>
    <mergeCell ref="G724:H724"/>
    <mergeCell ref="G873:I873"/>
    <mergeCell ref="Q873:S873"/>
    <mergeCell ref="G948:I948"/>
    <mergeCell ref="Q948:S948"/>
    <mergeCell ref="A1:J1"/>
    <mergeCell ref="A2:C2"/>
    <mergeCell ref="G6:H6"/>
    <mergeCell ref="G78:H78"/>
    <mergeCell ref="G149:H149"/>
    <mergeCell ref="G220:H220"/>
    <mergeCell ref="G292:I292"/>
    <mergeCell ref="G364:I364"/>
    <mergeCell ref="G436:I436"/>
    <mergeCell ref="G508:I508"/>
    <mergeCell ref="G580:I580"/>
    <mergeCell ref="G798:H798"/>
    <mergeCell ref="G872:H872"/>
    <mergeCell ref="Q872:R872"/>
    <mergeCell ref="AA872:AB872"/>
    <mergeCell ref="AA873:AC873"/>
    <mergeCell ref="G874:I874"/>
    <mergeCell ref="Q874:S874"/>
    <mergeCell ref="AA874:AC874"/>
    <mergeCell ref="G947:I947"/>
    <mergeCell ref="Q947:S947"/>
    <mergeCell ref="AA947:AC947"/>
    <mergeCell ref="AA948:AC948"/>
    <mergeCell ref="G1019:H1019"/>
    <mergeCell ref="C1020:D1020"/>
    <mergeCell ref="G1020:I1020"/>
    <mergeCell ref="C1021:D1021"/>
    <mergeCell ref="G1021:I1021"/>
    <mergeCell ref="C1093:D1093"/>
    <mergeCell ref="G1093:I1093"/>
    <mergeCell ref="C1094:D1094"/>
    <mergeCell ref="G1094:I1094"/>
    <mergeCell ref="C1311:D1311"/>
    <mergeCell ref="G1311:I1311"/>
    <mergeCell ref="G1164:H1164"/>
    <mergeCell ref="C1165:D1165"/>
    <mergeCell ref="G1165:I1165"/>
    <mergeCell ref="C1166:D1166"/>
    <mergeCell ref="G1166:I1166"/>
    <mergeCell ref="C1238:D1238"/>
    <mergeCell ref="G1238:I1238"/>
    <mergeCell ref="C1239:D1239"/>
    <mergeCell ref="G1239:I1239"/>
    <mergeCell ref="G1309:H1309"/>
    <mergeCell ref="C1310:D1310"/>
    <mergeCell ref="G1310:I1310"/>
    <mergeCell ref="C1383:D1383"/>
    <mergeCell ref="G1383:I1383"/>
    <mergeCell ref="C1384:D1384"/>
    <mergeCell ref="G1384:I1384"/>
    <mergeCell ref="C1456:D1456"/>
    <mergeCell ref="G1456:I1456"/>
    <mergeCell ref="C1602:D1602"/>
    <mergeCell ref="G1602:I1602"/>
    <mergeCell ref="C1603:D1603"/>
    <mergeCell ref="G1603:I1603"/>
    <mergeCell ref="C1457:D1457"/>
    <mergeCell ref="G1457:I1457"/>
    <mergeCell ref="C1529:D1529"/>
    <mergeCell ref="G1529:I1529"/>
    <mergeCell ref="C1530:D1530"/>
    <mergeCell ref="G1530:I1530"/>
  </mergeCells>
  <pageMargins left="0.75" right="0.75" top="1" bottom="1" header="0.5" footer="0.5"/>
  <pageSetup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Fill="0" autoLine="0" autoPict="0" r:id="rId5">
            <anchor moveWithCells="1" sizeWithCells="1">
              <from>
                <xdr:col>1</xdr:col>
                <xdr:colOff>68580</xdr:colOff>
                <xdr:row>112</xdr:row>
                <xdr:rowOff>0</xdr:rowOff>
              </from>
              <to>
                <xdr:col>4</xdr:col>
                <xdr:colOff>685800</xdr:colOff>
                <xdr:row>112</xdr:row>
                <xdr:rowOff>0</xdr:rowOff>
              </to>
            </anchor>
          </objectPr>
        </oleObject>
      </mc:Choice>
      <mc:Fallback>
        <oleObject progId="Equation.3" shapeId="1025" r:id="rId4"/>
      </mc:Fallback>
    </mc:AlternateContent>
    <mc:AlternateContent xmlns:mc="http://schemas.openxmlformats.org/markup-compatibility/2006">
      <mc:Choice Requires="x14">
        <oleObject progId="Equation.3" shapeId="1026" r:id="rId6">
          <objectPr defaultSize="0" autoFill="0" autoLine="0" autoPict="0" r:id="rId7">
            <anchor moveWithCells="1" sizeWithCells="1">
              <from>
                <xdr:col>1</xdr:col>
                <xdr:colOff>182880</xdr:colOff>
                <xdr:row>75</xdr:row>
                <xdr:rowOff>0</xdr:rowOff>
              </from>
              <to>
                <xdr:col>2</xdr:col>
                <xdr:colOff>0</xdr:colOff>
                <xdr:row>75</xdr:row>
                <xdr:rowOff>11430</xdr:rowOff>
              </to>
            </anchor>
          </objectPr>
        </oleObject>
      </mc:Choice>
      <mc:Fallback>
        <oleObject progId="Equation.3" shapeId="1026" r:id="rId6"/>
      </mc:Fallback>
    </mc:AlternateContent>
    <mc:AlternateContent xmlns:mc="http://schemas.openxmlformats.org/markup-compatibility/2006">
      <mc:Choice Requires="x14">
        <oleObject progId="Equation.3" shapeId="1027" r:id="rId8">
          <objectPr defaultSize="0" autoFill="0" autoLine="0" autoPict="0" r:id="rId7">
            <anchor moveWithCells="1" sizeWithCells="1">
              <from>
                <xdr:col>1</xdr:col>
                <xdr:colOff>182880</xdr:colOff>
                <xdr:row>146</xdr:row>
                <xdr:rowOff>0</xdr:rowOff>
              </from>
              <to>
                <xdr:col>2</xdr:col>
                <xdr:colOff>0</xdr:colOff>
                <xdr:row>146</xdr:row>
                <xdr:rowOff>11430</xdr:rowOff>
              </to>
            </anchor>
          </objectPr>
        </oleObject>
      </mc:Choice>
      <mc:Fallback>
        <oleObject progId="Equation.3" shapeId="1027" r:id="rId8"/>
      </mc:Fallback>
    </mc:AlternateContent>
    <mc:AlternateContent xmlns:mc="http://schemas.openxmlformats.org/markup-compatibility/2006">
      <mc:Choice Requires="x14">
        <oleObject progId="Equation.3" shapeId="1028" r:id="rId9">
          <objectPr defaultSize="0" autoFill="0" autoLine="0" autoPict="0" r:id="rId5">
            <anchor moveWithCells="1" sizeWithCells="1">
              <from>
                <xdr:col>1</xdr:col>
                <xdr:colOff>68580</xdr:colOff>
                <xdr:row>183</xdr:row>
                <xdr:rowOff>0</xdr:rowOff>
              </from>
              <to>
                <xdr:col>4</xdr:col>
                <xdr:colOff>685800</xdr:colOff>
                <xdr:row>183</xdr:row>
                <xdr:rowOff>0</xdr:rowOff>
              </to>
            </anchor>
          </objectPr>
        </oleObject>
      </mc:Choice>
      <mc:Fallback>
        <oleObject progId="Equation.3" shapeId="1028" r:id="rId9"/>
      </mc:Fallback>
    </mc:AlternateContent>
    <mc:AlternateContent xmlns:mc="http://schemas.openxmlformats.org/markup-compatibility/2006">
      <mc:Choice Requires="x14">
        <oleObject progId="Equation.3" shapeId="1029" r:id="rId10">
          <objectPr defaultSize="0" autoFill="0" autoLine="0" autoPict="0" r:id="rId5">
            <anchor moveWithCells="1" sizeWithCells="1">
              <from>
                <xdr:col>1</xdr:col>
                <xdr:colOff>68580</xdr:colOff>
                <xdr:row>255</xdr:row>
                <xdr:rowOff>0</xdr:rowOff>
              </from>
              <to>
                <xdr:col>4</xdr:col>
                <xdr:colOff>685800</xdr:colOff>
                <xdr:row>255</xdr:row>
                <xdr:rowOff>0</xdr:rowOff>
              </to>
            </anchor>
          </objectPr>
        </oleObject>
      </mc:Choice>
      <mc:Fallback>
        <oleObject progId="Equation.3" shapeId="1029" r:id="rId10"/>
      </mc:Fallback>
    </mc:AlternateContent>
    <mc:AlternateContent xmlns:mc="http://schemas.openxmlformats.org/markup-compatibility/2006">
      <mc:Choice Requires="x14">
        <oleObject progId="Equation.3" shapeId="1030" r:id="rId11">
          <objectPr defaultSize="0" autoFill="0" autoLine="0" autoPict="0" r:id="rId5">
            <anchor moveWithCells="1" sizeWithCells="1">
              <from>
                <xdr:col>1</xdr:col>
                <xdr:colOff>68580</xdr:colOff>
                <xdr:row>327</xdr:row>
                <xdr:rowOff>0</xdr:rowOff>
              </from>
              <to>
                <xdr:col>4</xdr:col>
                <xdr:colOff>685800</xdr:colOff>
                <xdr:row>327</xdr:row>
                <xdr:rowOff>0</xdr:rowOff>
              </to>
            </anchor>
          </objectPr>
        </oleObject>
      </mc:Choice>
      <mc:Fallback>
        <oleObject progId="Equation.3" shapeId="1030" r:id="rId11"/>
      </mc:Fallback>
    </mc:AlternateContent>
    <mc:AlternateContent xmlns:mc="http://schemas.openxmlformats.org/markup-compatibility/2006">
      <mc:Choice Requires="x14">
        <oleObject progId="Equation.3" shapeId="1031" r:id="rId12">
          <objectPr defaultSize="0" autoFill="0" autoLine="0" autoPict="0" r:id="rId5">
            <anchor moveWithCells="1" sizeWithCells="1">
              <from>
                <xdr:col>1</xdr:col>
                <xdr:colOff>68580</xdr:colOff>
                <xdr:row>399</xdr:row>
                <xdr:rowOff>0</xdr:rowOff>
              </from>
              <to>
                <xdr:col>4</xdr:col>
                <xdr:colOff>685800</xdr:colOff>
                <xdr:row>399</xdr:row>
                <xdr:rowOff>0</xdr:rowOff>
              </to>
            </anchor>
          </objectPr>
        </oleObject>
      </mc:Choice>
      <mc:Fallback>
        <oleObject progId="Equation.3" shapeId="1031" r:id="rId12"/>
      </mc:Fallback>
    </mc:AlternateContent>
    <mc:AlternateContent xmlns:mc="http://schemas.openxmlformats.org/markup-compatibility/2006">
      <mc:Choice Requires="x14">
        <oleObject progId="Equation.3" shapeId="1032" r:id="rId13">
          <objectPr defaultSize="0" autoFill="0" autoLine="0" autoPict="0" r:id="rId5">
            <anchor moveWithCells="1" sizeWithCells="1">
              <from>
                <xdr:col>1</xdr:col>
                <xdr:colOff>68580</xdr:colOff>
                <xdr:row>471</xdr:row>
                <xdr:rowOff>0</xdr:rowOff>
              </from>
              <to>
                <xdr:col>4</xdr:col>
                <xdr:colOff>685800</xdr:colOff>
                <xdr:row>471</xdr:row>
                <xdr:rowOff>0</xdr:rowOff>
              </to>
            </anchor>
          </objectPr>
        </oleObject>
      </mc:Choice>
      <mc:Fallback>
        <oleObject progId="Equation.3" shapeId="1032" r:id="rId13"/>
      </mc:Fallback>
    </mc:AlternateContent>
    <mc:AlternateContent xmlns:mc="http://schemas.openxmlformats.org/markup-compatibility/2006">
      <mc:Choice Requires="x14">
        <oleObject progId="Equation.3" shapeId="1033" r:id="rId14">
          <objectPr defaultSize="0" autoFill="0" autoLine="0" autoPict="0" r:id="rId5">
            <anchor moveWithCells="1" sizeWithCells="1">
              <from>
                <xdr:col>1</xdr:col>
                <xdr:colOff>68580</xdr:colOff>
                <xdr:row>543</xdr:row>
                <xdr:rowOff>0</xdr:rowOff>
              </from>
              <to>
                <xdr:col>4</xdr:col>
                <xdr:colOff>685800</xdr:colOff>
                <xdr:row>543</xdr:row>
                <xdr:rowOff>0</xdr:rowOff>
              </to>
            </anchor>
          </objectPr>
        </oleObject>
      </mc:Choice>
      <mc:Fallback>
        <oleObject progId="Equation.3" shapeId="1033" r:id="rId14"/>
      </mc:Fallback>
    </mc:AlternateContent>
    <mc:AlternateContent xmlns:mc="http://schemas.openxmlformats.org/markup-compatibility/2006">
      <mc:Choice Requires="x14">
        <oleObject progId="Equation.3" shapeId="1034" r:id="rId15">
          <objectPr defaultSize="0" autoFill="0" autoLine="0" autoPict="0" r:id="rId5">
            <anchor moveWithCells="1" sizeWithCells="1">
              <from>
                <xdr:col>1</xdr:col>
                <xdr:colOff>68580</xdr:colOff>
                <xdr:row>615</xdr:row>
                <xdr:rowOff>0</xdr:rowOff>
              </from>
              <to>
                <xdr:col>4</xdr:col>
                <xdr:colOff>685800</xdr:colOff>
                <xdr:row>615</xdr:row>
                <xdr:rowOff>0</xdr:rowOff>
              </to>
            </anchor>
          </objectPr>
        </oleObject>
      </mc:Choice>
      <mc:Fallback>
        <oleObject progId="Equation.3" shapeId="1034" r:id="rId15"/>
      </mc:Fallback>
    </mc:AlternateContent>
    <mc:AlternateContent xmlns:mc="http://schemas.openxmlformats.org/markup-compatibility/2006">
      <mc:Choice Requires="x14">
        <oleObject progId="Equation.3" shapeId="1035" r:id="rId16">
          <objectPr defaultSize="0" autoFill="0" autoLine="0" autoPict="0" r:id="rId5">
            <anchor moveWithCells="1" sizeWithCells="1">
              <from>
                <xdr:col>1</xdr:col>
                <xdr:colOff>68580</xdr:colOff>
                <xdr:row>687</xdr:row>
                <xdr:rowOff>0</xdr:rowOff>
              </from>
              <to>
                <xdr:col>4</xdr:col>
                <xdr:colOff>685800</xdr:colOff>
                <xdr:row>687</xdr:row>
                <xdr:rowOff>0</xdr:rowOff>
              </to>
            </anchor>
          </objectPr>
        </oleObject>
      </mc:Choice>
      <mc:Fallback>
        <oleObject progId="Equation.3" shapeId="1035" r:id="rId16"/>
      </mc:Fallback>
    </mc:AlternateContent>
    <mc:AlternateContent xmlns:mc="http://schemas.openxmlformats.org/markup-compatibility/2006">
      <mc:Choice Requires="x14">
        <oleObject progId="Equation.3" shapeId="1036" r:id="rId17">
          <objectPr defaultSize="0" autoFill="0" autoLine="0" autoPict="0" r:id="rId5">
            <anchor moveWithCells="1" sizeWithCells="1">
              <from>
                <xdr:col>1</xdr:col>
                <xdr:colOff>68580</xdr:colOff>
                <xdr:row>759</xdr:row>
                <xdr:rowOff>0</xdr:rowOff>
              </from>
              <to>
                <xdr:col>4</xdr:col>
                <xdr:colOff>685800</xdr:colOff>
                <xdr:row>759</xdr:row>
                <xdr:rowOff>0</xdr:rowOff>
              </to>
            </anchor>
          </objectPr>
        </oleObject>
      </mc:Choice>
      <mc:Fallback>
        <oleObject progId="Equation.3" shapeId="1036" r:id="rId17"/>
      </mc:Fallback>
    </mc:AlternateContent>
    <mc:AlternateContent xmlns:mc="http://schemas.openxmlformats.org/markup-compatibility/2006">
      <mc:Choice Requires="x14">
        <oleObject progId="Equation.3" shapeId="1037" r:id="rId18">
          <objectPr defaultSize="0" autoFill="0" autoLine="0" autoPict="0" r:id="rId5">
            <anchor moveWithCells="1" sizeWithCells="1">
              <from>
                <xdr:col>1</xdr:col>
                <xdr:colOff>68580</xdr:colOff>
                <xdr:row>796</xdr:row>
                <xdr:rowOff>0</xdr:rowOff>
              </from>
              <to>
                <xdr:col>4</xdr:col>
                <xdr:colOff>685800</xdr:colOff>
                <xdr:row>796</xdr:row>
                <xdr:rowOff>0</xdr:rowOff>
              </to>
            </anchor>
          </objectPr>
        </oleObject>
      </mc:Choice>
      <mc:Fallback>
        <oleObject progId="Equation.3" shapeId="1037" r:id="rId18"/>
      </mc:Fallback>
    </mc:AlternateContent>
    <mc:AlternateContent xmlns:mc="http://schemas.openxmlformats.org/markup-compatibility/2006">
      <mc:Choice Requires="x14">
        <oleObject progId="Equation.3" shapeId="1038" r:id="rId19">
          <objectPr defaultSize="0" autoFill="0" autoLine="0" autoPict="0" r:id="rId5">
            <anchor moveWithCells="1" sizeWithCells="1">
              <from>
                <xdr:col>1</xdr:col>
                <xdr:colOff>68580</xdr:colOff>
                <xdr:row>796</xdr:row>
                <xdr:rowOff>0</xdr:rowOff>
              </from>
              <to>
                <xdr:col>4</xdr:col>
                <xdr:colOff>685800</xdr:colOff>
                <xdr:row>796</xdr:row>
                <xdr:rowOff>0</xdr:rowOff>
              </to>
            </anchor>
          </objectPr>
        </oleObject>
      </mc:Choice>
      <mc:Fallback>
        <oleObject progId="Equation.3" shapeId="1038" r:id="rId19"/>
      </mc:Fallback>
    </mc:AlternateContent>
    <mc:AlternateContent xmlns:mc="http://schemas.openxmlformats.org/markup-compatibility/2006">
      <mc:Choice Requires="x14">
        <oleObject progId="Equation.3" shapeId="1039" r:id="rId20">
          <objectPr defaultSize="0" autoFill="0" autoLine="0" autoPict="0" r:id="rId5">
            <anchor moveWithCells="1" sizeWithCells="1">
              <from>
                <xdr:col>1</xdr:col>
                <xdr:colOff>68580</xdr:colOff>
                <xdr:row>796</xdr:row>
                <xdr:rowOff>0</xdr:rowOff>
              </from>
              <to>
                <xdr:col>4</xdr:col>
                <xdr:colOff>685800</xdr:colOff>
                <xdr:row>796</xdr:row>
                <xdr:rowOff>0</xdr:rowOff>
              </to>
            </anchor>
          </objectPr>
        </oleObject>
      </mc:Choice>
      <mc:Fallback>
        <oleObject progId="Equation.3" shapeId="1039" r:id="rId20"/>
      </mc:Fallback>
    </mc:AlternateContent>
    <mc:AlternateContent xmlns:mc="http://schemas.openxmlformats.org/markup-compatibility/2006">
      <mc:Choice Requires="x14">
        <oleObject progId="Equation.3" shapeId="1040" r:id="rId21">
          <objectPr defaultSize="0" autoFill="0" autoLine="0" autoPict="0" r:id="rId5">
            <anchor moveWithCells="1" sizeWithCells="1">
              <from>
                <xdr:col>1</xdr:col>
                <xdr:colOff>68580</xdr:colOff>
                <xdr:row>796</xdr:row>
                <xdr:rowOff>0</xdr:rowOff>
              </from>
              <to>
                <xdr:col>4</xdr:col>
                <xdr:colOff>685800</xdr:colOff>
                <xdr:row>796</xdr:row>
                <xdr:rowOff>0</xdr:rowOff>
              </to>
            </anchor>
          </objectPr>
        </oleObject>
      </mc:Choice>
      <mc:Fallback>
        <oleObject progId="Equation.3" shapeId="1040" r:id="rId21"/>
      </mc:Fallback>
    </mc:AlternateContent>
    <mc:AlternateContent xmlns:mc="http://schemas.openxmlformats.org/markup-compatibility/2006">
      <mc:Choice Requires="x14">
        <oleObject progId="Equation.3" shapeId="1041" r:id="rId22">
          <objectPr defaultSize="0" autoFill="0" autoLine="0" autoPict="0" r:id="rId5">
            <anchor moveWithCells="1" sizeWithCells="1">
              <from>
                <xdr:col>1</xdr:col>
                <xdr:colOff>68580</xdr:colOff>
                <xdr:row>833</xdr:row>
                <xdr:rowOff>0</xdr:rowOff>
              </from>
              <to>
                <xdr:col>4</xdr:col>
                <xdr:colOff>685800</xdr:colOff>
                <xdr:row>833</xdr:row>
                <xdr:rowOff>0</xdr:rowOff>
              </to>
            </anchor>
          </objectPr>
        </oleObject>
      </mc:Choice>
      <mc:Fallback>
        <oleObject progId="Equation.3" shapeId="1041" r:id="rId22"/>
      </mc:Fallback>
    </mc:AlternateContent>
    <mc:AlternateContent xmlns:mc="http://schemas.openxmlformats.org/markup-compatibility/2006">
      <mc:Choice Requires="x14">
        <oleObject progId="Equation.3" shapeId="1042" r:id="rId23">
          <objectPr defaultSize="0" autoFill="0" autoLine="0" autoPict="0" r:id="rId5">
            <anchor moveWithCells="1" sizeWithCells="1">
              <from>
                <xdr:col>1</xdr:col>
                <xdr:colOff>68580</xdr:colOff>
                <xdr:row>907</xdr:row>
                <xdr:rowOff>0</xdr:rowOff>
              </from>
              <to>
                <xdr:col>4</xdr:col>
                <xdr:colOff>685800</xdr:colOff>
                <xdr:row>907</xdr:row>
                <xdr:rowOff>0</xdr:rowOff>
              </to>
            </anchor>
          </objectPr>
        </oleObject>
      </mc:Choice>
      <mc:Fallback>
        <oleObject progId="Equation.3" shapeId="1042" r:id="rId23"/>
      </mc:Fallback>
    </mc:AlternateContent>
    <mc:AlternateContent xmlns:mc="http://schemas.openxmlformats.org/markup-compatibility/2006">
      <mc:Choice Requires="x14">
        <oleObject progId="Equation.3" shapeId="1043" r:id="rId24">
          <objectPr defaultSize="0" autoFill="0" autoLine="0" autoPict="0" r:id="rId5">
            <anchor moveWithCells="1" sizeWithCells="1">
              <from>
                <xdr:col>1</xdr:col>
                <xdr:colOff>68580</xdr:colOff>
                <xdr:row>907</xdr:row>
                <xdr:rowOff>0</xdr:rowOff>
              </from>
              <to>
                <xdr:col>4</xdr:col>
                <xdr:colOff>685800</xdr:colOff>
                <xdr:row>907</xdr:row>
                <xdr:rowOff>0</xdr:rowOff>
              </to>
            </anchor>
          </objectPr>
        </oleObject>
      </mc:Choice>
      <mc:Fallback>
        <oleObject progId="Equation.3" shapeId="1043" r:id="rId24"/>
      </mc:Fallback>
    </mc:AlternateContent>
    <mc:AlternateContent xmlns:mc="http://schemas.openxmlformats.org/markup-compatibility/2006">
      <mc:Choice Requires="x14">
        <oleObject progId="Equation.3" shapeId="1044" r:id="rId25">
          <objectPr defaultSize="0" autoFill="0" autoLine="0" autoPict="0" r:id="rId5">
            <anchor moveWithCells="1" sizeWithCells="1">
              <from>
                <xdr:col>1</xdr:col>
                <xdr:colOff>68580</xdr:colOff>
                <xdr:row>907</xdr:row>
                <xdr:rowOff>0</xdr:rowOff>
              </from>
              <to>
                <xdr:col>4</xdr:col>
                <xdr:colOff>685800</xdr:colOff>
                <xdr:row>907</xdr:row>
                <xdr:rowOff>0</xdr:rowOff>
              </to>
            </anchor>
          </objectPr>
        </oleObject>
      </mc:Choice>
      <mc:Fallback>
        <oleObject progId="Equation.3" shapeId="1044" r:id="rId25"/>
      </mc:Fallback>
    </mc:AlternateContent>
    <mc:AlternateContent xmlns:mc="http://schemas.openxmlformats.org/markup-compatibility/2006">
      <mc:Choice Requires="x14">
        <oleObject progId="Equation.3" shapeId="1045" r:id="rId26">
          <objectPr defaultSize="0" autoFill="0" autoLine="0" autoPict="0" r:id="rId5">
            <anchor moveWithCells="1" sizeWithCells="1">
              <from>
                <xdr:col>1</xdr:col>
                <xdr:colOff>68580</xdr:colOff>
                <xdr:row>981</xdr:row>
                <xdr:rowOff>0</xdr:rowOff>
              </from>
              <to>
                <xdr:col>4</xdr:col>
                <xdr:colOff>685800</xdr:colOff>
                <xdr:row>981</xdr:row>
                <xdr:rowOff>0</xdr:rowOff>
              </to>
            </anchor>
          </objectPr>
        </oleObject>
      </mc:Choice>
      <mc:Fallback>
        <oleObject progId="Equation.3" shapeId="1045" r:id="rId26"/>
      </mc:Fallback>
    </mc:AlternateContent>
    <mc:AlternateContent xmlns:mc="http://schemas.openxmlformats.org/markup-compatibility/2006">
      <mc:Choice Requires="x14">
        <oleObject progId="Equation.3" shapeId="1046" r:id="rId27">
          <objectPr defaultSize="0" autoFill="0" autoLine="0" autoPict="0" r:id="rId5">
            <anchor moveWithCells="1" sizeWithCells="1">
              <from>
                <xdr:col>1</xdr:col>
                <xdr:colOff>68580</xdr:colOff>
                <xdr:row>981</xdr:row>
                <xdr:rowOff>0</xdr:rowOff>
              </from>
              <to>
                <xdr:col>4</xdr:col>
                <xdr:colOff>685800</xdr:colOff>
                <xdr:row>981</xdr:row>
                <xdr:rowOff>0</xdr:rowOff>
              </to>
            </anchor>
          </objectPr>
        </oleObject>
      </mc:Choice>
      <mc:Fallback>
        <oleObject progId="Equation.3" shapeId="1046" r:id="rId27"/>
      </mc:Fallback>
    </mc:AlternateContent>
    <mc:AlternateContent xmlns:mc="http://schemas.openxmlformats.org/markup-compatibility/2006">
      <mc:Choice Requires="x14">
        <oleObject progId="Equation.3" shapeId="1047" r:id="rId28">
          <objectPr defaultSize="0" autoFill="0" autoLine="0" autoPict="0" r:id="rId5">
            <anchor moveWithCells="1" sizeWithCells="1">
              <from>
                <xdr:col>1</xdr:col>
                <xdr:colOff>68580</xdr:colOff>
                <xdr:row>981</xdr:row>
                <xdr:rowOff>0</xdr:rowOff>
              </from>
              <to>
                <xdr:col>4</xdr:col>
                <xdr:colOff>685800</xdr:colOff>
                <xdr:row>981</xdr:row>
                <xdr:rowOff>0</xdr:rowOff>
              </to>
            </anchor>
          </objectPr>
        </oleObject>
      </mc:Choice>
      <mc:Fallback>
        <oleObject progId="Equation.3" shapeId="1047" r:id="rId28"/>
      </mc:Fallback>
    </mc:AlternateContent>
    <mc:AlternateContent xmlns:mc="http://schemas.openxmlformats.org/markup-compatibility/2006">
      <mc:Choice Requires="x14">
        <oleObject progId="Equation.3" shapeId="1048" r:id="rId29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1017</xdr:row>
                <xdr:rowOff>0</xdr:rowOff>
              </from>
              <to>
                <xdr:col>4</xdr:col>
                <xdr:colOff>685800</xdr:colOff>
                <xdr:row>1017</xdr:row>
                <xdr:rowOff>0</xdr:rowOff>
              </to>
            </anchor>
          </objectPr>
        </oleObject>
      </mc:Choice>
      <mc:Fallback>
        <oleObject progId="Equation.3" shapeId="1048" r:id="rId29"/>
      </mc:Fallback>
    </mc:AlternateContent>
    <mc:AlternateContent xmlns:mc="http://schemas.openxmlformats.org/markup-compatibility/2006">
      <mc:Choice Requires="x14">
        <oleObject progId="Equation.3" shapeId="1049" r:id="rId30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1017</xdr:row>
                <xdr:rowOff>0</xdr:rowOff>
              </from>
              <to>
                <xdr:col>4</xdr:col>
                <xdr:colOff>685800</xdr:colOff>
                <xdr:row>1017</xdr:row>
                <xdr:rowOff>0</xdr:rowOff>
              </to>
            </anchor>
          </objectPr>
        </oleObject>
      </mc:Choice>
      <mc:Fallback>
        <oleObject progId="Equation.3" shapeId="1049" r:id="rId30"/>
      </mc:Fallback>
    </mc:AlternateContent>
    <mc:AlternateContent xmlns:mc="http://schemas.openxmlformats.org/markup-compatibility/2006">
      <mc:Choice Requires="x14">
        <oleObject progId="Equation.3" shapeId="1050" r:id="rId31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1017</xdr:row>
                <xdr:rowOff>0</xdr:rowOff>
              </from>
              <to>
                <xdr:col>4</xdr:col>
                <xdr:colOff>685800</xdr:colOff>
                <xdr:row>1017</xdr:row>
                <xdr:rowOff>0</xdr:rowOff>
              </to>
            </anchor>
          </objectPr>
        </oleObject>
      </mc:Choice>
      <mc:Fallback>
        <oleObject progId="Equation.3" shapeId="1050" r:id="rId31"/>
      </mc:Fallback>
    </mc:AlternateContent>
    <mc:AlternateContent xmlns:mc="http://schemas.openxmlformats.org/markup-compatibility/2006">
      <mc:Choice Requires="x14">
        <oleObject progId="Equation.3" shapeId="1051" r:id="rId32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1017</xdr:row>
                <xdr:rowOff>0</xdr:rowOff>
              </from>
              <to>
                <xdr:col>4</xdr:col>
                <xdr:colOff>685800</xdr:colOff>
                <xdr:row>1017</xdr:row>
                <xdr:rowOff>0</xdr:rowOff>
              </to>
            </anchor>
          </objectPr>
        </oleObject>
      </mc:Choice>
      <mc:Fallback>
        <oleObject progId="Equation.3" shapeId="1051" r:id="rId32"/>
      </mc:Fallback>
    </mc:AlternateContent>
    <mc:AlternateContent xmlns:mc="http://schemas.openxmlformats.org/markup-compatibility/2006">
      <mc:Choice Requires="x14">
        <oleObject progId="Equation.3" shapeId="1052" r:id="rId33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1017</xdr:row>
                <xdr:rowOff>0</xdr:rowOff>
              </from>
              <to>
                <xdr:col>4</xdr:col>
                <xdr:colOff>685800</xdr:colOff>
                <xdr:row>1017</xdr:row>
                <xdr:rowOff>0</xdr:rowOff>
              </to>
            </anchor>
          </objectPr>
        </oleObject>
      </mc:Choice>
      <mc:Fallback>
        <oleObject progId="Equation.3" shapeId="1052" r:id="rId33"/>
      </mc:Fallback>
    </mc:AlternateContent>
    <mc:AlternateContent xmlns:mc="http://schemas.openxmlformats.org/markup-compatibility/2006">
      <mc:Choice Requires="x14">
        <oleObject progId="Equation.3" shapeId="1053" r:id="rId34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1017</xdr:row>
                <xdr:rowOff>0</xdr:rowOff>
              </from>
              <to>
                <xdr:col>4</xdr:col>
                <xdr:colOff>685800</xdr:colOff>
                <xdr:row>1017</xdr:row>
                <xdr:rowOff>0</xdr:rowOff>
              </to>
            </anchor>
          </objectPr>
        </oleObject>
      </mc:Choice>
      <mc:Fallback>
        <oleObject progId="Equation.3" shapeId="1053" r:id="rId34"/>
      </mc:Fallback>
    </mc:AlternateContent>
    <mc:AlternateContent xmlns:mc="http://schemas.openxmlformats.org/markup-compatibility/2006">
      <mc:Choice Requires="x14">
        <oleObject progId="Equation.3" shapeId="1054" r:id="rId35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1017</xdr:row>
                <xdr:rowOff>0</xdr:rowOff>
              </from>
              <to>
                <xdr:col>4</xdr:col>
                <xdr:colOff>685800</xdr:colOff>
                <xdr:row>1017</xdr:row>
                <xdr:rowOff>0</xdr:rowOff>
              </to>
            </anchor>
          </objectPr>
        </oleObject>
      </mc:Choice>
      <mc:Fallback>
        <oleObject progId="Equation.3" shapeId="1054" r:id="rId35"/>
      </mc:Fallback>
    </mc:AlternateContent>
    <mc:AlternateContent xmlns:mc="http://schemas.openxmlformats.org/markup-compatibility/2006">
      <mc:Choice Requires="x14">
        <oleObject progId="Equation.3" shapeId="1055" r:id="rId36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1017</xdr:row>
                <xdr:rowOff>0</xdr:rowOff>
              </from>
              <to>
                <xdr:col>4</xdr:col>
                <xdr:colOff>685800</xdr:colOff>
                <xdr:row>1017</xdr:row>
                <xdr:rowOff>0</xdr:rowOff>
              </to>
            </anchor>
          </objectPr>
        </oleObject>
      </mc:Choice>
      <mc:Fallback>
        <oleObject progId="Equation.3" shapeId="1055" r:id="rId36"/>
      </mc:Fallback>
    </mc:AlternateContent>
    <mc:AlternateContent xmlns:mc="http://schemas.openxmlformats.org/markup-compatibility/2006">
      <mc:Choice Requires="x14">
        <oleObject progId="Equation.3" shapeId="1056" r:id="rId37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1017</xdr:row>
                <xdr:rowOff>0</xdr:rowOff>
              </from>
              <to>
                <xdr:col>4</xdr:col>
                <xdr:colOff>685800</xdr:colOff>
                <xdr:row>1017</xdr:row>
                <xdr:rowOff>0</xdr:rowOff>
              </to>
            </anchor>
          </objectPr>
        </oleObject>
      </mc:Choice>
      <mc:Fallback>
        <oleObject progId="Equation.3" shapeId="1056" r:id="rId37"/>
      </mc:Fallback>
    </mc:AlternateContent>
    <mc:AlternateContent xmlns:mc="http://schemas.openxmlformats.org/markup-compatibility/2006">
      <mc:Choice Requires="x14">
        <oleObject progId="Equation.3" shapeId="1057" r:id="rId38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1054</xdr:row>
                <xdr:rowOff>0</xdr:rowOff>
              </from>
              <to>
                <xdr:col>4</xdr:col>
                <xdr:colOff>685800</xdr:colOff>
                <xdr:row>1054</xdr:row>
                <xdr:rowOff>0</xdr:rowOff>
              </to>
            </anchor>
          </objectPr>
        </oleObject>
      </mc:Choice>
      <mc:Fallback>
        <oleObject progId="Equation.3" shapeId="1057" r:id="rId38"/>
      </mc:Fallback>
    </mc:AlternateContent>
    <mc:AlternateContent xmlns:mc="http://schemas.openxmlformats.org/markup-compatibility/2006">
      <mc:Choice Requires="x14">
        <oleObject progId="Equation.3" shapeId="1058" r:id="rId39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1054</xdr:row>
                <xdr:rowOff>0</xdr:rowOff>
              </from>
              <to>
                <xdr:col>4</xdr:col>
                <xdr:colOff>685800</xdr:colOff>
                <xdr:row>1054</xdr:row>
                <xdr:rowOff>0</xdr:rowOff>
              </to>
            </anchor>
          </objectPr>
        </oleObject>
      </mc:Choice>
      <mc:Fallback>
        <oleObject progId="Equation.3" shapeId="1058" r:id="rId39"/>
      </mc:Fallback>
    </mc:AlternateContent>
    <mc:AlternateContent xmlns:mc="http://schemas.openxmlformats.org/markup-compatibility/2006">
      <mc:Choice Requires="x14">
        <oleObject progId="Equation.3" shapeId="1059" r:id="rId40">
          <objectPr defaultSize="0" autoFill="0" autoLine="0" autoPict="0" r:id="rId5">
            <anchor moveWithCells="1" sizeWithCells="1">
              <from>
                <xdr:col>1</xdr:col>
                <xdr:colOff>68580</xdr:colOff>
                <xdr:row>1054</xdr:row>
                <xdr:rowOff>0</xdr:rowOff>
              </from>
              <to>
                <xdr:col>4</xdr:col>
                <xdr:colOff>685800</xdr:colOff>
                <xdr:row>1054</xdr:row>
                <xdr:rowOff>0</xdr:rowOff>
              </to>
            </anchor>
          </objectPr>
        </oleObject>
      </mc:Choice>
      <mc:Fallback>
        <oleObject progId="Equation.3" shapeId="1059" r:id="rId40"/>
      </mc:Fallback>
    </mc:AlternateContent>
    <mc:AlternateContent xmlns:mc="http://schemas.openxmlformats.org/markup-compatibility/2006">
      <mc:Choice Requires="x14">
        <oleObject progId="Equation.3" shapeId="1060" r:id="rId41">
          <objectPr defaultSize="0" autoFill="0" autoLine="0" autoPict="0" r:id="rId5">
            <anchor moveWithCells="1" sizeWithCells="1">
              <from>
                <xdr:col>1</xdr:col>
                <xdr:colOff>68580</xdr:colOff>
                <xdr:row>1127</xdr:row>
                <xdr:rowOff>0</xdr:rowOff>
              </from>
              <to>
                <xdr:col>4</xdr:col>
                <xdr:colOff>685800</xdr:colOff>
                <xdr:row>1127</xdr:row>
                <xdr:rowOff>0</xdr:rowOff>
              </to>
            </anchor>
          </objectPr>
        </oleObject>
      </mc:Choice>
      <mc:Fallback>
        <oleObject progId="Equation.3" shapeId="1060" r:id="rId41"/>
      </mc:Fallback>
    </mc:AlternateContent>
    <mc:AlternateContent xmlns:mc="http://schemas.openxmlformats.org/markup-compatibility/2006">
      <mc:Choice Requires="x14">
        <oleObject progId="Equation.3" shapeId="1061" r:id="rId42">
          <objectPr defaultSize="0" autoFill="0" autoLine="0" autoPict="0" r:id="rId5">
            <anchor moveWithCells="1" sizeWithCells="1">
              <from>
                <xdr:col>1</xdr:col>
                <xdr:colOff>68580</xdr:colOff>
                <xdr:row>1127</xdr:row>
                <xdr:rowOff>0</xdr:rowOff>
              </from>
              <to>
                <xdr:col>4</xdr:col>
                <xdr:colOff>685800</xdr:colOff>
                <xdr:row>1127</xdr:row>
                <xdr:rowOff>0</xdr:rowOff>
              </to>
            </anchor>
          </objectPr>
        </oleObject>
      </mc:Choice>
      <mc:Fallback>
        <oleObject progId="Equation.3" shapeId="1061" r:id="rId42"/>
      </mc:Fallback>
    </mc:AlternateContent>
    <mc:AlternateContent xmlns:mc="http://schemas.openxmlformats.org/markup-compatibility/2006">
      <mc:Choice Requires="x14">
        <oleObject progId="Equation.3" shapeId="1062" r:id="rId43">
          <objectPr defaultSize="0" autoFill="0" autoLine="0" autoPict="0" r:id="rId5">
            <anchor moveWithCells="1" sizeWithCells="1">
              <from>
                <xdr:col>1</xdr:col>
                <xdr:colOff>68580</xdr:colOff>
                <xdr:row>1127</xdr:row>
                <xdr:rowOff>0</xdr:rowOff>
              </from>
              <to>
                <xdr:col>4</xdr:col>
                <xdr:colOff>685800</xdr:colOff>
                <xdr:row>1127</xdr:row>
                <xdr:rowOff>0</xdr:rowOff>
              </to>
            </anchor>
          </objectPr>
        </oleObject>
      </mc:Choice>
      <mc:Fallback>
        <oleObject progId="Equation.3" shapeId="1062" r:id="rId43"/>
      </mc:Fallback>
    </mc:AlternateContent>
    <mc:AlternateContent xmlns:mc="http://schemas.openxmlformats.org/markup-compatibility/2006">
      <mc:Choice Requires="x14">
        <oleObject progId="Equation.3" shapeId="1063" r:id="rId44">
          <objectPr defaultSize="0" autoFill="0" autoLine="0" autoPict="0" r:id="rId5">
            <anchor moveWithCells="1" sizeWithCells="1">
              <from>
                <xdr:col>1</xdr:col>
                <xdr:colOff>68580</xdr:colOff>
                <xdr:row>1199</xdr:row>
                <xdr:rowOff>0</xdr:rowOff>
              </from>
              <to>
                <xdr:col>4</xdr:col>
                <xdr:colOff>685800</xdr:colOff>
                <xdr:row>1199</xdr:row>
                <xdr:rowOff>0</xdr:rowOff>
              </to>
            </anchor>
          </objectPr>
        </oleObject>
      </mc:Choice>
      <mc:Fallback>
        <oleObject progId="Equation.3" shapeId="1063" r:id="rId44"/>
      </mc:Fallback>
    </mc:AlternateContent>
    <mc:AlternateContent xmlns:mc="http://schemas.openxmlformats.org/markup-compatibility/2006">
      <mc:Choice Requires="x14">
        <oleObject progId="Equation.3" shapeId="1064" r:id="rId45">
          <objectPr defaultSize="0" autoFill="0" autoLine="0" autoPict="0" r:id="rId5">
            <anchor moveWithCells="1" sizeWithCells="1">
              <from>
                <xdr:col>1</xdr:col>
                <xdr:colOff>68580</xdr:colOff>
                <xdr:row>1199</xdr:row>
                <xdr:rowOff>0</xdr:rowOff>
              </from>
              <to>
                <xdr:col>4</xdr:col>
                <xdr:colOff>685800</xdr:colOff>
                <xdr:row>1199</xdr:row>
                <xdr:rowOff>0</xdr:rowOff>
              </to>
            </anchor>
          </objectPr>
        </oleObject>
      </mc:Choice>
      <mc:Fallback>
        <oleObject progId="Equation.3" shapeId="1064" r:id="rId45"/>
      </mc:Fallback>
    </mc:AlternateContent>
    <mc:AlternateContent xmlns:mc="http://schemas.openxmlformats.org/markup-compatibility/2006">
      <mc:Choice Requires="x14">
        <oleObject progId="Equation.3" shapeId="1065" r:id="rId46">
          <objectPr defaultSize="0" autoFill="0" autoLine="0" autoPict="0" r:id="rId5">
            <anchor moveWithCells="1" sizeWithCells="1">
              <from>
                <xdr:col>1</xdr:col>
                <xdr:colOff>68580</xdr:colOff>
                <xdr:row>1199</xdr:row>
                <xdr:rowOff>0</xdr:rowOff>
              </from>
              <to>
                <xdr:col>4</xdr:col>
                <xdr:colOff>685800</xdr:colOff>
                <xdr:row>1199</xdr:row>
                <xdr:rowOff>0</xdr:rowOff>
              </to>
            </anchor>
          </objectPr>
        </oleObject>
      </mc:Choice>
      <mc:Fallback>
        <oleObject progId="Equation.3" shapeId="1065" r:id="rId46"/>
      </mc:Fallback>
    </mc:AlternateContent>
    <mc:AlternateContent xmlns:mc="http://schemas.openxmlformats.org/markup-compatibility/2006">
      <mc:Choice Requires="x14">
        <oleObject progId="Equation.3" shapeId="1066" r:id="rId47">
          <objectPr defaultSize="0" autoFill="0" autoLine="0" autoPict="0" r:id="rId5">
            <anchor moveWithCells="1" sizeWithCells="1">
              <from>
                <xdr:col>1</xdr:col>
                <xdr:colOff>68580</xdr:colOff>
                <xdr:row>1272</xdr:row>
                <xdr:rowOff>0</xdr:rowOff>
              </from>
              <to>
                <xdr:col>4</xdr:col>
                <xdr:colOff>685800</xdr:colOff>
                <xdr:row>1272</xdr:row>
                <xdr:rowOff>0</xdr:rowOff>
              </to>
            </anchor>
          </objectPr>
        </oleObject>
      </mc:Choice>
      <mc:Fallback>
        <oleObject progId="Equation.3" shapeId="1066" r:id="rId47"/>
      </mc:Fallback>
    </mc:AlternateContent>
    <mc:AlternateContent xmlns:mc="http://schemas.openxmlformats.org/markup-compatibility/2006">
      <mc:Choice Requires="x14">
        <oleObject progId="Equation.3" shapeId="1067" r:id="rId48">
          <objectPr defaultSize="0" autoFill="0" autoLine="0" autoPict="0" r:id="rId5">
            <anchor moveWithCells="1" sizeWithCells="1">
              <from>
                <xdr:col>1</xdr:col>
                <xdr:colOff>68580</xdr:colOff>
                <xdr:row>1272</xdr:row>
                <xdr:rowOff>0</xdr:rowOff>
              </from>
              <to>
                <xdr:col>4</xdr:col>
                <xdr:colOff>685800</xdr:colOff>
                <xdr:row>1272</xdr:row>
                <xdr:rowOff>0</xdr:rowOff>
              </to>
            </anchor>
          </objectPr>
        </oleObject>
      </mc:Choice>
      <mc:Fallback>
        <oleObject progId="Equation.3" shapeId="1067" r:id="rId48"/>
      </mc:Fallback>
    </mc:AlternateContent>
    <mc:AlternateContent xmlns:mc="http://schemas.openxmlformats.org/markup-compatibility/2006">
      <mc:Choice Requires="x14">
        <oleObject progId="Equation.3" shapeId="1068" r:id="rId49">
          <objectPr defaultSize="0" autoFill="0" autoLine="0" autoPict="0" r:id="rId5">
            <anchor moveWithCells="1" sizeWithCells="1">
              <from>
                <xdr:col>1</xdr:col>
                <xdr:colOff>68580</xdr:colOff>
                <xdr:row>1272</xdr:row>
                <xdr:rowOff>0</xdr:rowOff>
              </from>
              <to>
                <xdr:col>4</xdr:col>
                <xdr:colOff>685800</xdr:colOff>
                <xdr:row>1272</xdr:row>
                <xdr:rowOff>0</xdr:rowOff>
              </to>
            </anchor>
          </objectPr>
        </oleObject>
      </mc:Choice>
      <mc:Fallback>
        <oleObject progId="Equation.3" shapeId="1068" r:id="rId49"/>
      </mc:Fallback>
    </mc:AlternateContent>
    <mc:AlternateContent xmlns:mc="http://schemas.openxmlformats.org/markup-compatibility/2006">
      <mc:Choice Requires="x14">
        <oleObject progId="Equation.3" shapeId="1069" r:id="rId50">
          <objectPr defaultSize="0" autoFill="0" autoLine="0" autoPict="0" r:id="rId5">
            <anchor moveWithCells="1" sizeWithCells="1">
              <from>
                <xdr:col>1</xdr:col>
                <xdr:colOff>68580</xdr:colOff>
                <xdr:row>1344</xdr:row>
                <xdr:rowOff>0</xdr:rowOff>
              </from>
              <to>
                <xdr:col>4</xdr:col>
                <xdr:colOff>685800</xdr:colOff>
                <xdr:row>1344</xdr:row>
                <xdr:rowOff>0</xdr:rowOff>
              </to>
            </anchor>
          </objectPr>
        </oleObject>
      </mc:Choice>
      <mc:Fallback>
        <oleObject progId="Equation.3" shapeId="1069" r:id="rId50"/>
      </mc:Fallback>
    </mc:AlternateContent>
    <mc:AlternateContent xmlns:mc="http://schemas.openxmlformats.org/markup-compatibility/2006">
      <mc:Choice Requires="x14">
        <oleObject progId="Equation.3" shapeId="1070" r:id="rId51">
          <objectPr defaultSize="0" autoFill="0" autoLine="0" autoPict="0" r:id="rId5">
            <anchor moveWithCells="1" sizeWithCells="1">
              <from>
                <xdr:col>1</xdr:col>
                <xdr:colOff>68580</xdr:colOff>
                <xdr:row>1344</xdr:row>
                <xdr:rowOff>0</xdr:rowOff>
              </from>
              <to>
                <xdr:col>4</xdr:col>
                <xdr:colOff>685800</xdr:colOff>
                <xdr:row>1344</xdr:row>
                <xdr:rowOff>0</xdr:rowOff>
              </to>
            </anchor>
          </objectPr>
        </oleObject>
      </mc:Choice>
      <mc:Fallback>
        <oleObject progId="Equation.3" shapeId="1070" r:id="rId51"/>
      </mc:Fallback>
    </mc:AlternateContent>
    <mc:AlternateContent xmlns:mc="http://schemas.openxmlformats.org/markup-compatibility/2006">
      <mc:Choice Requires="x14">
        <oleObject progId="Equation.3" shapeId="1071" r:id="rId52">
          <objectPr defaultSize="0" autoFill="0" autoLine="0" autoPict="0" r:id="rId5">
            <anchor moveWithCells="1" sizeWithCells="1">
              <from>
                <xdr:col>1</xdr:col>
                <xdr:colOff>68580</xdr:colOff>
                <xdr:row>1344</xdr:row>
                <xdr:rowOff>0</xdr:rowOff>
              </from>
              <to>
                <xdr:col>4</xdr:col>
                <xdr:colOff>685800</xdr:colOff>
                <xdr:row>1344</xdr:row>
                <xdr:rowOff>0</xdr:rowOff>
              </to>
            </anchor>
          </objectPr>
        </oleObject>
      </mc:Choice>
      <mc:Fallback>
        <oleObject progId="Equation.3" shapeId="1071" r:id="rId52"/>
      </mc:Fallback>
    </mc:AlternateContent>
    <mc:AlternateContent xmlns:mc="http://schemas.openxmlformats.org/markup-compatibility/2006">
      <mc:Choice Requires="x14">
        <oleObject progId="Equation.3" shapeId="1072" r:id="rId53">
          <objectPr defaultSize="0" autoFill="0" autoLine="0" autoPict="0" r:id="rId5">
            <anchor moveWithCells="1" sizeWithCells="1">
              <from>
                <xdr:col>1</xdr:col>
                <xdr:colOff>68580</xdr:colOff>
                <xdr:row>1417</xdr:row>
                <xdr:rowOff>0</xdr:rowOff>
              </from>
              <to>
                <xdr:col>4</xdr:col>
                <xdr:colOff>685800</xdr:colOff>
                <xdr:row>1417</xdr:row>
                <xdr:rowOff>0</xdr:rowOff>
              </to>
            </anchor>
          </objectPr>
        </oleObject>
      </mc:Choice>
      <mc:Fallback>
        <oleObject progId="Equation.3" shapeId="1072" r:id="rId53"/>
      </mc:Fallback>
    </mc:AlternateContent>
    <mc:AlternateContent xmlns:mc="http://schemas.openxmlformats.org/markup-compatibility/2006">
      <mc:Choice Requires="x14">
        <oleObject progId="Equation.3" shapeId="1073" r:id="rId54">
          <objectPr defaultSize="0" autoFill="0" autoLine="0" autoPict="0" r:id="rId5">
            <anchor moveWithCells="1" sizeWithCells="1">
              <from>
                <xdr:col>1</xdr:col>
                <xdr:colOff>68580</xdr:colOff>
                <xdr:row>1417</xdr:row>
                <xdr:rowOff>0</xdr:rowOff>
              </from>
              <to>
                <xdr:col>4</xdr:col>
                <xdr:colOff>685800</xdr:colOff>
                <xdr:row>1417</xdr:row>
                <xdr:rowOff>0</xdr:rowOff>
              </to>
            </anchor>
          </objectPr>
        </oleObject>
      </mc:Choice>
      <mc:Fallback>
        <oleObject progId="Equation.3" shapeId="1073" r:id="rId54"/>
      </mc:Fallback>
    </mc:AlternateContent>
    <mc:AlternateContent xmlns:mc="http://schemas.openxmlformats.org/markup-compatibility/2006">
      <mc:Choice Requires="x14">
        <oleObject progId="Equation.3" shapeId="1074" r:id="rId55">
          <objectPr defaultSize="0" autoFill="0" autoLine="0" autoPict="0" r:id="rId5">
            <anchor moveWithCells="1" sizeWithCells="1">
              <from>
                <xdr:col>1</xdr:col>
                <xdr:colOff>68580</xdr:colOff>
                <xdr:row>1417</xdr:row>
                <xdr:rowOff>0</xdr:rowOff>
              </from>
              <to>
                <xdr:col>4</xdr:col>
                <xdr:colOff>685800</xdr:colOff>
                <xdr:row>1417</xdr:row>
                <xdr:rowOff>0</xdr:rowOff>
              </to>
            </anchor>
          </objectPr>
        </oleObject>
      </mc:Choice>
      <mc:Fallback>
        <oleObject progId="Equation.3" shapeId="1074" r:id="rId55"/>
      </mc:Fallback>
    </mc:AlternateContent>
    <mc:AlternateContent xmlns:mc="http://schemas.openxmlformats.org/markup-compatibility/2006">
      <mc:Choice Requires="x14">
        <oleObject progId="Equation.3" shapeId="1075" r:id="rId56">
          <objectPr defaultSize="0" autoFill="0" autoLine="0" autoPict="0" r:id="rId5">
            <anchor moveWithCells="1" sizeWithCells="1">
              <from>
                <xdr:col>1</xdr:col>
                <xdr:colOff>68580</xdr:colOff>
                <xdr:row>40</xdr:row>
                <xdr:rowOff>0</xdr:rowOff>
              </from>
              <to>
                <xdr:col>4</xdr:col>
                <xdr:colOff>685800</xdr:colOff>
                <xdr:row>40</xdr:row>
                <xdr:rowOff>0</xdr:rowOff>
              </to>
            </anchor>
          </objectPr>
        </oleObject>
      </mc:Choice>
      <mc:Fallback>
        <oleObject progId="Equation.3" shapeId="1075" r:id="rId56"/>
      </mc:Fallback>
    </mc:AlternateContent>
    <mc:AlternateContent xmlns:mc="http://schemas.openxmlformats.org/markup-compatibility/2006">
      <mc:Choice Requires="x14">
        <oleObject progId="Equation.3" shapeId="1076" r:id="rId57">
          <objectPr defaultSize="0" autoFill="0" autoLine="0" autoPict="0" r:id="rId7">
            <anchor moveWithCells="1" sizeWithCells="1">
              <from>
                <xdr:col>1</xdr:col>
                <xdr:colOff>182880</xdr:colOff>
                <xdr:row>74</xdr:row>
                <xdr:rowOff>0</xdr:rowOff>
              </from>
              <to>
                <xdr:col>2</xdr:col>
                <xdr:colOff>0</xdr:colOff>
                <xdr:row>74</xdr:row>
                <xdr:rowOff>11430</xdr:rowOff>
              </to>
            </anchor>
          </objectPr>
        </oleObject>
      </mc:Choice>
      <mc:Fallback>
        <oleObject progId="Equation.3" shapeId="1076" r:id="rId57"/>
      </mc:Fallback>
    </mc:AlternateContent>
    <mc:AlternateContent xmlns:mc="http://schemas.openxmlformats.org/markup-compatibility/2006">
      <mc:Choice Requires="x14">
        <oleObject progId="Equation.3" shapeId="1077" r:id="rId58">
          <objectPr defaultSize="0" autoFill="0" autoLine="0" autoPict="0" r:id="rId5">
            <anchor moveWithCells="1" sizeWithCells="1">
              <from>
                <xdr:col>1</xdr:col>
                <xdr:colOff>68580</xdr:colOff>
                <xdr:row>40</xdr:row>
                <xdr:rowOff>0</xdr:rowOff>
              </from>
              <to>
                <xdr:col>4</xdr:col>
                <xdr:colOff>685800</xdr:colOff>
                <xdr:row>40</xdr:row>
                <xdr:rowOff>0</xdr:rowOff>
              </to>
            </anchor>
          </objectPr>
        </oleObject>
      </mc:Choice>
      <mc:Fallback>
        <oleObject progId="Equation.3" shapeId="1077" r:id="rId58"/>
      </mc:Fallback>
    </mc:AlternateContent>
    <mc:AlternateContent xmlns:mc="http://schemas.openxmlformats.org/markup-compatibility/2006">
      <mc:Choice Requires="x14">
        <oleObject progId="Equation.3" shapeId="1078" r:id="rId59">
          <objectPr defaultSize="0" autoFill="0" autoLine="0" autoPict="0" r:id="rId7">
            <anchor moveWithCells="1" sizeWithCells="1">
              <from>
                <xdr:col>1</xdr:col>
                <xdr:colOff>182880</xdr:colOff>
                <xdr:row>74</xdr:row>
                <xdr:rowOff>0</xdr:rowOff>
              </from>
              <to>
                <xdr:col>2</xdr:col>
                <xdr:colOff>0</xdr:colOff>
                <xdr:row>74</xdr:row>
                <xdr:rowOff>11430</xdr:rowOff>
              </to>
            </anchor>
          </objectPr>
        </oleObject>
      </mc:Choice>
      <mc:Fallback>
        <oleObject progId="Equation.3" shapeId="1078" r:id="rId59"/>
      </mc:Fallback>
    </mc:AlternateContent>
    <mc:AlternateContent xmlns:mc="http://schemas.openxmlformats.org/markup-compatibility/2006">
      <mc:Choice Requires="x14">
        <oleObject progId="Equation.3" shapeId="1079" r:id="rId60">
          <objectPr defaultSize="0" autoFill="0" autoLine="0" autoPict="0" r:id="rId5">
            <anchor moveWithCells="1" sizeWithCells="1">
              <from>
                <xdr:col>1</xdr:col>
                <xdr:colOff>68580</xdr:colOff>
                <xdr:row>1490</xdr:row>
                <xdr:rowOff>0</xdr:rowOff>
              </from>
              <to>
                <xdr:col>4</xdr:col>
                <xdr:colOff>685800</xdr:colOff>
                <xdr:row>1490</xdr:row>
                <xdr:rowOff>0</xdr:rowOff>
              </to>
            </anchor>
          </objectPr>
        </oleObject>
      </mc:Choice>
      <mc:Fallback>
        <oleObject progId="Equation.3" shapeId="1079" r:id="rId60"/>
      </mc:Fallback>
    </mc:AlternateContent>
    <mc:AlternateContent xmlns:mc="http://schemas.openxmlformats.org/markup-compatibility/2006">
      <mc:Choice Requires="x14">
        <oleObject progId="Equation.3" shapeId="1080" r:id="rId61">
          <objectPr defaultSize="0" autoFill="0" autoLine="0" autoPict="0" r:id="rId5">
            <anchor moveWithCells="1" sizeWithCells="1">
              <from>
                <xdr:col>1</xdr:col>
                <xdr:colOff>68580</xdr:colOff>
                <xdr:row>1490</xdr:row>
                <xdr:rowOff>0</xdr:rowOff>
              </from>
              <to>
                <xdr:col>4</xdr:col>
                <xdr:colOff>685800</xdr:colOff>
                <xdr:row>1490</xdr:row>
                <xdr:rowOff>0</xdr:rowOff>
              </to>
            </anchor>
          </objectPr>
        </oleObject>
      </mc:Choice>
      <mc:Fallback>
        <oleObject progId="Equation.3" shapeId="1080" r:id="rId61"/>
      </mc:Fallback>
    </mc:AlternateContent>
    <mc:AlternateContent xmlns:mc="http://schemas.openxmlformats.org/markup-compatibility/2006">
      <mc:Choice Requires="x14">
        <oleObject progId="Equation.3" shapeId="1081" r:id="rId62">
          <objectPr defaultSize="0" autoFill="0" autoLine="0" autoPict="0" r:id="rId5">
            <anchor moveWithCells="1" sizeWithCells="1">
              <from>
                <xdr:col>1</xdr:col>
                <xdr:colOff>68580</xdr:colOff>
                <xdr:row>1490</xdr:row>
                <xdr:rowOff>0</xdr:rowOff>
              </from>
              <to>
                <xdr:col>4</xdr:col>
                <xdr:colOff>685800</xdr:colOff>
                <xdr:row>1490</xdr:row>
                <xdr:rowOff>0</xdr:rowOff>
              </to>
            </anchor>
          </objectPr>
        </oleObject>
      </mc:Choice>
      <mc:Fallback>
        <oleObject progId="Equation.3" shapeId="1081" r:id="rId62"/>
      </mc:Fallback>
    </mc:AlternateContent>
    <mc:AlternateContent xmlns:mc="http://schemas.openxmlformats.org/markup-compatibility/2006">
      <mc:Choice Requires="x14">
        <oleObject progId="Equation.3" shapeId="1082" r:id="rId63">
          <objectPr defaultSize="0" autoFill="0" autoLine="0" autoPict="0" r:id="rId5">
            <anchor moveWithCells="1" sizeWithCells="1">
              <from>
                <xdr:col>1</xdr:col>
                <xdr:colOff>68580</xdr:colOff>
                <xdr:row>1563</xdr:row>
                <xdr:rowOff>0</xdr:rowOff>
              </from>
              <to>
                <xdr:col>4</xdr:col>
                <xdr:colOff>685800</xdr:colOff>
                <xdr:row>1563</xdr:row>
                <xdr:rowOff>0</xdr:rowOff>
              </to>
            </anchor>
          </objectPr>
        </oleObject>
      </mc:Choice>
      <mc:Fallback>
        <oleObject progId="Equation.3" shapeId="1082" r:id="rId63"/>
      </mc:Fallback>
    </mc:AlternateContent>
    <mc:AlternateContent xmlns:mc="http://schemas.openxmlformats.org/markup-compatibility/2006">
      <mc:Choice Requires="x14">
        <oleObject progId="Equation.3" shapeId="1083" r:id="rId64">
          <objectPr defaultSize="0" autoFill="0" autoLine="0" autoPict="0" r:id="rId5">
            <anchor moveWithCells="1" sizeWithCells="1">
              <from>
                <xdr:col>1</xdr:col>
                <xdr:colOff>68580</xdr:colOff>
                <xdr:row>1563</xdr:row>
                <xdr:rowOff>0</xdr:rowOff>
              </from>
              <to>
                <xdr:col>4</xdr:col>
                <xdr:colOff>685800</xdr:colOff>
                <xdr:row>1563</xdr:row>
                <xdr:rowOff>0</xdr:rowOff>
              </to>
            </anchor>
          </objectPr>
        </oleObject>
      </mc:Choice>
      <mc:Fallback>
        <oleObject progId="Equation.3" shapeId="1083" r:id="rId64"/>
      </mc:Fallback>
    </mc:AlternateContent>
    <mc:AlternateContent xmlns:mc="http://schemas.openxmlformats.org/markup-compatibility/2006">
      <mc:Choice Requires="x14">
        <oleObject progId="Equation.3" shapeId="1084" r:id="rId65">
          <objectPr defaultSize="0" autoFill="0" autoLine="0" autoPict="0" r:id="rId5">
            <anchor moveWithCells="1" sizeWithCells="1">
              <from>
                <xdr:col>1</xdr:col>
                <xdr:colOff>68580</xdr:colOff>
                <xdr:row>1563</xdr:row>
                <xdr:rowOff>0</xdr:rowOff>
              </from>
              <to>
                <xdr:col>4</xdr:col>
                <xdr:colOff>685800</xdr:colOff>
                <xdr:row>1563</xdr:row>
                <xdr:rowOff>0</xdr:rowOff>
              </to>
            </anchor>
          </objectPr>
        </oleObject>
      </mc:Choice>
      <mc:Fallback>
        <oleObject progId="Equation.3" shapeId="1084" r:id="rId65"/>
      </mc:Fallback>
    </mc:AlternateContent>
    <mc:AlternateContent xmlns:mc="http://schemas.openxmlformats.org/markup-compatibility/2006">
      <mc:Choice Requires="x14">
        <oleObject progId="Equation.3" shapeId="1085" r:id="rId66">
          <objectPr defaultSize="0" autoFill="0" autoLine="0" autoPict="0" r:id="rId5">
            <anchor moveWithCells="1" sizeWithCells="1">
              <from>
                <xdr:col>1</xdr:col>
                <xdr:colOff>68580</xdr:colOff>
                <xdr:row>1636</xdr:row>
                <xdr:rowOff>0</xdr:rowOff>
              </from>
              <to>
                <xdr:col>4</xdr:col>
                <xdr:colOff>685800</xdr:colOff>
                <xdr:row>1636</xdr:row>
                <xdr:rowOff>0</xdr:rowOff>
              </to>
            </anchor>
          </objectPr>
        </oleObject>
      </mc:Choice>
      <mc:Fallback>
        <oleObject progId="Equation.3" shapeId="1085" r:id="rId66"/>
      </mc:Fallback>
    </mc:AlternateContent>
    <mc:AlternateContent xmlns:mc="http://schemas.openxmlformats.org/markup-compatibility/2006">
      <mc:Choice Requires="x14">
        <oleObject progId="Equation.3" shapeId="1086" r:id="rId67">
          <objectPr defaultSize="0" autoFill="0" autoLine="0" autoPict="0" r:id="rId5">
            <anchor moveWithCells="1" sizeWithCells="1">
              <from>
                <xdr:col>1</xdr:col>
                <xdr:colOff>68580</xdr:colOff>
                <xdr:row>1636</xdr:row>
                <xdr:rowOff>0</xdr:rowOff>
              </from>
              <to>
                <xdr:col>4</xdr:col>
                <xdr:colOff>685800</xdr:colOff>
                <xdr:row>1636</xdr:row>
                <xdr:rowOff>0</xdr:rowOff>
              </to>
            </anchor>
          </objectPr>
        </oleObject>
      </mc:Choice>
      <mc:Fallback>
        <oleObject progId="Equation.3" shapeId="1086" r:id="rId67"/>
      </mc:Fallback>
    </mc:AlternateContent>
    <mc:AlternateContent xmlns:mc="http://schemas.openxmlformats.org/markup-compatibility/2006">
      <mc:Choice Requires="x14">
        <oleObject progId="Equation.3" shapeId="1087" r:id="rId68">
          <objectPr defaultSize="0" autoFill="0" autoLine="0" autoPict="0" r:id="rId5">
            <anchor moveWithCells="1" sizeWithCells="1">
              <from>
                <xdr:col>1</xdr:col>
                <xdr:colOff>68580</xdr:colOff>
                <xdr:row>1636</xdr:row>
                <xdr:rowOff>0</xdr:rowOff>
              </from>
              <to>
                <xdr:col>4</xdr:col>
                <xdr:colOff>685800</xdr:colOff>
                <xdr:row>1636</xdr:row>
                <xdr:rowOff>0</xdr:rowOff>
              </to>
            </anchor>
          </objectPr>
        </oleObject>
      </mc:Choice>
      <mc:Fallback>
        <oleObject progId="Equation.3" shapeId="1087" r:id="rId68"/>
      </mc:Fallback>
    </mc:AlternateContent>
    <mc:AlternateContent xmlns:mc="http://schemas.openxmlformats.org/markup-compatibility/2006">
      <mc:Choice Requires="x14">
        <oleObject progId="Equation.3" shapeId="1088" r:id="rId69">
          <objectPr defaultSize="0" autoFill="0" autoLine="0" autoPict="0" r:id="rId5">
            <anchor moveWithCells="1" sizeWithCells="1">
              <from>
                <xdr:col>11</xdr:col>
                <xdr:colOff>68580</xdr:colOff>
                <xdr:row>981</xdr:row>
                <xdr:rowOff>0</xdr:rowOff>
              </from>
              <to>
                <xdr:col>14</xdr:col>
                <xdr:colOff>685800</xdr:colOff>
                <xdr:row>981</xdr:row>
                <xdr:rowOff>0</xdr:rowOff>
              </to>
            </anchor>
          </objectPr>
        </oleObject>
      </mc:Choice>
      <mc:Fallback>
        <oleObject progId="Equation.3" shapeId="1088" r:id="rId69"/>
      </mc:Fallback>
    </mc:AlternateContent>
    <mc:AlternateContent xmlns:mc="http://schemas.openxmlformats.org/markup-compatibility/2006">
      <mc:Choice Requires="x14">
        <oleObject progId="Equation.3" shapeId="1089" r:id="rId70">
          <objectPr defaultSize="0" autoFill="0" autoLine="0" autoPict="0" r:id="rId5">
            <anchor moveWithCells="1" sizeWithCells="1">
              <from>
                <xdr:col>11</xdr:col>
                <xdr:colOff>68580</xdr:colOff>
                <xdr:row>981</xdr:row>
                <xdr:rowOff>0</xdr:rowOff>
              </from>
              <to>
                <xdr:col>14</xdr:col>
                <xdr:colOff>685800</xdr:colOff>
                <xdr:row>981</xdr:row>
                <xdr:rowOff>0</xdr:rowOff>
              </to>
            </anchor>
          </objectPr>
        </oleObject>
      </mc:Choice>
      <mc:Fallback>
        <oleObject progId="Equation.3" shapeId="1089" r:id="rId70"/>
      </mc:Fallback>
    </mc:AlternateContent>
    <mc:AlternateContent xmlns:mc="http://schemas.openxmlformats.org/markup-compatibility/2006">
      <mc:Choice Requires="x14">
        <oleObject progId="Equation.3" shapeId="1090" r:id="rId71">
          <objectPr defaultSize="0" autoFill="0" autoLine="0" autoPict="0" r:id="rId5">
            <anchor moveWithCells="1" sizeWithCells="1">
              <from>
                <xdr:col>11</xdr:col>
                <xdr:colOff>68580</xdr:colOff>
                <xdr:row>981</xdr:row>
                <xdr:rowOff>0</xdr:rowOff>
              </from>
              <to>
                <xdr:col>14</xdr:col>
                <xdr:colOff>685800</xdr:colOff>
                <xdr:row>981</xdr:row>
                <xdr:rowOff>0</xdr:rowOff>
              </to>
            </anchor>
          </objectPr>
        </oleObject>
      </mc:Choice>
      <mc:Fallback>
        <oleObject progId="Equation.3" shapeId="1090" r:id="rId71"/>
      </mc:Fallback>
    </mc:AlternateContent>
    <mc:AlternateContent xmlns:mc="http://schemas.openxmlformats.org/markup-compatibility/2006">
      <mc:Choice Requires="x14">
        <oleObject progId="Equation.3" shapeId="1091" r:id="rId72">
          <objectPr defaultSize="0" autoFill="0" autoLine="0" autoPict="0" r:id="rId5">
            <anchor moveWithCells="1" sizeWithCells="1">
              <from>
                <xdr:col>21</xdr:col>
                <xdr:colOff>68580</xdr:colOff>
                <xdr:row>981</xdr:row>
                <xdr:rowOff>0</xdr:rowOff>
              </from>
              <to>
                <xdr:col>24</xdr:col>
                <xdr:colOff>685800</xdr:colOff>
                <xdr:row>981</xdr:row>
                <xdr:rowOff>0</xdr:rowOff>
              </to>
            </anchor>
          </objectPr>
        </oleObject>
      </mc:Choice>
      <mc:Fallback>
        <oleObject progId="Equation.3" shapeId="1091" r:id="rId72"/>
      </mc:Fallback>
    </mc:AlternateContent>
    <mc:AlternateContent xmlns:mc="http://schemas.openxmlformats.org/markup-compatibility/2006">
      <mc:Choice Requires="x14">
        <oleObject progId="Equation.3" shapeId="1092" r:id="rId73">
          <objectPr defaultSize="0" autoFill="0" autoLine="0" autoPict="0" r:id="rId5">
            <anchor moveWithCells="1" sizeWithCells="1">
              <from>
                <xdr:col>21</xdr:col>
                <xdr:colOff>68580</xdr:colOff>
                <xdr:row>981</xdr:row>
                <xdr:rowOff>0</xdr:rowOff>
              </from>
              <to>
                <xdr:col>24</xdr:col>
                <xdr:colOff>685800</xdr:colOff>
                <xdr:row>981</xdr:row>
                <xdr:rowOff>0</xdr:rowOff>
              </to>
            </anchor>
          </objectPr>
        </oleObject>
      </mc:Choice>
      <mc:Fallback>
        <oleObject progId="Equation.3" shapeId="1092" r:id="rId73"/>
      </mc:Fallback>
    </mc:AlternateContent>
    <mc:AlternateContent xmlns:mc="http://schemas.openxmlformats.org/markup-compatibility/2006">
      <mc:Choice Requires="x14">
        <oleObject progId="Equation.3" shapeId="1093" r:id="rId74">
          <objectPr defaultSize="0" autoFill="0" autoLine="0" autoPict="0" r:id="rId5">
            <anchor moveWithCells="1" sizeWithCells="1">
              <from>
                <xdr:col>21</xdr:col>
                <xdr:colOff>68580</xdr:colOff>
                <xdr:row>981</xdr:row>
                <xdr:rowOff>0</xdr:rowOff>
              </from>
              <to>
                <xdr:col>24</xdr:col>
                <xdr:colOff>685800</xdr:colOff>
                <xdr:row>981</xdr:row>
                <xdr:rowOff>0</xdr:rowOff>
              </to>
            </anchor>
          </objectPr>
        </oleObject>
      </mc:Choice>
      <mc:Fallback>
        <oleObject progId="Equation.3" shapeId="1093" r:id="rId74"/>
      </mc:Fallback>
    </mc:AlternateContent>
    <mc:AlternateContent xmlns:mc="http://schemas.openxmlformats.org/markup-compatibility/2006">
      <mc:Choice Requires="x14">
        <oleObject progId="Equation.3" shapeId="1094" r:id="rId75">
          <objectPr defaultSize="0" autoFill="0" autoLine="0" autoPict="0" r:id="rId5">
            <anchor moveWithCells="1" sizeWithCells="1">
              <from>
                <xdr:col>11</xdr:col>
                <xdr:colOff>68580</xdr:colOff>
                <xdr:row>907</xdr:row>
                <xdr:rowOff>0</xdr:rowOff>
              </from>
              <to>
                <xdr:col>14</xdr:col>
                <xdr:colOff>685800</xdr:colOff>
                <xdr:row>907</xdr:row>
                <xdr:rowOff>0</xdr:rowOff>
              </to>
            </anchor>
          </objectPr>
        </oleObject>
      </mc:Choice>
      <mc:Fallback>
        <oleObject progId="Equation.3" shapeId="1094" r:id="rId75"/>
      </mc:Fallback>
    </mc:AlternateContent>
    <mc:AlternateContent xmlns:mc="http://schemas.openxmlformats.org/markup-compatibility/2006">
      <mc:Choice Requires="x14">
        <oleObject progId="Equation.3" shapeId="1095" r:id="rId76">
          <objectPr defaultSize="0" autoFill="0" autoLine="0" autoPict="0" r:id="rId5">
            <anchor moveWithCells="1" sizeWithCells="1">
              <from>
                <xdr:col>11</xdr:col>
                <xdr:colOff>68580</xdr:colOff>
                <xdr:row>907</xdr:row>
                <xdr:rowOff>0</xdr:rowOff>
              </from>
              <to>
                <xdr:col>14</xdr:col>
                <xdr:colOff>685800</xdr:colOff>
                <xdr:row>907</xdr:row>
                <xdr:rowOff>0</xdr:rowOff>
              </to>
            </anchor>
          </objectPr>
        </oleObject>
      </mc:Choice>
      <mc:Fallback>
        <oleObject progId="Equation.3" shapeId="1095" r:id="rId76"/>
      </mc:Fallback>
    </mc:AlternateContent>
    <mc:AlternateContent xmlns:mc="http://schemas.openxmlformats.org/markup-compatibility/2006">
      <mc:Choice Requires="x14">
        <oleObject progId="Equation.3" shapeId="1096" r:id="rId77">
          <objectPr defaultSize="0" autoFill="0" autoLine="0" autoPict="0" r:id="rId5">
            <anchor moveWithCells="1" sizeWithCells="1">
              <from>
                <xdr:col>11</xdr:col>
                <xdr:colOff>68580</xdr:colOff>
                <xdr:row>907</xdr:row>
                <xdr:rowOff>0</xdr:rowOff>
              </from>
              <to>
                <xdr:col>14</xdr:col>
                <xdr:colOff>685800</xdr:colOff>
                <xdr:row>907</xdr:row>
                <xdr:rowOff>0</xdr:rowOff>
              </to>
            </anchor>
          </objectPr>
        </oleObject>
      </mc:Choice>
      <mc:Fallback>
        <oleObject progId="Equation.3" shapeId="1096" r:id="rId77"/>
      </mc:Fallback>
    </mc:AlternateContent>
    <mc:AlternateContent xmlns:mc="http://schemas.openxmlformats.org/markup-compatibility/2006">
      <mc:Choice Requires="x14">
        <oleObject progId="Equation.3" shapeId="1097" r:id="rId78">
          <objectPr defaultSize="0" autoFill="0" autoLine="0" autoPict="0" r:id="rId5">
            <anchor moveWithCells="1" sizeWithCells="1">
              <from>
                <xdr:col>21</xdr:col>
                <xdr:colOff>68580</xdr:colOff>
                <xdr:row>907</xdr:row>
                <xdr:rowOff>0</xdr:rowOff>
              </from>
              <to>
                <xdr:col>24</xdr:col>
                <xdr:colOff>685800</xdr:colOff>
                <xdr:row>907</xdr:row>
                <xdr:rowOff>0</xdr:rowOff>
              </to>
            </anchor>
          </objectPr>
        </oleObject>
      </mc:Choice>
      <mc:Fallback>
        <oleObject progId="Equation.3" shapeId="1097" r:id="rId78"/>
      </mc:Fallback>
    </mc:AlternateContent>
    <mc:AlternateContent xmlns:mc="http://schemas.openxmlformats.org/markup-compatibility/2006">
      <mc:Choice Requires="x14">
        <oleObject progId="Equation.3" shapeId="1098" r:id="rId79">
          <objectPr defaultSize="0" autoFill="0" autoLine="0" autoPict="0" r:id="rId5">
            <anchor moveWithCells="1" sizeWithCells="1">
              <from>
                <xdr:col>21</xdr:col>
                <xdr:colOff>68580</xdr:colOff>
                <xdr:row>907</xdr:row>
                <xdr:rowOff>0</xdr:rowOff>
              </from>
              <to>
                <xdr:col>24</xdr:col>
                <xdr:colOff>685800</xdr:colOff>
                <xdr:row>907</xdr:row>
                <xdr:rowOff>0</xdr:rowOff>
              </to>
            </anchor>
          </objectPr>
        </oleObject>
      </mc:Choice>
      <mc:Fallback>
        <oleObject progId="Equation.3" shapeId="1098" r:id="rId79"/>
      </mc:Fallback>
    </mc:AlternateContent>
    <mc:AlternateContent xmlns:mc="http://schemas.openxmlformats.org/markup-compatibility/2006">
      <mc:Choice Requires="x14">
        <oleObject progId="Equation.3" shapeId="1099" r:id="rId80">
          <objectPr defaultSize="0" autoFill="0" autoLine="0" autoPict="0" r:id="rId5">
            <anchor moveWithCells="1" sizeWithCells="1">
              <from>
                <xdr:col>21</xdr:col>
                <xdr:colOff>68580</xdr:colOff>
                <xdr:row>907</xdr:row>
                <xdr:rowOff>0</xdr:rowOff>
              </from>
              <to>
                <xdr:col>24</xdr:col>
                <xdr:colOff>685800</xdr:colOff>
                <xdr:row>907</xdr:row>
                <xdr:rowOff>0</xdr:rowOff>
              </to>
            </anchor>
          </objectPr>
        </oleObject>
      </mc:Choice>
      <mc:Fallback>
        <oleObject progId="Equation.3" shapeId="1099" r:id="rId80"/>
      </mc:Fallback>
    </mc:AlternateContent>
    <mc:AlternateContent xmlns:mc="http://schemas.openxmlformats.org/markup-compatibility/2006">
      <mc:Choice Requires="x14">
        <oleObject progId="Equation.3" shapeId="1100" r:id="rId81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74</xdr:row>
                <xdr:rowOff>0</xdr:rowOff>
              </from>
              <to>
                <xdr:col>2</xdr:col>
                <xdr:colOff>0</xdr:colOff>
                <xdr:row>74</xdr:row>
                <xdr:rowOff>11430</xdr:rowOff>
              </to>
            </anchor>
          </objectPr>
        </oleObject>
      </mc:Choice>
      <mc:Fallback>
        <oleObject progId="Equation.3" shapeId="1100" r:id="rId81"/>
      </mc:Fallback>
    </mc:AlternateContent>
    <mc:AlternateContent xmlns:mc="http://schemas.openxmlformats.org/markup-compatibility/2006">
      <mc:Choice Requires="x14">
        <oleObject progId="Equation.3" shapeId="1101" r:id="rId83">
          <objectPr defaultSize="0" autoFill="0" autoLine="0" autoPict="0" r:id="rId5">
            <anchor moveWithCells="1" sizeWithCells="1">
              <from>
                <xdr:col>1</xdr:col>
                <xdr:colOff>68580</xdr:colOff>
                <xdr:row>112</xdr:row>
                <xdr:rowOff>0</xdr:rowOff>
              </from>
              <to>
                <xdr:col>4</xdr:col>
                <xdr:colOff>685800</xdr:colOff>
                <xdr:row>112</xdr:row>
                <xdr:rowOff>0</xdr:rowOff>
              </to>
            </anchor>
          </objectPr>
        </oleObject>
      </mc:Choice>
      <mc:Fallback>
        <oleObject progId="Equation.3" shapeId="1101" r:id="rId83"/>
      </mc:Fallback>
    </mc:AlternateContent>
    <mc:AlternateContent xmlns:mc="http://schemas.openxmlformats.org/markup-compatibility/2006">
      <mc:Choice Requires="x14">
        <oleObject progId="Equation.3" shapeId="1102" r:id="rId84">
          <objectPr defaultSize="0" autoFill="0" autoLine="0" autoPict="0" r:id="rId7">
            <anchor moveWithCells="1" sizeWithCells="1">
              <from>
                <xdr:col>1</xdr:col>
                <xdr:colOff>182880</xdr:colOff>
                <xdr:row>146</xdr:row>
                <xdr:rowOff>0</xdr:rowOff>
              </from>
              <to>
                <xdr:col>2</xdr:col>
                <xdr:colOff>0</xdr:colOff>
                <xdr:row>146</xdr:row>
                <xdr:rowOff>11430</xdr:rowOff>
              </to>
            </anchor>
          </objectPr>
        </oleObject>
      </mc:Choice>
      <mc:Fallback>
        <oleObject progId="Equation.3" shapeId="1102" r:id="rId84"/>
      </mc:Fallback>
    </mc:AlternateContent>
    <mc:AlternateContent xmlns:mc="http://schemas.openxmlformats.org/markup-compatibility/2006">
      <mc:Choice Requires="x14">
        <oleObject progId="Equation.3" shapeId="1103" r:id="rId85">
          <objectPr defaultSize="0" autoFill="0" autoLine="0" autoPict="0" r:id="rId5">
            <anchor moveWithCells="1" sizeWithCells="1">
              <from>
                <xdr:col>1</xdr:col>
                <xdr:colOff>68580</xdr:colOff>
                <xdr:row>112</xdr:row>
                <xdr:rowOff>0</xdr:rowOff>
              </from>
              <to>
                <xdr:col>4</xdr:col>
                <xdr:colOff>685800</xdr:colOff>
                <xdr:row>112</xdr:row>
                <xdr:rowOff>0</xdr:rowOff>
              </to>
            </anchor>
          </objectPr>
        </oleObject>
      </mc:Choice>
      <mc:Fallback>
        <oleObject progId="Equation.3" shapeId="1103" r:id="rId85"/>
      </mc:Fallback>
    </mc:AlternateContent>
    <mc:AlternateContent xmlns:mc="http://schemas.openxmlformats.org/markup-compatibility/2006">
      <mc:Choice Requires="x14">
        <oleObject progId="Equation.3" shapeId="1104" r:id="rId86">
          <objectPr defaultSize="0" autoFill="0" autoLine="0" autoPict="0" r:id="rId7">
            <anchor moveWithCells="1" sizeWithCells="1">
              <from>
                <xdr:col>1</xdr:col>
                <xdr:colOff>182880</xdr:colOff>
                <xdr:row>146</xdr:row>
                <xdr:rowOff>0</xdr:rowOff>
              </from>
              <to>
                <xdr:col>2</xdr:col>
                <xdr:colOff>0</xdr:colOff>
                <xdr:row>146</xdr:row>
                <xdr:rowOff>11430</xdr:rowOff>
              </to>
            </anchor>
          </objectPr>
        </oleObject>
      </mc:Choice>
      <mc:Fallback>
        <oleObject progId="Equation.3" shapeId="1104" r:id="rId86"/>
      </mc:Fallback>
    </mc:AlternateContent>
    <mc:AlternateContent xmlns:mc="http://schemas.openxmlformats.org/markup-compatibility/2006">
      <mc:Choice Requires="x14">
        <oleObject progId="Equation.3" shapeId="1105" r:id="rId87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146</xdr:row>
                <xdr:rowOff>0</xdr:rowOff>
              </from>
              <to>
                <xdr:col>2</xdr:col>
                <xdr:colOff>0</xdr:colOff>
                <xdr:row>146</xdr:row>
                <xdr:rowOff>11430</xdr:rowOff>
              </to>
            </anchor>
          </objectPr>
        </oleObject>
      </mc:Choice>
      <mc:Fallback>
        <oleObject progId="Equation.3" shapeId="1105" r:id="rId87"/>
      </mc:Fallback>
    </mc:AlternateContent>
    <mc:AlternateContent xmlns:mc="http://schemas.openxmlformats.org/markup-compatibility/2006">
      <mc:Choice Requires="x14">
        <oleObject progId="Equation.3" shapeId="1106" r:id="rId88">
          <objectPr defaultSize="0" autoFill="0" autoLine="0" autoPict="0" r:id="rId5">
            <anchor moveWithCells="1" sizeWithCells="1">
              <from>
                <xdr:col>1</xdr:col>
                <xdr:colOff>68580</xdr:colOff>
                <xdr:row>183</xdr:row>
                <xdr:rowOff>0</xdr:rowOff>
              </from>
              <to>
                <xdr:col>4</xdr:col>
                <xdr:colOff>685800</xdr:colOff>
                <xdr:row>183</xdr:row>
                <xdr:rowOff>0</xdr:rowOff>
              </to>
            </anchor>
          </objectPr>
        </oleObject>
      </mc:Choice>
      <mc:Fallback>
        <oleObject progId="Equation.3" shapeId="1106" r:id="rId88"/>
      </mc:Fallback>
    </mc:AlternateContent>
    <mc:AlternateContent xmlns:mc="http://schemas.openxmlformats.org/markup-compatibility/2006">
      <mc:Choice Requires="x14">
        <oleObject progId="Equation.3" shapeId="1107" r:id="rId89">
          <objectPr defaultSize="0" autoFill="0" autoLine="0" autoPict="0" r:id="rId7">
            <anchor moveWithCells="1" sizeWithCells="1">
              <from>
                <xdr:col>1</xdr:col>
                <xdr:colOff>182880</xdr:colOff>
                <xdr:row>217</xdr:row>
                <xdr:rowOff>0</xdr:rowOff>
              </from>
              <to>
                <xdr:col>2</xdr:col>
                <xdr:colOff>0</xdr:colOff>
                <xdr:row>217</xdr:row>
                <xdr:rowOff>11430</xdr:rowOff>
              </to>
            </anchor>
          </objectPr>
        </oleObject>
      </mc:Choice>
      <mc:Fallback>
        <oleObject progId="Equation.3" shapeId="1107" r:id="rId89"/>
      </mc:Fallback>
    </mc:AlternateContent>
    <mc:AlternateContent xmlns:mc="http://schemas.openxmlformats.org/markup-compatibility/2006">
      <mc:Choice Requires="x14">
        <oleObject progId="Equation.3" shapeId="1108" r:id="rId90">
          <objectPr defaultSize="0" autoFill="0" autoLine="0" autoPict="0" r:id="rId5">
            <anchor moveWithCells="1" sizeWithCells="1">
              <from>
                <xdr:col>1</xdr:col>
                <xdr:colOff>68580</xdr:colOff>
                <xdr:row>183</xdr:row>
                <xdr:rowOff>0</xdr:rowOff>
              </from>
              <to>
                <xdr:col>4</xdr:col>
                <xdr:colOff>685800</xdr:colOff>
                <xdr:row>183</xdr:row>
                <xdr:rowOff>0</xdr:rowOff>
              </to>
            </anchor>
          </objectPr>
        </oleObject>
      </mc:Choice>
      <mc:Fallback>
        <oleObject progId="Equation.3" shapeId="1108" r:id="rId90"/>
      </mc:Fallback>
    </mc:AlternateContent>
    <mc:AlternateContent xmlns:mc="http://schemas.openxmlformats.org/markup-compatibility/2006">
      <mc:Choice Requires="x14">
        <oleObject progId="Equation.3" shapeId="1109" r:id="rId91">
          <objectPr defaultSize="0" autoFill="0" autoLine="0" autoPict="0" r:id="rId7">
            <anchor moveWithCells="1" sizeWithCells="1">
              <from>
                <xdr:col>1</xdr:col>
                <xdr:colOff>182880</xdr:colOff>
                <xdr:row>217</xdr:row>
                <xdr:rowOff>0</xdr:rowOff>
              </from>
              <to>
                <xdr:col>2</xdr:col>
                <xdr:colOff>0</xdr:colOff>
                <xdr:row>217</xdr:row>
                <xdr:rowOff>11430</xdr:rowOff>
              </to>
            </anchor>
          </objectPr>
        </oleObject>
      </mc:Choice>
      <mc:Fallback>
        <oleObject progId="Equation.3" shapeId="1109" r:id="rId91"/>
      </mc:Fallback>
    </mc:AlternateContent>
    <mc:AlternateContent xmlns:mc="http://schemas.openxmlformats.org/markup-compatibility/2006">
      <mc:Choice Requires="x14">
        <oleObject progId="Equation.3" shapeId="1110" r:id="rId92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217</xdr:row>
                <xdr:rowOff>0</xdr:rowOff>
              </from>
              <to>
                <xdr:col>2</xdr:col>
                <xdr:colOff>0</xdr:colOff>
                <xdr:row>217</xdr:row>
                <xdr:rowOff>11430</xdr:rowOff>
              </to>
            </anchor>
          </objectPr>
        </oleObject>
      </mc:Choice>
      <mc:Fallback>
        <oleObject progId="Equation.3" shapeId="1110" r:id="rId92"/>
      </mc:Fallback>
    </mc:AlternateContent>
    <mc:AlternateContent xmlns:mc="http://schemas.openxmlformats.org/markup-compatibility/2006">
      <mc:Choice Requires="x14">
        <oleObject progId="Equation.3" shapeId="1111" r:id="rId93">
          <objectPr defaultSize="0" autoFill="0" autoLine="0" autoPict="0" r:id="rId5">
            <anchor moveWithCells="1" sizeWithCells="1">
              <from>
                <xdr:col>1</xdr:col>
                <xdr:colOff>68580</xdr:colOff>
                <xdr:row>255</xdr:row>
                <xdr:rowOff>0</xdr:rowOff>
              </from>
              <to>
                <xdr:col>4</xdr:col>
                <xdr:colOff>685800</xdr:colOff>
                <xdr:row>255</xdr:row>
                <xdr:rowOff>0</xdr:rowOff>
              </to>
            </anchor>
          </objectPr>
        </oleObject>
      </mc:Choice>
      <mc:Fallback>
        <oleObject progId="Equation.3" shapeId="1111" r:id="rId93"/>
      </mc:Fallback>
    </mc:AlternateContent>
    <mc:AlternateContent xmlns:mc="http://schemas.openxmlformats.org/markup-compatibility/2006">
      <mc:Choice Requires="x14">
        <oleObject progId="Equation.3" shapeId="1112" r:id="rId94">
          <objectPr defaultSize="0" autoFill="0" autoLine="0" autoPict="0" r:id="rId7">
            <anchor moveWithCells="1" sizeWithCells="1">
              <from>
                <xdr:col>1</xdr:col>
                <xdr:colOff>182880</xdr:colOff>
                <xdr:row>289</xdr:row>
                <xdr:rowOff>0</xdr:rowOff>
              </from>
              <to>
                <xdr:col>2</xdr:col>
                <xdr:colOff>0</xdr:colOff>
                <xdr:row>289</xdr:row>
                <xdr:rowOff>11430</xdr:rowOff>
              </to>
            </anchor>
          </objectPr>
        </oleObject>
      </mc:Choice>
      <mc:Fallback>
        <oleObject progId="Equation.3" shapeId="1112" r:id="rId94"/>
      </mc:Fallback>
    </mc:AlternateContent>
    <mc:AlternateContent xmlns:mc="http://schemas.openxmlformats.org/markup-compatibility/2006">
      <mc:Choice Requires="x14">
        <oleObject progId="Equation.3" shapeId="1113" r:id="rId95">
          <objectPr defaultSize="0" autoFill="0" autoLine="0" autoPict="0" r:id="rId5">
            <anchor moveWithCells="1" sizeWithCells="1">
              <from>
                <xdr:col>1</xdr:col>
                <xdr:colOff>68580</xdr:colOff>
                <xdr:row>255</xdr:row>
                <xdr:rowOff>0</xdr:rowOff>
              </from>
              <to>
                <xdr:col>4</xdr:col>
                <xdr:colOff>685800</xdr:colOff>
                <xdr:row>255</xdr:row>
                <xdr:rowOff>0</xdr:rowOff>
              </to>
            </anchor>
          </objectPr>
        </oleObject>
      </mc:Choice>
      <mc:Fallback>
        <oleObject progId="Equation.3" shapeId="1113" r:id="rId95"/>
      </mc:Fallback>
    </mc:AlternateContent>
    <mc:AlternateContent xmlns:mc="http://schemas.openxmlformats.org/markup-compatibility/2006">
      <mc:Choice Requires="x14">
        <oleObject progId="Equation.3" shapeId="1114" r:id="rId96">
          <objectPr defaultSize="0" autoFill="0" autoLine="0" autoPict="0" r:id="rId7">
            <anchor moveWithCells="1" sizeWithCells="1">
              <from>
                <xdr:col>1</xdr:col>
                <xdr:colOff>182880</xdr:colOff>
                <xdr:row>289</xdr:row>
                <xdr:rowOff>0</xdr:rowOff>
              </from>
              <to>
                <xdr:col>2</xdr:col>
                <xdr:colOff>0</xdr:colOff>
                <xdr:row>289</xdr:row>
                <xdr:rowOff>11430</xdr:rowOff>
              </to>
            </anchor>
          </objectPr>
        </oleObject>
      </mc:Choice>
      <mc:Fallback>
        <oleObject progId="Equation.3" shapeId="1114" r:id="rId96"/>
      </mc:Fallback>
    </mc:AlternateContent>
    <mc:AlternateContent xmlns:mc="http://schemas.openxmlformats.org/markup-compatibility/2006">
      <mc:Choice Requires="x14">
        <oleObject progId="Equation.3" shapeId="1115" r:id="rId97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289</xdr:row>
                <xdr:rowOff>0</xdr:rowOff>
              </from>
              <to>
                <xdr:col>2</xdr:col>
                <xdr:colOff>0</xdr:colOff>
                <xdr:row>289</xdr:row>
                <xdr:rowOff>11430</xdr:rowOff>
              </to>
            </anchor>
          </objectPr>
        </oleObject>
      </mc:Choice>
      <mc:Fallback>
        <oleObject progId="Equation.3" shapeId="1115" r:id="rId97"/>
      </mc:Fallback>
    </mc:AlternateContent>
    <mc:AlternateContent xmlns:mc="http://schemas.openxmlformats.org/markup-compatibility/2006">
      <mc:Choice Requires="x14">
        <oleObject progId="Equation.3" shapeId="1116" r:id="rId98">
          <objectPr defaultSize="0" autoFill="0" autoLine="0" autoPict="0" r:id="rId5">
            <anchor moveWithCells="1" sizeWithCells="1">
              <from>
                <xdr:col>1</xdr:col>
                <xdr:colOff>68580</xdr:colOff>
                <xdr:row>327</xdr:row>
                <xdr:rowOff>0</xdr:rowOff>
              </from>
              <to>
                <xdr:col>4</xdr:col>
                <xdr:colOff>685800</xdr:colOff>
                <xdr:row>327</xdr:row>
                <xdr:rowOff>0</xdr:rowOff>
              </to>
            </anchor>
          </objectPr>
        </oleObject>
      </mc:Choice>
      <mc:Fallback>
        <oleObject progId="Equation.3" shapeId="1116" r:id="rId98"/>
      </mc:Fallback>
    </mc:AlternateContent>
    <mc:AlternateContent xmlns:mc="http://schemas.openxmlformats.org/markup-compatibility/2006">
      <mc:Choice Requires="x14">
        <oleObject progId="Equation.3" shapeId="1117" r:id="rId99">
          <objectPr defaultSize="0" autoFill="0" autoLine="0" autoPict="0" r:id="rId5">
            <anchor moveWithCells="1" sizeWithCells="1">
              <from>
                <xdr:col>1</xdr:col>
                <xdr:colOff>68580</xdr:colOff>
                <xdr:row>327</xdr:row>
                <xdr:rowOff>0</xdr:rowOff>
              </from>
              <to>
                <xdr:col>4</xdr:col>
                <xdr:colOff>685800</xdr:colOff>
                <xdr:row>327</xdr:row>
                <xdr:rowOff>0</xdr:rowOff>
              </to>
            </anchor>
          </objectPr>
        </oleObject>
      </mc:Choice>
      <mc:Fallback>
        <oleObject progId="Equation.3" shapeId="1117" r:id="rId99"/>
      </mc:Fallback>
    </mc:AlternateContent>
    <mc:AlternateContent xmlns:mc="http://schemas.openxmlformats.org/markup-compatibility/2006">
      <mc:Choice Requires="x14">
        <oleObject progId="Equation.3" shapeId="1118" r:id="rId100">
          <objectPr defaultSize="0" autoFill="0" autoLine="0" autoPict="0" r:id="rId7">
            <anchor moveWithCells="1" sizeWithCells="1">
              <from>
                <xdr:col>1</xdr:col>
                <xdr:colOff>182880</xdr:colOff>
                <xdr:row>361</xdr:row>
                <xdr:rowOff>0</xdr:rowOff>
              </from>
              <to>
                <xdr:col>2</xdr:col>
                <xdr:colOff>0</xdr:colOff>
                <xdr:row>361</xdr:row>
                <xdr:rowOff>11430</xdr:rowOff>
              </to>
            </anchor>
          </objectPr>
        </oleObject>
      </mc:Choice>
      <mc:Fallback>
        <oleObject progId="Equation.3" shapeId="1118" r:id="rId100"/>
      </mc:Fallback>
    </mc:AlternateContent>
    <mc:AlternateContent xmlns:mc="http://schemas.openxmlformats.org/markup-compatibility/2006">
      <mc:Choice Requires="x14">
        <oleObject progId="Equation.3" shapeId="1119" r:id="rId101">
          <objectPr defaultSize="0" autoFill="0" autoLine="0" autoPict="0" r:id="rId5">
            <anchor moveWithCells="1" sizeWithCells="1">
              <from>
                <xdr:col>1</xdr:col>
                <xdr:colOff>68580</xdr:colOff>
                <xdr:row>327</xdr:row>
                <xdr:rowOff>0</xdr:rowOff>
              </from>
              <to>
                <xdr:col>4</xdr:col>
                <xdr:colOff>685800</xdr:colOff>
                <xdr:row>327</xdr:row>
                <xdr:rowOff>0</xdr:rowOff>
              </to>
            </anchor>
          </objectPr>
        </oleObject>
      </mc:Choice>
      <mc:Fallback>
        <oleObject progId="Equation.3" shapeId="1119" r:id="rId101"/>
      </mc:Fallback>
    </mc:AlternateContent>
    <mc:AlternateContent xmlns:mc="http://schemas.openxmlformats.org/markup-compatibility/2006">
      <mc:Choice Requires="x14">
        <oleObject progId="Equation.3" shapeId="1120" r:id="rId102">
          <objectPr defaultSize="0" autoFill="0" autoLine="0" autoPict="0" r:id="rId7">
            <anchor moveWithCells="1" sizeWithCells="1">
              <from>
                <xdr:col>1</xdr:col>
                <xdr:colOff>182880</xdr:colOff>
                <xdr:row>361</xdr:row>
                <xdr:rowOff>0</xdr:rowOff>
              </from>
              <to>
                <xdr:col>2</xdr:col>
                <xdr:colOff>0</xdr:colOff>
                <xdr:row>361</xdr:row>
                <xdr:rowOff>11430</xdr:rowOff>
              </to>
            </anchor>
          </objectPr>
        </oleObject>
      </mc:Choice>
      <mc:Fallback>
        <oleObject progId="Equation.3" shapeId="1120" r:id="rId102"/>
      </mc:Fallback>
    </mc:AlternateContent>
    <mc:AlternateContent xmlns:mc="http://schemas.openxmlformats.org/markup-compatibility/2006">
      <mc:Choice Requires="x14">
        <oleObject progId="Equation.3" shapeId="1121" r:id="rId103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361</xdr:row>
                <xdr:rowOff>0</xdr:rowOff>
              </from>
              <to>
                <xdr:col>2</xdr:col>
                <xdr:colOff>0</xdr:colOff>
                <xdr:row>361</xdr:row>
                <xdr:rowOff>11430</xdr:rowOff>
              </to>
            </anchor>
          </objectPr>
        </oleObject>
      </mc:Choice>
      <mc:Fallback>
        <oleObject progId="Equation.3" shapeId="1121" r:id="rId103"/>
      </mc:Fallback>
    </mc:AlternateContent>
    <mc:AlternateContent xmlns:mc="http://schemas.openxmlformats.org/markup-compatibility/2006">
      <mc:Choice Requires="x14">
        <oleObject progId="Equation.3" shapeId="1122" r:id="rId104">
          <objectPr defaultSize="0" autoFill="0" autoLine="0" autoPict="0" r:id="rId5">
            <anchor moveWithCells="1" sizeWithCells="1">
              <from>
                <xdr:col>1</xdr:col>
                <xdr:colOff>68580</xdr:colOff>
                <xdr:row>399</xdr:row>
                <xdr:rowOff>0</xdr:rowOff>
              </from>
              <to>
                <xdr:col>4</xdr:col>
                <xdr:colOff>685800</xdr:colOff>
                <xdr:row>399</xdr:row>
                <xdr:rowOff>0</xdr:rowOff>
              </to>
            </anchor>
          </objectPr>
        </oleObject>
      </mc:Choice>
      <mc:Fallback>
        <oleObject progId="Equation.3" shapeId="1122" r:id="rId104"/>
      </mc:Fallback>
    </mc:AlternateContent>
    <mc:AlternateContent xmlns:mc="http://schemas.openxmlformats.org/markup-compatibility/2006">
      <mc:Choice Requires="x14">
        <oleObject progId="Equation.3" shapeId="1123" r:id="rId105">
          <objectPr defaultSize="0" autoFill="0" autoLine="0" autoPict="0" r:id="rId5">
            <anchor moveWithCells="1" sizeWithCells="1">
              <from>
                <xdr:col>1</xdr:col>
                <xdr:colOff>68580</xdr:colOff>
                <xdr:row>399</xdr:row>
                <xdr:rowOff>0</xdr:rowOff>
              </from>
              <to>
                <xdr:col>4</xdr:col>
                <xdr:colOff>685800</xdr:colOff>
                <xdr:row>399</xdr:row>
                <xdr:rowOff>0</xdr:rowOff>
              </to>
            </anchor>
          </objectPr>
        </oleObject>
      </mc:Choice>
      <mc:Fallback>
        <oleObject progId="Equation.3" shapeId="1123" r:id="rId105"/>
      </mc:Fallback>
    </mc:AlternateContent>
    <mc:AlternateContent xmlns:mc="http://schemas.openxmlformats.org/markup-compatibility/2006">
      <mc:Choice Requires="x14">
        <oleObject progId="Equation.3" shapeId="1124" r:id="rId106">
          <objectPr defaultSize="0" autoFill="0" autoLine="0" autoPict="0" r:id="rId5">
            <anchor moveWithCells="1" sizeWithCells="1">
              <from>
                <xdr:col>1</xdr:col>
                <xdr:colOff>68580</xdr:colOff>
                <xdr:row>399</xdr:row>
                <xdr:rowOff>0</xdr:rowOff>
              </from>
              <to>
                <xdr:col>4</xdr:col>
                <xdr:colOff>685800</xdr:colOff>
                <xdr:row>399</xdr:row>
                <xdr:rowOff>0</xdr:rowOff>
              </to>
            </anchor>
          </objectPr>
        </oleObject>
      </mc:Choice>
      <mc:Fallback>
        <oleObject progId="Equation.3" shapeId="1124" r:id="rId106"/>
      </mc:Fallback>
    </mc:AlternateContent>
    <mc:AlternateContent xmlns:mc="http://schemas.openxmlformats.org/markup-compatibility/2006">
      <mc:Choice Requires="x14">
        <oleObject progId="Equation.3" shapeId="1125" r:id="rId107">
          <objectPr defaultSize="0" autoFill="0" autoLine="0" autoPict="0" r:id="rId7">
            <anchor moveWithCells="1" sizeWithCells="1">
              <from>
                <xdr:col>1</xdr:col>
                <xdr:colOff>182880</xdr:colOff>
                <xdr:row>433</xdr:row>
                <xdr:rowOff>0</xdr:rowOff>
              </from>
              <to>
                <xdr:col>2</xdr:col>
                <xdr:colOff>0</xdr:colOff>
                <xdr:row>433</xdr:row>
                <xdr:rowOff>11430</xdr:rowOff>
              </to>
            </anchor>
          </objectPr>
        </oleObject>
      </mc:Choice>
      <mc:Fallback>
        <oleObject progId="Equation.3" shapeId="1125" r:id="rId107"/>
      </mc:Fallback>
    </mc:AlternateContent>
    <mc:AlternateContent xmlns:mc="http://schemas.openxmlformats.org/markup-compatibility/2006">
      <mc:Choice Requires="x14">
        <oleObject progId="Equation.3" shapeId="1126" r:id="rId108">
          <objectPr defaultSize="0" autoFill="0" autoLine="0" autoPict="0" r:id="rId5">
            <anchor moveWithCells="1" sizeWithCells="1">
              <from>
                <xdr:col>1</xdr:col>
                <xdr:colOff>68580</xdr:colOff>
                <xdr:row>399</xdr:row>
                <xdr:rowOff>0</xdr:rowOff>
              </from>
              <to>
                <xdr:col>4</xdr:col>
                <xdr:colOff>685800</xdr:colOff>
                <xdr:row>399</xdr:row>
                <xdr:rowOff>0</xdr:rowOff>
              </to>
            </anchor>
          </objectPr>
        </oleObject>
      </mc:Choice>
      <mc:Fallback>
        <oleObject progId="Equation.3" shapeId="1126" r:id="rId108"/>
      </mc:Fallback>
    </mc:AlternateContent>
    <mc:AlternateContent xmlns:mc="http://schemas.openxmlformats.org/markup-compatibility/2006">
      <mc:Choice Requires="x14">
        <oleObject progId="Equation.3" shapeId="1127" r:id="rId109">
          <objectPr defaultSize="0" autoFill="0" autoLine="0" autoPict="0" r:id="rId7">
            <anchor moveWithCells="1" sizeWithCells="1">
              <from>
                <xdr:col>1</xdr:col>
                <xdr:colOff>182880</xdr:colOff>
                <xdr:row>433</xdr:row>
                <xdr:rowOff>0</xdr:rowOff>
              </from>
              <to>
                <xdr:col>2</xdr:col>
                <xdr:colOff>0</xdr:colOff>
                <xdr:row>433</xdr:row>
                <xdr:rowOff>11430</xdr:rowOff>
              </to>
            </anchor>
          </objectPr>
        </oleObject>
      </mc:Choice>
      <mc:Fallback>
        <oleObject progId="Equation.3" shapeId="1127" r:id="rId109"/>
      </mc:Fallback>
    </mc:AlternateContent>
    <mc:AlternateContent xmlns:mc="http://schemas.openxmlformats.org/markup-compatibility/2006">
      <mc:Choice Requires="x14">
        <oleObject progId="Equation.3" shapeId="1128" r:id="rId110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433</xdr:row>
                <xdr:rowOff>0</xdr:rowOff>
              </from>
              <to>
                <xdr:col>2</xdr:col>
                <xdr:colOff>0</xdr:colOff>
                <xdr:row>433</xdr:row>
                <xdr:rowOff>11430</xdr:rowOff>
              </to>
            </anchor>
          </objectPr>
        </oleObject>
      </mc:Choice>
      <mc:Fallback>
        <oleObject progId="Equation.3" shapeId="1128" r:id="rId110"/>
      </mc:Fallback>
    </mc:AlternateContent>
    <mc:AlternateContent xmlns:mc="http://schemas.openxmlformats.org/markup-compatibility/2006">
      <mc:Choice Requires="x14">
        <oleObject progId="Equation.3" shapeId="1129" r:id="rId111">
          <objectPr defaultSize="0" autoFill="0" autoLine="0" autoPict="0" r:id="rId5">
            <anchor moveWithCells="1" sizeWithCells="1">
              <from>
                <xdr:col>1</xdr:col>
                <xdr:colOff>68580</xdr:colOff>
                <xdr:row>471</xdr:row>
                <xdr:rowOff>0</xdr:rowOff>
              </from>
              <to>
                <xdr:col>4</xdr:col>
                <xdr:colOff>685800</xdr:colOff>
                <xdr:row>471</xdr:row>
                <xdr:rowOff>0</xdr:rowOff>
              </to>
            </anchor>
          </objectPr>
        </oleObject>
      </mc:Choice>
      <mc:Fallback>
        <oleObject progId="Equation.3" shapeId="1129" r:id="rId111"/>
      </mc:Fallback>
    </mc:AlternateContent>
    <mc:AlternateContent xmlns:mc="http://schemas.openxmlformats.org/markup-compatibility/2006">
      <mc:Choice Requires="x14">
        <oleObject progId="Equation.3" shapeId="1130" r:id="rId112">
          <objectPr defaultSize="0" autoFill="0" autoLine="0" autoPict="0" r:id="rId5">
            <anchor moveWithCells="1" sizeWithCells="1">
              <from>
                <xdr:col>1</xdr:col>
                <xdr:colOff>68580</xdr:colOff>
                <xdr:row>471</xdr:row>
                <xdr:rowOff>0</xdr:rowOff>
              </from>
              <to>
                <xdr:col>4</xdr:col>
                <xdr:colOff>685800</xdr:colOff>
                <xdr:row>471</xdr:row>
                <xdr:rowOff>0</xdr:rowOff>
              </to>
            </anchor>
          </objectPr>
        </oleObject>
      </mc:Choice>
      <mc:Fallback>
        <oleObject progId="Equation.3" shapeId="1130" r:id="rId112"/>
      </mc:Fallback>
    </mc:AlternateContent>
    <mc:AlternateContent xmlns:mc="http://schemas.openxmlformats.org/markup-compatibility/2006">
      <mc:Choice Requires="x14">
        <oleObject progId="Equation.3" shapeId="1131" r:id="rId113">
          <objectPr defaultSize="0" autoFill="0" autoLine="0" autoPict="0" r:id="rId5">
            <anchor moveWithCells="1" sizeWithCells="1">
              <from>
                <xdr:col>1</xdr:col>
                <xdr:colOff>68580</xdr:colOff>
                <xdr:row>471</xdr:row>
                <xdr:rowOff>0</xdr:rowOff>
              </from>
              <to>
                <xdr:col>4</xdr:col>
                <xdr:colOff>685800</xdr:colOff>
                <xdr:row>471</xdr:row>
                <xdr:rowOff>0</xdr:rowOff>
              </to>
            </anchor>
          </objectPr>
        </oleObject>
      </mc:Choice>
      <mc:Fallback>
        <oleObject progId="Equation.3" shapeId="1131" r:id="rId113"/>
      </mc:Fallback>
    </mc:AlternateContent>
    <mc:AlternateContent xmlns:mc="http://schemas.openxmlformats.org/markup-compatibility/2006">
      <mc:Choice Requires="x14">
        <oleObject progId="Equation.3" shapeId="1132" r:id="rId114">
          <objectPr defaultSize="0" autoFill="0" autoLine="0" autoPict="0" r:id="rId7">
            <anchor moveWithCells="1" sizeWithCells="1">
              <from>
                <xdr:col>1</xdr:col>
                <xdr:colOff>182880</xdr:colOff>
                <xdr:row>505</xdr:row>
                <xdr:rowOff>0</xdr:rowOff>
              </from>
              <to>
                <xdr:col>2</xdr:col>
                <xdr:colOff>0</xdr:colOff>
                <xdr:row>505</xdr:row>
                <xdr:rowOff>11430</xdr:rowOff>
              </to>
            </anchor>
          </objectPr>
        </oleObject>
      </mc:Choice>
      <mc:Fallback>
        <oleObject progId="Equation.3" shapeId="1132" r:id="rId114"/>
      </mc:Fallback>
    </mc:AlternateContent>
    <mc:AlternateContent xmlns:mc="http://schemas.openxmlformats.org/markup-compatibility/2006">
      <mc:Choice Requires="x14">
        <oleObject progId="Equation.3" shapeId="1133" r:id="rId115">
          <objectPr defaultSize="0" autoFill="0" autoLine="0" autoPict="0" r:id="rId5">
            <anchor moveWithCells="1" sizeWithCells="1">
              <from>
                <xdr:col>1</xdr:col>
                <xdr:colOff>68580</xdr:colOff>
                <xdr:row>471</xdr:row>
                <xdr:rowOff>0</xdr:rowOff>
              </from>
              <to>
                <xdr:col>4</xdr:col>
                <xdr:colOff>685800</xdr:colOff>
                <xdr:row>471</xdr:row>
                <xdr:rowOff>0</xdr:rowOff>
              </to>
            </anchor>
          </objectPr>
        </oleObject>
      </mc:Choice>
      <mc:Fallback>
        <oleObject progId="Equation.3" shapeId="1133" r:id="rId115"/>
      </mc:Fallback>
    </mc:AlternateContent>
    <mc:AlternateContent xmlns:mc="http://schemas.openxmlformats.org/markup-compatibility/2006">
      <mc:Choice Requires="x14">
        <oleObject progId="Equation.3" shapeId="1134" r:id="rId116">
          <objectPr defaultSize="0" autoFill="0" autoLine="0" autoPict="0" r:id="rId7">
            <anchor moveWithCells="1" sizeWithCells="1">
              <from>
                <xdr:col>1</xdr:col>
                <xdr:colOff>182880</xdr:colOff>
                <xdr:row>505</xdr:row>
                <xdr:rowOff>0</xdr:rowOff>
              </from>
              <to>
                <xdr:col>2</xdr:col>
                <xdr:colOff>0</xdr:colOff>
                <xdr:row>505</xdr:row>
                <xdr:rowOff>11430</xdr:rowOff>
              </to>
            </anchor>
          </objectPr>
        </oleObject>
      </mc:Choice>
      <mc:Fallback>
        <oleObject progId="Equation.3" shapeId="1134" r:id="rId116"/>
      </mc:Fallback>
    </mc:AlternateContent>
    <mc:AlternateContent xmlns:mc="http://schemas.openxmlformats.org/markup-compatibility/2006">
      <mc:Choice Requires="x14">
        <oleObject progId="Equation.3" shapeId="1135" r:id="rId117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505</xdr:row>
                <xdr:rowOff>0</xdr:rowOff>
              </from>
              <to>
                <xdr:col>2</xdr:col>
                <xdr:colOff>0</xdr:colOff>
                <xdr:row>505</xdr:row>
                <xdr:rowOff>11430</xdr:rowOff>
              </to>
            </anchor>
          </objectPr>
        </oleObject>
      </mc:Choice>
      <mc:Fallback>
        <oleObject progId="Equation.3" shapeId="1135" r:id="rId117"/>
      </mc:Fallback>
    </mc:AlternateContent>
    <mc:AlternateContent xmlns:mc="http://schemas.openxmlformats.org/markup-compatibility/2006">
      <mc:Choice Requires="x14">
        <oleObject progId="Equation.3" shapeId="1136" r:id="rId118">
          <objectPr defaultSize="0" autoFill="0" autoLine="0" autoPict="0" r:id="rId5">
            <anchor moveWithCells="1" sizeWithCells="1">
              <from>
                <xdr:col>1</xdr:col>
                <xdr:colOff>68580</xdr:colOff>
                <xdr:row>543</xdr:row>
                <xdr:rowOff>0</xdr:rowOff>
              </from>
              <to>
                <xdr:col>4</xdr:col>
                <xdr:colOff>685800</xdr:colOff>
                <xdr:row>543</xdr:row>
                <xdr:rowOff>0</xdr:rowOff>
              </to>
            </anchor>
          </objectPr>
        </oleObject>
      </mc:Choice>
      <mc:Fallback>
        <oleObject progId="Equation.3" shapeId="1136" r:id="rId118"/>
      </mc:Fallback>
    </mc:AlternateContent>
    <mc:AlternateContent xmlns:mc="http://schemas.openxmlformats.org/markup-compatibility/2006">
      <mc:Choice Requires="x14">
        <oleObject progId="Equation.3" shapeId="1137" r:id="rId119">
          <objectPr defaultSize="0" autoFill="0" autoLine="0" autoPict="0" r:id="rId5">
            <anchor moveWithCells="1" sizeWithCells="1">
              <from>
                <xdr:col>1</xdr:col>
                <xdr:colOff>68580</xdr:colOff>
                <xdr:row>543</xdr:row>
                <xdr:rowOff>0</xdr:rowOff>
              </from>
              <to>
                <xdr:col>4</xdr:col>
                <xdr:colOff>685800</xdr:colOff>
                <xdr:row>543</xdr:row>
                <xdr:rowOff>0</xdr:rowOff>
              </to>
            </anchor>
          </objectPr>
        </oleObject>
      </mc:Choice>
      <mc:Fallback>
        <oleObject progId="Equation.3" shapeId="1137" r:id="rId119"/>
      </mc:Fallback>
    </mc:AlternateContent>
    <mc:AlternateContent xmlns:mc="http://schemas.openxmlformats.org/markup-compatibility/2006">
      <mc:Choice Requires="x14">
        <oleObject progId="Equation.3" shapeId="1138" r:id="rId120">
          <objectPr defaultSize="0" autoFill="0" autoLine="0" autoPict="0" r:id="rId5">
            <anchor moveWithCells="1" sizeWithCells="1">
              <from>
                <xdr:col>1</xdr:col>
                <xdr:colOff>68580</xdr:colOff>
                <xdr:row>543</xdr:row>
                <xdr:rowOff>0</xdr:rowOff>
              </from>
              <to>
                <xdr:col>4</xdr:col>
                <xdr:colOff>685800</xdr:colOff>
                <xdr:row>543</xdr:row>
                <xdr:rowOff>0</xdr:rowOff>
              </to>
            </anchor>
          </objectPr>
        </oleObject>
      </mc:Choice>
      <mc:Fallback>
        <oleObject progId="Equation.3" shapeId="1138" r:id="rId120"/>
      </mc:Fallback>
    </mc:AlternateContent>
    <mc:AlternateContent xmlns:mc="http://schemas.openxmlformats.org/markup-compatibility/2006">
      <mc:Choice Requires="x14">
        <oleObject progId="Equation.3" shapeId="1139" r:id="rId121">
          <objectPr defaultSize="0" autoFill="0" autoLine="0" autoPict="0" r:id="rId7">
            <anchor moveWithCells="1" sizeWithCells="1">
              <from>
                <xdr:col>1</xdr:col>
                <xdr:colOff>182880</xdr:colOff>
                <xdr:row>577</xdr:row>
                <xdr:rowOff>0</xdr:rowOff>
              </from>
              <to>
                <xdr:col>2</xdr:col>
                <xdr:colOff>0</xdr:colOff>
                <xdr:row>577</xdr:row>
                <xdr:rowOff>11430</xdr:rowOff>
              </to>
            </anchor>
          </objectPr>
        </oleObject>
      </mc:Choice>
      <mc:Fallback>
        <oleObject progId="Equation.3" shapeId="1139" r:id="rId121"/>
      </mc:Fallback>
    </mc:AlternateContent>
    <mc:AlternateContent xmlns:mc="http://schemas.openxmlformats.org/markup-compatibility/2006">
      <mc:Choice Requires="x14">
        <oleObject progId="Equation.3" shapeId="1140" r:id="rId122">
          <objectPr defaultSize="0" autoFill="0" autoLine="0" autoPict="0" r:id="rId5">
            <anchor moveWithCells="1" sizeWithCells="1">
              <from>
                <xdr:col>1</xdr:col>
                <xdr:colOff>68580</xdr:colOff>
                <xdr:row>543</xdr:row>
                <xdr:rowOff>0</xdr:rowOff>
              </from>
              <to>
                <xdr:col>4</xdr:col>
                <xdr:colOff>685800</xdr:colOff>
                <xdr:row>543</xdr:row>
                <xdr:rowOff>0</xdr:rowOff>
              </to>
            </anchor>
          </objectPr>
        </oleObject>
      </mc:Choice>
      <mc:Fallback>
        <oleObject progId="Equation.3" shapeId="1140" r:id="rId122"/>
      </mc:Fallback>
    </mc:AlternateContent>
    <mc:AlternateContent xmlns:mc="http://schemas.openxmlformats.org/markup-compatibility/2006">
      <mc:Choice Requires="x14">
        <oleObject progId="Equation.3" shapeId="1141" r:id="rId123">
          <objectPr defaultSize="0" autoFill="0" autoLine="0" autoPict="0" r:id="rId7">
            <anchor moveWithCells="1" sizeWithCells="1">
              <from>
                <xdr:col>1</xdr:col>
                <xdr:colOff>182880</xdr:colOff>
                <xdr:row>577</xdr:row>
                <xdr:rowOff>0</xdr:rowOff>
              </from>
              <to>
                <xdr:col>2</xdr:col>
                <xdr:colOff>0</xdr:colOff>
                <xdr:row>577</xdr:row>
                <xdr:rowOff>11430</xdr:rowOff>
              </to>
            </anchor>
          </objectPr>
        </oleObject>
      </mc:Choice>
      <mc:Fallback>
        <oleObject progId="Equation.3" shapeId="1141" r:id="rId123"/>
      </mc:Fallback>
    </mc:AlternateContent>
    <mc:AlternateContent xmlns:mc="http://schemas.openxmlformats.org/markup-compatibility/2006">
      <mc:Choice Requires="x14">
        <oleObject progId="Equation.3" shapeId="1142" r:id="rId124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577</xdr:row>
                <xdr:rowOff>0</xdr:rowOff>
              </from>
              <to>
                <xdr:col>2</xdr:col>
                <xdr:colOff>0</xdr:colOff>
                <xdr:row>577</xdr:row>
                <xdr:rowOff>11430</xdr:rowOff>
              </to>
            </anchor>
          </objectPr>
        </oleObject>
      </mc:Choice>
      <mc:Fallback>
        <oleObject progId="Equation.3" shapeId="1142" r:id="rId124"/>
      </mc:Fallback>
    </mc:AlternateContent>
    <mc:AlternateContent xmlns:mc="http://schemas.openxmlformats.org/markup-compatibility/2006">
      <mc:Choice Requires="x14">
        <oleObject progId="Equation.3" shapeId="1143" r:id="rId125">
          <objectPr defaultSize="0" autoFill="0" autoLine="0" autoPict="0" r:id="rId5">
            <anchor moveWithCells="1" sizeWithCells="1">
              <from>
                <xdr:col>1</xdr:col>
                <xdr:colOff>68580</xdr:colOff>
                <xdr:row>615</xdr:row>
                <xdr:rowOff>0</xdr:rowOff>
              </from>
              <to>
                <xdr:col>4</xdr:col>
                <xdr:colOff>685800</xdr:colOff>
                <xdr:row>615</xdr:row>
                <xdr:rowOff>0</xdr:rowOff>
              </to>
            </anchor>
          </objectPr>
        </oleObject>
      </mc:Choice>
      <mc:Fallback>
        <oleObject progId="Equation.3" shapeId="1143" r:id="rId125"/>
      </mc:Fallback>
    </mc:AlternateContent>
    <mc:AlternateContent xmlns:mc="http://schemas.openxmlformats.org/markup-compatibility/2006">
      <mc:Choice Requires="x14">
        <oleObject progId="Equation.3" shapeId="1144" r:id="rId126">
          <objectPr defaultSize="0" autoFill="0" autoLine="0" autoPict="0" r:id="rId5">
            <anchor moveWithCells="1" sizeWithCells="1">
              <from>
                <xdr:col>1</xdr:col>
                <xdr:colOff>68580</xdr:colOff>
                <xdr:row>615</xdr:row>
                <xdr:rowOff>0</xdr:rowOff>
              </from>
              <to>
                <xdr:col>4</xdr:col>
                <xdr:colOff>685800</xdr:colOff>
                <xdr:row>615</xdr:row>
                <xdr:rowOff>0</xdr:rowOff>
              </to>
            </anchor>
          </objectPr>
        </oleObject>
      </mc:Choice>
      <mc:Fallback>
        <oleObject progId="Equation.3" shapeId="1144" r:id="rId126"/>
      </mc:Fallback>
    </mc:AlternateContent>
    <mc:AlternateContent xmlns:mc="http://schemas.openxmlformats.org/markup-compatibility/2006">
      <mc:Choice Requires="x14">
        <oleObject progId="Equation.3" shapeId="1145" r:id="rId127">
          <objectPr defaultSize="0" autoFill="0" autoLine="0" autoPict="0" r:id="rId5">
            <anchor moveWithCells="1" sizeWithCells="1">
              <from>
                <xdr:col>1</xdr:col>
                <xdr:colOff>68580</xdr:colOff>
                <xdr:row>615</xdr:row>
                <xdr:rowOff>0</xdr:rowOff>
              </from>
              <to>
                <xdr:col>4</xdr:col>
                <xdr:colOff>685800</xdr:colOff>
                <xdr:row>615</xdr:row>
                <xdr:rowOff>0</xdr:rowOff>
              </to>
            </anchor>
          </objectPr>
        </oleObject>
      </mc:Choice>
      <mc:Fallback>
        <oleObject progId="Equation.3" shapeId="1145" r:id="rId127"/>
      </mc:Fallback>
    </mc:AlternateContent>
    <mc:AlternateContent xmlns:mc="http://schemas.openxmlformats.org/markup-compatibility/2006">
      <mc:Choice Requires="x14">
        <oleObject progId="Equation.3" shapeId="1146" r:id="rId128">
          <objectPr defaultSize="0" autoFill="0" autoLine="0" autoPict="0" r:id="rId7">
            <anchor moveWithCells="1" sizeWithCells="1">
              <from>
                <xdr:col>1</xdr:col>
                <xdr:colOff>182880</xdr:colOff>
                <xdr:row>649</xdr:row>
                <xdr:rowOff>0</xdr:rowOff>
              </from>
              <to>
                <xdr:col>2</xdr:col>
                <xdr:colOff>0</xdr:colOff>
                <xdr:row>649</xdr:row>
                <xdr:rowOff>11430</xdr:rowOff>
              </to>
            </anchor>
          </objectPr>
        </oleObject>
      </mc:Choice>
      <mc:Fallback>
        <oleObject progId="Equation.3" shapeId="1146" r:id="rId128"/>
      </mc:Fallback>
    </mc:AlternateContent>
    <mc:AlternateContent xmlns:mc="http://schemas.openxmlformats.org/markup-compatibility/2006">
      <mc:Choice Requires="x14">
        <oleObject progId="Equation.3" shapeId="1147" r:id="rId129">
          <objectPr defaultSize="0" autoFill="0" autoLine="0" autoPict="0" r:id="rId5">
            <anchor moveWithCells="1" sizeWithCells="1">
              <from>
                <xdr:col>1</xdr:col>
                <xdr:colOff>68580</xdr:colOff>
                <xdr:row>615</xdr:row>
                <xdr:rowOff>0</xdr:rowOff>
              </from>
              <to>
                <xdr:col>4</xdr:col>
                <xdr:colOff>685800</xdr:colOff>
                <xdr:row>615</xdr:row>
                <xdr:rowOff>0</xdr:rowOff>
              </to>
            </anchor>
          </objectPr>
        </oleObject>
      </mc:Choice>
      <mc:Fallback>
        <oleObject progId="Equation.3" shapeId="1147" r:id="rId129"/>
      </mc:Fallback>
    </mc:AlternateContent>
    <mc:AlternateContent xmlns:mc="http://schemas.openxmlformats.org/markup-compatibility/2006">
      <mc:Choice Requires="x14">
        <oleObject progId="Equation.3" shapeId="1148" r:id="rId130">
          <objectPr defaultSize="0" autoFill="0" autoLine="0" autoPict="0" r:id="rId7">
            <anchor moveWithCells="1" sizeWithCells="1">
              <from>
                <xdr:col>1</xdr:col>
                <xdr:colOff>182880</xdr:colOff>
                <xdr:row>649</xdr:row>
                <xdr:rowOff>0</xdr:rowOff>
              </from>
              <to>
                <xdr:col>2</xdr:col>
                <xdr:colOff>0</xdr:colOff>
                <xdr:row>649</xdr:row>
                <xdr:rowOff>11430</xdr:rowOff>
              </to>
            </anchor>
          </objectPr>
        </oleObject>
      </mc:Choice>
      <mc:Fallback>
        <oleObject progId="Equation.3" shapeId="1148" r:id="rId130"/>
      </mc:Fallback>
    </mc:AlternateContent>
    <mc:AlternateContent xmlns:mc="http://schemas.openxmlformats.org/markup-compatibility/2006">
      <mc:Choice Requires="x14">
        <oleObject progId="Equation.3" shapeId="1149" r:id="rId131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649</xdr:row>
                <xdr:rowOff>0</xdr:rowOff>
              </from>
              <to>
                <xdr:col>2</xdr:col>
                <xdr:colOff>0</xdr:colOff>
                <xdr:row>649</xdr:row>
                <xdr:rowOff>11430</xdr:rowOff>
              </to>
            </anchor>
          </objectPr>
        </oleObject>
      </mc:Choice>
      <mc:Fallback>
        <oleObject progId="Equation.3" shapeId="1149" r:id="rId131"/>
      </mc:Fallback>
    </mc:AlternateContent>
    <mc:AlternateContent xmlns:mc="http://schemas.openxmlformats.org/markup-compatibility/2006">
      <mc:Choice Requires="x14">
        <oleObject progId="Equation.3" shapeId="1150" r:id="rId132">
          <objectPr defaultSize="0" autoFill="0" autoLine="0" autoPict="0" r:id="rId5">
            <anchor moveWithCells="1" sizeWithCells="1">
              <from>
                <xdr:col>1</xdr:col>
                <xdr:colOff>68580</xdr:colOff>
                <xdr:row>687</xdr:row>
                <xdr:rowOff>0</xdr:rowOff>
              </from>
              <to>
                <xdr:col>4</xdr:col>
                <xdr:colOff>685800</xdr:colOff>
                <xdr:row>687</xdr:row>
                <xdr:rowOff>0</xdr:rowOff>
              </to>
            </anchor>
          </objectPr>
        </oleObject>
      </mc:Choice>
      <mc:Fallback>
        <oleObject progId="Equation.3" shapeId="1150" r:id="rId132"/>
      </mc:Fallback>
    </mc:AlternateContent>
    <mc:AlternateContent xmlns:mc="http://schemas.openxmlformats.org/markup-compatibility/2006">
      <mc:Choice Requires="x14">
        <oleObject progId="Equation.3" shapeId="1151" r:id="rId133">
          <objectPr defaultSize="0" autoFill="0" autoLine="0" autoPict="0" r:id="rId5">
            <anchor moveWithCells="1" sizeWithCells="1">
              <from>
                <xdr:col>1</xdr:col>
                <xdr:colOff>68580</xdr:colOff>
                <xdr:row>687</xdr:row>
                <xdr:rowOff>0</xdr:rowOff>
              </from>
              <to>
                <xdr:col>4</xdr:col>
                <xdr:colOff>685800</xdr:colOff>
                <xdr:row>687</xdr:row>
                <xdr:rowOff>0</xdr:rowOff>
              </to>
            </anchor>
          </objectPr>
        </oleObject>
      </mc:Choice>
      <mc:Fallback>
        <oleObject progId="Equation.3" shapeId="1151" r:id="rId133"/>
      </mc:Fallback>
    </mc:AlternateContent>
    <mc:AlternateContent xmlns:mc="http://schemas.openxmlformats.org/markup-compatibility/2006">
      <mc:Choice Requires="x14">
        <oleObject progId="Equation.3" shapeId="1152" r:id="rId134">
          <objectPr defaultSize="0" autoFill="0" autoLine="0" autoPict="0" r:id="rId5">
            <anchor moveWithCells="1" sizeWithCells="1">
              <from>
                <xdr:col>1</xdr:col>
                <xdr:colOff>68580</xdr:colOff>
                <xdr:row>687</xdr:row>
                <xdr:rowOff>0</xdr:rowOff>
              </from>
              <to>
                <xdr:col>4</xdr:col>
                <xdr:colOff>685800</xdr:colOff>
                <xdr:row>687</xdr:row>
                <xdr:rowOff>0</xdr:rowOff>
              </to>
            </anchor>
          </objectPr>
        </oleObject>
      </mc:Choice>
      <mc:Fallback>
        <oleObject progId="Equation.3" shapeId="1152" r:id="rId134"/>
      </mc:Fallback>
    </mc:AlternateContent>
    <mc:AlternateContent xmlns:mc="http://schemas.openxmlformats.org/markup-compatibility/2006">
      <mc:Choice Requires="x14">
        <oleObject progId="Equation.3" shapeId="1153" r:id="rId135">
          <objectPr defaultSize="0" autoFill="0" autoLine="0" autoPict="0" r:id="rId7">
            <anchor moveWithCells="1" sizeWithCells="1">
              <from>
                <xdr:col>1</xdr:col>
                <xdr:colOff>182880</xdr:colOff>
                <xdr:row>721</xdr:row>
                <xdr:rowOff>0</xdr:rowOff>
              </from>
              <to>
                <xdr:col>2</xdr:col>
                <xdr:colOff>0</xdr:colOff>
                <xdr:row>721</xdr:row>
                <xdr:rowOff>11430</xdr:rowOff>
              </to>
            </anchor>
          </objectPr>
        </oleObject>
      </mc:Choice>
      <mc:Fallback>
        <oleObject progId="Equation.3" shapeId="1153" r:id="rId135"/>
      </mc:Fallback>
    </mc:AlternateContent>
    <mc:AlternateContent xmlns:mc="http://schemas.openxmlformats.org/markup-compatibility/2006">
      <mc:Choice Requires="x14">
        <oleObject progId="Equation.3" shapeId="1154" r:id="rId136">
          <objectPr defaultSize="0" autoFill="0" autoLine="0" autoPict="0" r:id="rId5">
            <anchor moveWithCells="1" sizeWithCells="1">
              <from>
                <xdr:col>1</xdr:col>
                <xdr:colOff>68580</xdr:colOff>
                <xdr:row>687</xdr:row>
                <xdr:rowOff>0</xdr:rowOff>
              </from>
              <to>
                <xdr:col>4</xdr:col>
                <xdr:colOff>685800</xdr:colOff>
                <xdr:row>687</xdr:row>
                <xdr:rowOff>0</xdr:rowOff>
              </to>
            </anchor>
          </objectPr>
        </oleObject>
      </mc:Choice>
      <mc:Fallback>
        <oleObject progId="Equation.3" shapeId="1154" r:id="rId136"/>
      </mc:Fallback>
    </mc:AlternateContent>
    <mc:AlternateContent xmlns:mc="http://schemas.openxmlformats.org/markup-compatibility/2006">
      <mc:Choice Requires="x14">
        <oleObject progId="Equation.3" shapeId="1155" r:id="rId137">
          <objectPr defaultSize="0" autoFill="0" autoLine="0" autoPict="0" r:id="rId7">
            <anchor moveWithCells="1" sizeWithCells="1">
              <from>
                <xdr:col>1</xdr:col>
                <xdr:colOff>182880</xdr:colOff>
                <xdr:row>721</xdr:row>
                <xdr:rowOff>0</xdr:rowOff>
              </from>
              <to>
                <xdr:col>2</xdr:col>
                <xdr:colOff>0</xdr:colOff>
                <xdr:row>721</xdr:row>
                <xdr:rowOff>11430</xdr:rowOff>
              </to>
            </anchor>
          </objectPr>
        </oleObject>
      </mc:Choice>
      <mc:Fallback>
        <oleObject progId="Equation.3" shapeId="1155" r:id="rId137"/>
      </mc:Fallback>
    </mc:AlternateContent>
    <mc:AlternateContent xmlns:mc="http://schemas.openxmlformats.org/markup-compatibility/2006">
      <mc:Choice Requires="x14">
        <oleObject progId="Equation.3" shapeId="1156" r:id="rId138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721</xdr:row>
                <xdr:rowOff>0</xdr:rowOff>
              </from>
              <to>
                <xdr:col>2</xdr:col>
                <xdr:colOff>0</xdr:colOff>
                <xdr:row>721</xdr:row>
                <xdr:rowOff>11430</xdr:rowOff>
              </to>
            </anchor>
          </objectPr>
        </oleObject>
      </mc:Choice>
      <mc:Fallback>
        <oleObject progId="Equation.3" shapeId="1156" r:id="rId138"/>
      </mc:Fallback>
    </mc:AlternateContent>
    <mc:AlternateContent xmlns:mc="http://schemas.openxmlformats.org/markup-compatibility/2006">
      <mc:Choice Requires="x14">
        <oleObject progId="Equation.3" shapeId="1157" r:id="rId139">
          <objectPr defaultSize="0" autoFill="0" autoLine="0" autoPict="0" r:id="rId5">
            <anchor moveWithCells="1" sizeWithCells="1">
              <from>
                <xdr:col>1</xdr:col>
                <xdr:colOff>68580</xdr:colOff>
                <xdr:row>759</xdr:row>
                <xdr:rowOff>0</xdr:rowOff>
              </from>
              <to>
                <xdr:col>4</xdr:col>
                <xdr:colOff>685800</xdr:colOff>
                <xdr:row>759</xdr:row>
                <xdr:rowOff>0</xdr:rowOff>
              </to>
            </anchor>
          </objectPr>
        </oleObject>
      </mc:Choice>
      <mc:Fallback>
        <oleObject progId="Equation.3" shapeId="1157" r:id="rId139"/>
      </mc:Fallback>
    </mc:AlternateContent>
    <mc:AlternateContent xmlns:mc="http://schemas.openxmlformats.org/markup-compatibility/2006">
      <mc:Choice Requires="x14">
        <oleObject progId="Equation.3" shapeId="1158" r:id="rId140">
          <objectPr defaultSize="0" autoFill="0" autoLine="0" autoPict="0" r:id="rId5">
            <anchor moveWithCells="1" sizeWithCells="1">
              <from>
                <xdr:col>1</xdr:col>
                <xdr:colOff>68580</xdr:colOff>
                <xdr:row>759</xdr:row>
                <xdr:rowOff>0</xdr:rowOff>
              </from>
              <to>
                <xdr:col>4</xdr:col>
                <xdr:colOff>685800</xdr:colOff>
                <xdr:row>759</xdr:row>
                <xdr:rowOff>0</xdr:rowOff>
              </to>
            </anchor>
          </objectPr>
        </oleObject>
      </mc:Choice>
      <mc:Fallback>
        <oleObject progId="Equation.3" shapeId="1158" r:id="rId140"/>
      </mc:Fallback>
    </mc:AlternateContent>
    <mc:AlternateContent xmlns:mc="http://schemas.openxmlformats.org/markup-compatibility/2006">
      <mc:Choice Requires="x14">
        <oleObject progId="Equation.3" shapeId="1159" r:id="rId141">
          <objectPr defaultSize="0" autoFill="0" autoLine="0" autoPict="0" r:id="rId5">
            <anchor moveWithCells="1" sizeWithCells="1">
              <from>
                <xdr:col>1</xdr:col>
                <xdr:colOff>68580</xdr:colOff>
                <xdr:row>759</xdr:row>
                <xdr:rowOff>0</xdr:rowOff>
              </from>
              <to>
                <xdr:col>4</xdr:col>
                <xdr:colOff>685800</xdr:colOff>
                <xdr:row>759</xdr:row>
                <xdr:rowOff>0</xdr:rowOff>
              </to>
            </anchor>
          </objectPr>
        </oleObject>
      </mc:Choice>
      <mc:Fallback>
        <oleObject progId="Equation.3" shapeId="1159" r:id="rId141"/>
      </mc:Fallback>
    </mc:AlternateContent>
    <mc:AlternateContent xmlns:mc="http://schemas.openxmlformats.org/markup-compatibility/2006">
      <mc:Choice Requires="x14">
        <oleObject progId="Equation.3" shapeId="1160" r:id="rId142">
          <objectPr defaultSize="0" autoFill="0" autoLine="0" autoPict="0" r:id="rId7">
            <anchor moveWithCells="1" sizeWithCells="1">
              <from>
                <xdr:col>1</xdr:col>
                <xdr:colOff>182880</xdr:colOff>
                <xdr:row>793</xdr:row>
                <xdr:rowOff>0</xdr:rowOff>
              </from>
              <to>
                <xdr:col>2</xdr:col>
                <xdr:colOff>0</xdr:colOff>
                <xdr:row>793</xdr:row>
                <xdr:rowOff>11430</xdr:rowOff>
              </to>
            </anchor>
          </objectPr>
        </oleObject>
      </mc:Choice>
      <mc:Fallback>
        <oleObject progId="Equation.3" shapeId="1160" r:id="rId142"/>
      </mc:Fallback>
    </mc:AlternateContent>
    <mc:AlternateContent xmlns:mc="http://schemas.openxmlformats.org/markup-compatibility/2006">
      <mc:Choice Requires="x14">
        <oleObject progId="Equation.3" shapeId="1161" r:id="rId143">
          <objectPr defaultSize="0" autoFill="0" autoLine="0" autoPict="0" r:id="rId5">
            <anchor moveWithCells="1" sizeWithCells="1">
              <from>
                <xdr:col>1</xdr:col>
                <xdr:colOff>68580</xdr:colOff>
                <xdr:row>759</xdr:row>
                <xdr:rowOff>0</xdr:rowOff>
              </from>
              <to>
                <xdr:col>4</xdr:col>
                <xdr:colOff>685800</xdr:colOff>
                <xdr:row>759</xdr:row>
                <xdr:rowOff>0</xdr:rowOff>
              </to>
            </anchor>
          </objectPr>
        </oleObject>
      </mc:Choice>
      <mc:Fallback>
        <oleObject progId="Equation.3" shapeId="1161" r:id="rId143"/>
      </mc:Fallback>
    </mc:AlternateContent>
    <mc:AlternateContent xmlns:mc="http://schemas.openxmlformats.org/markup-compatibility/2006">
      <mc:Choice Requires="x14">
        <oleObject progId="Equation.3" shapeId="1162" r:id="rId144">
          <objectPr defaultSize="0" autoFill="0" autoLine="0" autoPict="0" r:id="rId7">
            <anchor moveWithCells="1" sizeWithCells="1">
              <from>
                <xdr:col>1</xdr:col>
                <xdr:colOff>182880</xdr:colOff>
                <xdr:row>793</xdr:row>
                <xdr:rowOff>0</xdr:rowOff>
              </from>
              <to>
                <xdr:col>2</xdr:col>
                <xdr:colOff>0</xdr:colOff>
                <xdr:row>793</xdr:row>
                <xdr:rowOff>11430</xdr:rowOff>
              </to>
            </anchor>
          </objectPr>
        </oleObject>
      </mc:Choice>
      <mc:Fallback>
        <oleObject progId="Equation.3" shapeId="1162" r:id="rId144"/>
      </mc:Fallback>
    </mc:AlternateContent>
    <mc:AlternateContent xmlns:mc="http://schemas.openxmlformats.org/markup-compatibility/2006">
      <mc:Choice Requires="x14">
        <oleObject progId="Equation.3" shapeId="1163" r:id="rId145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793</xdr:row>
                <xdr:rowOff>0</xdr:rowOff>
              </from>
              <to>
                <xdr:col>2</xdr:col>
                <xdr:colOff>0</xdr:colOff>
                <xdr:row>793</xdr:row>
                <xdr:rowOff>11430</xdr:rowOff>
              </to>
            </anchor>
          </objectPr>
        </oleObject>
      </mc:Choice>
      <mc:Fallback>
        <oleObject progId="Equation.3" shapeId="1163" r:id="rId145"/>
      </mc:Fallback>
    </mc:AlternateContent>
    <mc:AlternateContent xmlns:mc="http://schemas.openxmlformats.org/markup-compatibility/2006">
      <mc:Choice Requires="x14">
        <oleObject progId="Equation.3" shapeId="1164" r:id="rId146">
          <objectPr defaultSize="0" autoFill="0" autoLine="0" autoPict="0" r:id="rId5">
            <anchor moveWithCells="1" sizeWithCells="1">
              <from>
                <xdr:col>1</xdr:col>
                <xdr:colOff>68580</xdr:colOff>
                <xdr:row>833</xdr:row>
                <xdr:rowOff>0</xdr:rowOff>
              </from>
              <to>
                <xdr:col>4</xdr:col>
                <xdr:colOff>685800</xdr:colOff>
                <xdr:row>833</xdr:row>
                <xdr:rowOff>0</xdr:rowOff>
              </to>
            </anchor>
          </objectPr>
        </oleObject>
      </mc:Choice>
      <mc:Fallback>
        <oleObject progId="Equation.3" shapeId="1164" r:id="rId146"/>
      </mc:Fallback>
    </mc:AlternateContent>
    <mc:AlternateContent xmlns:mc="http://schemas.openxmlformats.org/markup-compatibility/2006">
      <mc:Choice Requires="x14">
        <oleObject progId="Equation.3" shapeId="1165" r:id="rId147">
          <objectPr defaultSize="0" autoFill="0" autoLine="0" autoPict="0" r:id="rId5">
            <anchor moveWithCells="1" sizeWithCells="1">
              <from>
                <xdr:col>1</xdr:col>
                <xdr:colOff>68580</xdr:colOff>
                <xdr:row>833</xdr:row>
                <xdr:rowOff>0</xdr:rowOff>
              </from>
              <to>
                <xdr:col>4</xdr:col>
                <xdr:colOff>685800</xdr:colOff>
                <xdr:row>833</xdr:row>
                <xdr:rowOff>0</xdr:rowOff>
              </to>
            </anchor>
          </objectPr>
        </oleObject>
      </mc:Choice>
      <mc:Fallback>
        <oleObject progId="Equation.3" shapeId="1165" r:id="rId147"/>
      </mc:Fallback>
    </mc:AlternateContent>
    <mc:AlternateContent xmlns:mc="http://schemas.openxmlformats.org/markup-compatibility/2006">
      <mc:Choice Requires="x14">
        <oleObject progId="Equation.3" shapeId="1166" r:id="rId148">
          <objectPr defaultSize="0" autoFill="0" autoLine="0" autoPict="0" r:id="rId5">
            <anchor moveWithCells="1" sizeWithCells="1">
              <from>
                <xdr:col>1</xdr:col>
                <xdr:colOff>68580</xdr:colOff>
                <xdr:row>833</xdr:row>
                <xdr:rowOff>0</xdr:rowOff>
              </from>
              <to>
                <xdr:col>4</xdr:col>
                <xdr:colOff>685800</xdr:colOff>
                <xdr:row>833</xdr:row>
                <xdr:rowOff>0</xdr:rowOff>
              </to>
            </anchor>
          </objectPr>
        </oleObject>
      </mc:Choice>
      <mc:Fallback>
        <oleObject progId="Equation.3" shapeId="1166" r:id="rId148"/>
      </mc:Fallback>
    </mc:AlternateContent>
    <mc:AlternateContent xmlns:mc="http://schemas.openxmlformats.org/markup-compatibility/2006">
      <mc:Choice Requires="x14">
        <oleObject progId="Equation.3" shapeId="1167" r:id="rId149">
          <objectPr defaultSize="0" autoFill="0" autoLine="0" autoPict="0" r:id="rId7">
            <anchor moveWithCells="1" sizeWithCells="1">
              <from>
                <xdr:col>1</xdr:col>
                <xdr:colOff>182880</xdr:colOff>
                <xdr:row>867</xdr:row>
                <xdr:rowOff>0</xdr:rowOff>
              </from>
              <to>
                <xdr:col>2</xdr:col>
                <xdr:colOff>0</xdr:colOff>
                <xdr:row>867</xdr:row>
                <xdr:rowOff>11430</xdr:rowOff>
              </to>
            </anchor>
          </objectPr>
        </oleObject>
      </mc:Choice>
      <mc:Fallback>
        <oleObject progId="Equation.3" shapeId="1167" r:id="rId149"/>
      </mc:Fallback>
    </mc:AlternateContent>
    <mc:AlternateContent xmlns:mc="http://schemas.openxmlformats.org/markup-compatibility/2006">
      <mc:Choice Requires="x14">
        <oleObject progId="Equation.3" shapeId="1168" r:id="rId150">
          <objectPr defaultSize="0" autoFill="0" autoLine="0" autoPict="0" r:id="rId5">
            <anchor moveWithCells="1" sizeWithCells="1">
              <from>
                <xdr:col>1</xdr:col>
                <xdr:colOff>68580</xdr:colOff>
                <xdr:row>833</xdr:row>
                <xdr:rowOff>0</xdr:rowOff>
              </from>
              <to>
                <xdr:col>4</xdr:col>
                <xdr:colOff>685800</xdr:colOff>
                <xdr:row>833</xdr:row>
                <xdr:rowOff>0</xdr:rowOff>
              </to>
            </anchor>
          </objectPr>
        </oleObject>
      </mc:Choice>
      <mc:Fallback>
        <oleObject progId="Equation.3" shapeId="1168" r:id="rId150"/>
      </mc:Fallback>
    </mc:AlternateContent>
    <mc:AlternateContent xmlns:mc="http://schemas.openxmlformats.org/markup-compatibility/2006">
      <mc:Choice Requires="x14">
        <oleObject progId="Equation.3" shapeId="1169" r:id="rId151">
          <objectPr defaultSize="0" autoFill="0" autoLine="0" autoPict="0" r:id="rId7">
            <anchor moveWithCells="1" sizeWithCells="1">
              <from>
                <xdr:col>1</xdr:col>
                <xdr:colOff>182880</xdr:colOff>
                <xdr:row>867</xdr:row>
                <xdr:rowOff>0</xdr:rowOff>
              </from>
              <to>
                <xdr:col>2</xdr:col>
                <xdr:colOff>0</xdr:colOff>
                <xdr:row>867</xdr:row>
                <xdr:rowOff>11430</xdr:rowOff>
              </to>
            </anchor>
          </objectPr>
        </oleObject>
      </mc:Choice>
      <mc:Fallback>
        <oleObject progId="Equation.3" shapeId="1169" r:id="rId151"/>
      </mc:Fallback>
    </mc:AlternateContent>
    <mc:AlternateContent xmlns:mc="http://schemas.openxmlformats.org/markup-compatibility/2006">
      <mc:Choice Requires="x14">
        <oleObject progId="Equation.3" shapeId="1170" r:id="rId152">
          <objectPr defaultSize="0" autoFill="0" autoLine="0" autoPict="0" r:id="rId82">
            <anchor moveWithCells="1" sizeWithCells="1">
              <from>
                <xdr:col>1</xdr:col>
                <xdr:colOff>182880</xdr:colOff>
                <xdr:row>867</xdr:row>
                <xdr:rowOff>0</xdr:rowOff>
              </from>
              <to>
                <xdr:col>2</xdr:col>
                <xdr:colOff>0</xdr:colOff>
                <xdr:row>867</xdr:row>
                <xdr:rowOff>11430</xdr:rowOff>
              </to>
            </anchor>
          </objectPr>
        </oleObject>
      </mc:Choice>
      <mc:Fallback>
        <oleObject progId="Equation.3" shapeId="1170" r:id="rId152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Q112"/>
  <sheetViews>
    <sheetView showGridLines="0" showRowColHeaders="0" showOutlineSymbols="0" zoomScale="75" zoomScaleNormal="75" zoomScaleSheetLayoutView="46" zoomScalePageLayoutView="50" workbookViewId="0"/>
  </sheetViews>
  <sheetFormatPr defaultColWidth="18.71875" defaultRowHeight="13" customHeight="1" x14ac:dyDescent="0.4"/>
  <cols>
    <col min="1" max="1" width="10.71875" style="48" customWidth="1"/>
    <col min="2" max="4" width="18.71875" style="48" customWidth="1"/>
    <col min="5" max="5" width="19.71875" style="48" customWidth="1"/>
    <col min="6" max="6" width="18.71875" style="48" customWidth="1"/>
    <col min="7" max="10" width="17.71875" style="48" customWidth="1"/>
    <col min="11" max="11" width="18.83203125" style="48" customWidth="1"/>
    <col min="12" max="12" width="19.71875" style="48" customWidth="1"/>
    <col min="13" max="14" width="18.71875" style="48" customWidth="1"/>
    <col min="15" max="15" width="18.71875" style="48" bestFit="1" customWidth="1"/>
    <col min="16" max="17" width="10.71875" style="48" customWidth="1"/>
    <col min="18" max="16384" width="18.71875" style="48"/>
  </cols>
  <sheetData>
    <row r="1" spans="2:17" s="314" customFormat="1" ht="30" customHeight="1" x14ac:dyDescent="0.55000000000000004">
      <c r="B1" s="1110" t="s">
        <v>344</v>
      </c>
      <c r="C1" s="1110"/>
      <c r="D1" s="1111" t="s">
        <v>343</v>
      </c>
      <c r="E1" s="1111"/>
      <c r="F1" s="1112" t="s">
        <v>342</v>
      </c>
      <c r="G1" s="1112"/>
      <c r="H1" s="1112"/>
      <c r="I1" s="1112"/>
      <c r="J1" s="1112"/>
      <c r="K1" s="1112"/>
      <c r="L1" s="1109" t="s">
        <v>341</v>
      </c>
      <c r="M1" s="1109"/>
      <c r="N1" s="1108" t="str">
        <f>IF(OR(B!A16="Recorder?",B!A16="SeeYou Mobile"),"Recorder Unknown",IF(B!$A$10="PR","Position Recorder",IF(B!C15="","",B!C15)))</f>
        <v/>
      </c>
      <c r="O1" s="1108"/>
      <c r="P1" s="315"/>
      <c r="Q1" s="842" t="str">
        <f>IF(OR(Sheet11!E9="PR",'FREE ME'!H10="N/A",O3=3),"PR","")</f>
        <v/>
      </c>
    </row>
    <row r="2" spans="2:17" s="316" customFormat="1" ht="10" customHeight="1" x14ac:dyDescent="0.4">
      <c r="F2" s="1113" t="s">
        <v>386</v>
      </c>
      <c r="G2" s="1113"/>
      <c r="H2" s="1113"/>
      <c r="I2" s="1113"/>
      <c r="J2" s="1113"/>
      <c r="K2" s="1113"/>
      <c r="L2" s="837"/>
      <c r="N2" s="324"/>
      <c r="O2" s="317"/>
    </row>
    <row r="3" spans="2:17" s="314" customFormat="1" ht="20.100000000000001" customHeight="1" x14ac:dyDescent="0.55000000000000004">
      <c r="B3" s="325" t="s">
        <v>340</v>
      </c>
      <c r="C3" s="1109">
        <f>IF(OR(B!C15&lt;&gt;"",N5="Written",N5="Free-W"),SUMMARY!$A$5,SUMMARY!$A$4)</f>
        <v>0</v>
      </c>
      <c r="D3" s="1109"/>
      <c r="E3" s="1109"/>
      <c r="F3" s="1113"/>
      <c r="G3" s="1113"/>
      <c r="H3" s="1113"/>
      <c r="I3" s="1113"/>
      <c r="J3" s="1113"/>
      <c r="K3" s="1113"/>
      <c r="L3" s="837"/>
      <c r="M3" s="870" t="s">
        <v>279</v>
      </c>
      <c r="N3" s="871">
        <f>SUMMARY!B9</f>
        <v>0</v>
      </c>
      <c r="O3" s="1006">
        <f>'VERIFY TASK'!G2</f>
        <v>1</v>
      </c>
      <c r="P3" s="318"/>
    </row>
    <row r="4" spans="2:17" s="319" customFormat="1" ht="16.5" x14ac:dyDescent="0.6">
      <c r="B4" s="325"/>
      <c r="C4" s="1114"/>
      <c r="D4" s="1114"/>
      <c r="E4" s="1114"/>
      <c r="F4" s="317"/>
      <c r="G4" s="317"/>
      <c r="H4" s="872"/>
      <c r="I4" s="873"/>
      <c r="J4" s="317"/>
      <c r="K4" s="317"/>
      <c r="L4" s="1115"/>
      <c r="M4" s="1115"/>
      <c r="N4" s="874"/>
      <c r="O4" s="874"/>
      <c r="P4" s="869"/>
    </row>
    <row r="5" spans="2:17" s="314" customFormat="1" ht="16.5" x14ac:dyDescent="0.6">
      <c r="B5" s="1116" t="s">
        <v>387</v>
      </c>
      <c r="C5" s="1116"/>
      <c r="D5" s="1116"/>
      <c r="E5" s="875">
        <f>SUMMARY!E4</f>
        <v>0</v>
      </c>
      <c r="F5" s="316"/>
      <c r="G5" s="325" t="s">
        <v>289</v>
      </c>
      <c r="H5" s="875">
        <f>SUMMARY!E5</f>
        <v>0</v>
      </c>
      <c r="I5" s="876" t="s">
        <v>393</v>
      </c>
      <c r="J5" s="877">
        <f>B!A12</f>
        <v>0</v>
      </c>
      <c r="K5" s="877">
        <f>B!B12</f>
        <v>0</v>
      </c>
      <c r="L5" s="870"/>
      <c r="M5" s="878" t="str">
        <f>IF(OR(B!A42="metres",CALIBRATION!E5=3,O3=3,Q1="PR"),"Metres","Feet")</f>
        <v>Feet</v>
      </c>
      <c r="N5" s="1105">
        <f>B!$D$11</f>
        <v>0</v>
      </c>
      <c r="O5" s="1105"/>
      <c r="P5" s="868"/>
    </row>
    <row r="6" spans="2:17" s="314" customFormat="1" ht="16.5" x14ac:dyDescent="0.55000000000000004">
      <c r="B6" s="1117"/>
      <c r="C6" s="1117"/>
      <c r="D6" s="1095"/>
      <c r="E6" s="1095"/>
      <c r="F6" s="1095"/>
      <c r="G6" s="778"/>
      <c r="H6" s="879"/>
      <c r="I6" s="1117"/>
      <c r="J6" s="1117"/>
      <c r="K6" s="1095"/>
      <c r="L6" s="1095"/>
      <c r="M6" s="1095"/>
      <c r="N6" s="778"/>
      <c r="O6" s="873"/>
    </row>
    <row r="7" spans="2:17" s="319" customFormat="1" ht="20.100000000000001" customHeight="1" x14ac:dyDescent="0.55000000000000004">
      <c r="B7" s="1117" t="s">
        <v>339</v>
      </c>
      <c r="C7" s="1117"/>
      <c r="D7" s="1109" t="str">
        <f>IF(OR(B!C15&lt;&gt;"",N5="Free-W",N5="Written"),CONCATENATE(SUMMARY!$A$7,",  ",SUMMARY!$B$7),CONCATENATE(SUMMARY!$B$6,", ",SUMMARY!$B$8))</f>
        <v>0, 0</v>
      </c>
      <c r="E7" s="1109"/>
      <c r="F7" s="1109"/>
      <c r="G7" s="324"/>
      <c r="H7" s="324"/>
      <c r="I7" s="324"/>
      <c r="J7" s="324"/>
      <c r="K7" s="880"/>
      <c r="L7" s="324"/>
      <c r="M7" s="324"/>
      <c r="N7" s="324"/>
      <c r="O7" s="324"/>
    </row>
    <row r="8" spans="2:17" s="319" customFormat="1" ht="20.100000000000001" customHeight="1" x14ac:dyDescent="0.55000000000000004">
      <c r="B8" s="317"/>
      <c r="C8" s="317"/>
      <c r="D8" s="316"/>
      <c r="E8" s="316"/>
      <c r="F8" s="316"/>
      <c r="G8" s="317"/>
      <c r="H8" s="316"/>
      <c r="I8" s="316"/>
      <c r="J8" s="316"/>
      <c r="K8" s="316"/>
      <c r="L8" s="316"/>
      <c r="M8" s="316"/>
      <c r="N8" s="316"/>
      <c r="O8" s="316"/>
    </row>
    <row r="9" spans="2:17" s="319" customFormat="1" ht="20.100000000000001" customHeight="1" x14ac:dyDescent="0.55000000000000004">
      <c r="B9" s="1117"/>
      <c r="C9" s="1117"/>
      <c r="D9" s="878" t="str">
        <f>M5</f>
        <v>Feet</v>
      </c>
      <c r="E9" s="1116" t="str">
        <f>IF(OR(N1="Position Recorder",Q1="PR"),"All altitudes shown are GPS altitudes in metres",IF(SUM(YDWK1!F7:G10)=0,"No calibration provided. Altitudes are shown in feet, MSL corrected for non-standard pressure ONLY","Calibration provided. Altitudes are shown in calibration units, corrected for non-standard pressure and instrument error."))</f>
        <v>No calibration provided. Altitudes are shown in feet, MSL corrected for non-standard pressure ONLY</v>
      </c>
      <c r="F9" s="1116"/>
      <c r="G9" s="1116"/>
      <c r="H9" s="1116"/>
      <c r="I9" s="1116"/>
      <c r="J9" s="1116"/>
      <c r="K9" s="1116"/>
      <c r="L9" s="1116"/>
      <c r="M9" s="1116"/>
      <c r="N9" s="316"/>
      <c r="O9" s="316"/>
      <c r="P9" s="320"/>
    </row>
    <row r="10" spans="2:17" s="314" customFormat="1" ht="20.100000000000001" customHeight="1" thickBot="1" x14ac:dyDescent="0.6">
      <c r="B10" s="316"/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</row>
    <row r="11" spans="2:17" s="314" customFormat="1" ht="20.100000000000001" customHeight="1" x14ac:dyDescent="0.6">
      <c r="B11" s="881" t="s">
        <v>36</v>
      </c>
      <c r="C11" s="882" t="s">
        <v>538</v>
      </c>
      <c r="D11" s="883" t="s">
        <v>56</v>
      </c>
      <c r="E11" s="316"/>
      <c r="F11" s="316"/>
      <c r="G11" s="881" t="s">
        <v>539</v>
      </c>
      <c r="H11" s="884" t="s">
        <v>540</v>
      </c>
      <c r="I11" s="885" t="s">
        <v>541</v>
      </c>
      <c r="J11" s="316"/>
      <c r="K11" s="873"/>
      <c r="L11" s="881" t="s">
        <v>118</v>
      </c>
      <c r="M11" s="884" t="s">
        <v>495</v>
      </c>
      <c r="N11" s="882" t="s">
        <v>542</v>
      </c>
      <c r="O11" s="886" t="s">
        <v>565</v>
      </c>
      <c r="P11" s="833"/>
    </row>
    <row r="12" spans="2:17" s="314" customFormat="1" ht="20.100000000000001" customHeight="1" x14ac:dyDescent="0.55000000000000004">
      <c r="B12" s="887">
        <f>IF(OR(YDWK1!C8=0,Q1="PR"),YDWK1!D8,YDWK1!C8)</f>
        <v>0</v>
      </c>
      <c r="C12" s="888">
        <f>IF(OR(YDWK1!C9=0,Q1="PR"),YDWK1!D9,YDWK1!C9)</f>
        <v>0</v>
      </c>
      <c r="D12" s="889">
        <f>IF(TPOrder!FU34=0,0,IF(OR(YDWK1!C20=0,Q1="PR"),YDWK1!D20,YDWK1!C20))</f>
        <v>0</v>
      </c>
      <c r="E12" s="316"/>
      <c r="F12" s="316"/>
      <c r="G12" s="890">
        <f>IF(OR(YDWK1!C10=0,Q1="PR"),YDWK1!D10,YDWK1!C10)</f>
        <v>0</v>
      </c>
      <c r="H12" s="852">
        <f>IF(OR(YDWK1!C12=0,Q1="PR"),YDWK1!D12,YDWK1!C12)</f>
        <v>0</v>
      </c>
      <c r="I12" s="891">
        <f>IF(OR(YDWK1!C11=0,Q1="PR"),YDWK1!D11,YDWK1!C11)</f>
        <v>0</v>
      </c>
      <c r="J12" s="316"/>
      <c r="K12" s="316"/>
      <c r="L12" s="890">
        <f>IF(TPOrder!FU50=0,0,IF(OR(YDWK1!C21=0,Q1="PR"),YDWK1!D21,YDWK1!C21))</f>
        <v>0</v>
      </c>
      <c r="M12" s="888">
        <f>IF(OR(YDWK1!C17=0,Q1="PR"),YDWK1!D17,YDWK1!C17)</f>
        <v>0</v>
      </c>
      <c r="N12" s="852">
        <f>IF(OR(YDWK1!C24=0,Q1="PR"),YDWK1!D24,YDWK1!C24)</f>
        <v>0</v>
      </c>
      <c r="O12" s="891">
        <f>IF(OR(YDWK1!C13=0,Q1="PR"),YDWK1!D13,YDWK1!C13)</f>
        <v>0</v>
      </c>
      <c r="P12" s="326"/>
    </row>
    <row r="13" spans="2:17" s="314" customFormat="1" ht="20.100000000000001" customHeight="1" x14ac:dyDescent="0.6">
      <c r="B13" s="892" t="s">
        <v>537</v>
      </c>
      <c r="C13" s="893" t="s">
        <v>537</v>
      </c>
      <c r="D13" s="894" t="s">
        <v>537</v>
      </c>
      <c r="E13" s="895"/>
      <c r="F13" s="316"/>
      <c r="G13" s="892" t="s">
        <v>537</v>
      </c>
      <c r="H13" s="893" t="s">
        <v>537</v>
      </c>
      <c r="I13" s="894" t="s">
        <v>537</v>
      </c>
      <c r="J13" s="316"/>
      <c r="K13" s="316"/>
      <c r="L13" s="896" t="s">
        <v>537</v>
      </c>
      <c r="M13" s="893" t="s">
        <v>537</v>
      </c>
      <c r="N13" s="867" t="s">
        <v>537</v>
      </c>
      <c r="O13" s="897" t="s">
        <v>537</v>
      </c>
      <c r="P13" s="834"/>
    </row>
    <row r="14" spans="2:17" s="314" customFormat="1" ht="20.100000000000001" customHeight="1" x14ac:dyDescent="0.55000000000000004">
      <c r="B14" s="890">
        <f>B12+C27</f>
        <v>0</v>
      </c>
      <c r="C14" s="852">
        <f>IF(SUMMARY!L5-SUMMARY!A17&lt;SUMMARY!I14-SUMMARY!L5,C12+C27,C12+O27)</f>
        <v>0</v>
      </c>
      <c r="D14" s="889">
        <f>IF(D12=0,0,D12+C27)</f>
        <v>0</v>
      </c>
      <c r="E14" s="316"/>
      <c r="F14" s="316"/>
      <c r="G14" s="898">
        <f>IF(G12=0,0,IF(SUMMARY!D8-SUMMARY!A17&lt;SUMMARY!J20-SUMMARY!D8,G12+C27,G12+O27))</f>
        <v>0</v>
      </c>
      <c r="H14" s="852">
        <f>IF(H12=0,0,IF(SUMMARY!D12-SUMMARY!A17&lt;SUMMARY!J20-SUMMARY!D12,H12+C27,H12+O27))</f>
        <v>0</v>
      </c>
      <c r="I14" s="889">
        <f>IF(SUMMARY!D10-SUMMARY!A17&lt;SUMMARY!J20-SUMMARY!D10,I12+C27,I12+O27)</f>
        <v>0</v>
      </c>
      <c r="J14" s="316"/>
      <c r="K14" s="316"/>
      <c r="L14" s="890">
        <f>IF(L12=0,0,L12+O27)</f>
        <v>0</v>
      </c>
      <c r="M14" s="852">
        <f>IF(SUMMARY!L15-SUMMARY!A17&lt;SUMMARY!I14-SUMMARY!L15,M12+C$27,M12+$O$27)</f>
        <v>0</v>
      </c>
      <c r="N14" s="852">
        <f>IF(SUMMARY!L22-SUMMARY!A17&lt;SUMMARY!I14-SUMMARY!L22,N12+$C$27,N12+$O$27)</f>
        <v>0</v>
      </c>
      <c r="O14" s="889">
        <f>IF(O12=0,0,IF(TPOrder!DT2-SUMMARY!A17&lt;SUMMARY!I14-TPOrder!DT2,O12+C27,O12+O27))</f>
        <v>0</v>
      </c>
      <c r="P14" s="832"/>
    </row>
    <row r="15" spans="2:17" s="319" customFormat="1" ht="20.100000000000001" customHeight="1" thickBot="1" x14ac:dyDescent="0.6">
      <c r="B15" s="899">
        <f>SUMMARY!$I$4</f>
        <v>0</v>
      </c>
      <c r="C15" s="900">
        <f>B!G14</f>
        <v>0</v>
      </c>
      <c r="D15" s="901">
        <f>TPOrder!FT34</f>
        <v>0</v>
      </c>
      <c r="E15" s="317"/>
      <c r="F15" s="317"/>
      <c r="G15" s="902">
        <f>SUMMARY!D8</f>
        <v>0</v>
      </c>
      <c r="H15" s="900">
        <f>SUMMARY!D12</f>
        <v>0</v>
      </c>
      <c r="I15" s="901">
        <f>SUMMARY!D10</f>
        <v>0</v>
      </c>
      <c r="J15" s="317"/>
      <c r="K15" s="317"/>
      <c r="L15" s="899">
        <f>TPOrder!FT50</f>
        <v>0</v>
      </c>
      <c r="M15" s="900">
        <f>B!J11</f>
        <v>0</v>
      </c>
      <c r="N15" s="900">
        <f>B!G16</f>
        <v>0</v>
      </c>
      <c r="O15" s="901">
        <f>TPOrder!DT2</f>
        <v>0</v>
      </c>
      <c r="P15" s="831"/>
    </row>
    <row r="16" spans="2:17" s="314" customFormat="1" ht="20.100000000000001" customHeight="1" thickBot="1" x14ac:dyDescent="0.6">
      <c r="B16" s="316"/>
      <c r="C16" s="825"/>
      <c r="D16" s="903"/>
      <c r="E16" s="904"/>
      <c r="F16" s="778"/>
      <c r="G16" s="325"/>
      <c r="H16" s="905"/>
      <c r="I16" s="905"/>
      <c r="J16" s="325"/>
      <c r="K16" s="325"/>
      <c r="L16" s="325"/>
      <c r="M16" s="905"/>
      <c r="N16" s="325"/>
      <c r="O16" s="906"/>
      <c r="P16" s="832"/>
    </row>
    <row r="17" spans="2:16" s="314" customFormat="1" ht="20.100000000000001" customHeight="1" thickBot="1" x14ac:dyDescent="0.6">
      <c r="B17" s="907" t="s">
        <v>562</v>
      </c>
      <c r="C17" s="908" t="s">
        <v>543</v>
      </c>
      <c r="D17" s="909" t="s">
        <v>555</v>
      </c>
      <c r="E17" s="1126" t="s">
        <v>571</v>
      </c>
      <c r="F17" s="866"/>
      <c r="G17" s="316"/>
      <c r="H17" s="845"/>
      <c r="I17" s="845"/>
      <c r="J17" s="759"/>
      <c r="K17" s="910"/>
      <c r="L17" s="1118" t="s">
        <v>572</v>
      </c>
      <c r="M17" s="907" t="s">
        <v>554</v>
      </c>
      <c r="N17" s="911" t="s">
        <v>544</v>
      </c>
      <c r="O17" s="912" t="s">
        <v>561</v>
      </c>
    </row>
    <row r="18" spans="2:16" s="314" customFormat="1" ht="20.100000000000001" customHeight="1" thickBot="1" x14ac:dyDescent="0.6">
      <c r="B18" s="890">
        <f>IF(TPOrder!AV9=0,0,IF(OR(YDWK1!C25=0,Q1="PR"),YDWK1!D25,YDWK1!C25))</f>
        <v>0</v>
      </c>
      <c r="C18" s="852">
        <f>IF(OR(YDWK1!C18=0,Q1="PR"),YDWK1!D18,YDWK1!C18)</f>
        <v>0</v>
      </c>
      <c r="D18" s="889">
        <f>IF(OR(YDWK1!C22=0,Q1="PR"),YDWK1!D22,YDWK1!C22)</f>
        <v>0</v>
      </c>
      <c r="E18" s="1127"/>
      <c r="F18" s="778"/>
      <c r="G18" s="1121" t="s">
        <v>605</v>
      </c>
      <c r="H18" s="1122"/>
      <c r="I18" s="1123"/>
      <c r="J18" s="759"/>
      <c r="K18" s="777"/>
      <c r="L18" s="1119"/>
      <c r="M18" s="890">
        <f>IF(OR(YDWK1!C23=0,Q1="PR"),YDWK1!D23,YDWK1!C23)</f>
        <v>0</v>
      </c>
      <c r="N18" s="852">
        <f>IF(OR(YDWK1!C19=0,Q1="PR"),YDWK1!D19,YDWK1!C19)</f>
        <v>0</v>
      </c>
      <c r="O18" s="889">
        <f>IF(TPOrder!ES9=0,0,IF(OR(YDWK1!C26=0,Q1="PR"),YDWK1!D26,YDWK1!C26))</f>
        <v>0</v>
      </c>
    </row>
    <row r="19" spans="2:16" s="314" customFormat="1" ht="20.100000000000001" customHeight="1" x14ac:dyDescent="0.55000000000000004">
      <c r="B19" s="913" t="s">
        <v>537</v>
      </c>
      <c r="C19" s="914" t="s">
        <v>537</v>
      </c>
      <c r="D19" s="915" t="s">
        <v>537</v>
      </c>
      <c r="E19" s="1127"/>
      <c r="F19" s="916"/>
      <c r="G19" s="1124" t="s">
        <v>604</v>
      </c>
      <c r="H19" s="1125"/>
      <c r="I19" s="986">
        <f>TPOrder!DY1</f>
        <v>0</v>
      </c>
      <c r="J19" s="759"/>
      <c r="K19" s="778"/>
      <c r="L19" s="1119"/>
      <c r="M19" s="913" t="s">
        <v>537</v>
      </c>
      <c r="N19" s="917" t="s">
        <v>537</v>
      </c>
      <c r="O19" s="915" t="s">
        <v>537</v>
      </c>
    </row>
    <row r="20" spans="2:16" s="314" customFormat="1" ht="20.100000000000001" customHeight="1" thickBot="1" x14ac:dyDescent="0.6">
      <c r="B20" s="890">
        <f>IF(B18=0,0,IF(B21-SUMMARY!A17&lt;SUMMARY!I14-B21,B18+C27,B18+O27))</f>
        <v>0</v>
      </c>
      <c r="C20" s="852">
        <f>IF(C18=0,0,IF(C21-SUMMARY!A17&lt;SUMMARY!I14-C21,C18+C27,C18+O27))</f>
        <v>0</v>
      </c>
      <c r="D20" s="889">
        <f>IF(D18=0,0,IF(D21-SUMMARY!A17&lt;SUMMARY!I14-D21,D18+C27,D18+O27))</f>
        <v>0</v>
      </c>
      <c r="E20" s="1128"/>
      <c r="F20" s="918"/>
      <c r="G20" s="1093" t="s">
        <v>587</v>
      </c>
      <c r="H20" s="1094"/>
      <c r="I20" s="1010">
        <f>TPOrder!DY2</f>
        <v>0</v>
      </c>
      <c r="J20" s="759"/>
      <c r="K20" s="919"/>
      <c r="L20" s="1120"/>
      <c r="M20" s="890">
        <f>IF(M18=0,0,IF(M21-SUMMARY!A17&lt;SUMMARY!I14-M21,M18+C27,M18+O27))</f>
        <v>0</v>
      </c>
      <c r="N20" s="852">
        <f>IF(N18=0,0,IF(N21-SUMMARY!A17&lt;SUMMARY!I14-N21,N18+C27,N18+O27))</f>
        <v>0</v>
      </c>
      <c r="O20" s="889">
        <f>IF(O18=0,0,IF(O21-SUMMARY!A17&lt;SUMMARY!I14-O21,O18+C27,O18+O27))</f>
        <v>0</v>
      </c>
    </row>
    <row r="21" spans="2:16" s="314" customFormat="1" ht="20.100000000000001" customHeight="1" thickBot="1" x14ac:dyDescent="0.6">
      <c r="B21" s="920">
        <f>TPOrder!AW9</f>
        <v>0</v>
      </c>
      <c r="C21" s="921">
        <f>IF(C18=0,0,TPOrder!AX7)</f>
        <v>0</v>
      </c>
      <c r="D21" s="922">
        <f>IF(D18=0,0,MAX(TPOrder!AU10,TPOrder!FT66,TPOrder!FT82))</f>
        <v>0</v>
      </c>
      <c r="E21" s="923"/>
      <c r="F21" s="923"/>
      <c r="G21" s="759"/>
      <c r="H21" s="759"/>
      <c r="I21" s="759"/>
      <c r="J21" s="759"/>
      <c r="K21" s="923"/>
      <c r="L21" s="923"/>
      <c r="M21" s="924">
        <f>IF(OR(M18=0,MAX(TPOrder!FZ66,TPOrder!FZ82,TPOrder!EX9)=0),0,MIN(TPOrder!EX9,MAX(N21,TPOrder!FZ66,TPOrder!FZ82)))</f>
        <v>0</v>
      </c>
      <c r="N21" s="921">
        <f>IF(N20=0,0,TPOrder!EX9)</f>
        <v>0</v>
      </c>
      <c r="O21" s="901">
        <f>TPOrder!ET9</f>
        <v>0</v>
      </c>
      <c r="P21" s="322"/>
    </row>
    <row r="22" spans="2:16" s="320" customFormat="1" ht="20.100000000000001" customHeight="1" thickBot="1" x14ac:dyDescent="0.6">
      <c r="B22" s="925"/>
      <c r="C22" s="926"/>
      <c r="D22" s="923"/>
      <c r="E22" s="927"/>
      <c r="F22" s="927"/>
      <c r="G22" s="927"/>
      <c r="H22" s="927"/>
      <c r="I22" s="927"/>
      <c r="J22" s="927"/>
      <c r="K22" s="927"/>
      <c r="L22" s="927"/>
      <c r="M22" s="927"/>
      <c r="N22" s="923"/>
      <c r="O22" s="925"/>
      <c r="P22" s="323"/>
    </row>
    <row r="23" spans="2:16" s="314" customFormat="1" ht="20.100000000000001" customHeight="1" thickBot="1" x14ac:dyDescent="0.65">
      <c r="B23" s="1129" t="s">
        <v>337</v>
      </c>
      <c r="C23" s="1130"/>
      <c r="D23" s="759"/>
      <c r="E23" s="759"/>
      <c r="F23" s="759"/>
      <c r="G23" s="1086" t="s">
        <v>578</v>
      </c>
      <c r="H23" s="1086"/>
      <c r="I23" s="928">
        <f>SUMMARY!L22-SUMMARY!L5</f>
        <v>0</v>
      </c>
      <c r="J23" s="825">
        <f>C14-N14</f>
        <v>0</v>
      </c>
      <c r="K23" s="759"/>
      <c r="L23" s="929" t="s">
        <v>499</v>
      </c>
      <c r="M23" s="930">
        <f>IF(YDWK1!D27=0,0,IF(OR(YDWK1!C27=0,Q1="PR"),YDWK1!D27+O27,YDWK1!C27+O27))</f>
        <v>0</v>
      </c>
      <c r="N23" s="1106" t="s">
        <v>336</v>
      </c>
      <c r="O23" s="1107"/>
      <c r="P23" s="834"/>
    </row>
    <row r="24" spans="2:16" s="314" customFormat="1" ht="20.100000000000001" customHeight="1" x14ac:dyDescent="0.55000000000000004">
      <c r="B24" s="931">
        <f>IF(YDWK1!C7=0,YDWK1!D7,YDWK1!C7)</f>
        <v>0</v>
      </c>
      <c r="C24" s="932">
        <f>SUMMARY!$B$17</f>
        <v>0</v>
      </c>
      <c r="D24" s="759"/>
      <c r="E24" s="759"/>
      <c r="F24" s="759"/>
      <c r="G24" s="759"/>
      <c r="H24" s="759"/>
      <c r="I24" s="933"/>
      <c r="J24" s="759"/>
      <c r="K24" s="759"/>
      <c r="L24" s="759"/>
      <c r="M24" s="934"/>
      <c r="N24" s="931">
        <f>IF(YDWK1!C14=0,YDWK1!D14,YDWK1!C14)</f>
        <v>0</v>
      </c>
      <c r="O24" s="932">
        <f>SUMMARY!$K$14</f>
        <v>0</v>
      </c>
    </row>
    <row r="25" spans="2:16" s="314" customFormat="1" ht="20.100000000000001" customHeight="1" x14ac:dyDescent="0.55000000000000004">
      <c r="B25" s="865"/>
      <c r="C25" s="865"/>
      <c r="D25" s="707" t="str">
        <f>IF(AND(D12&lt;&gt;0,L12&lt;&gt;0),D14-L14,"")</f>
        <v/>
      </c>
      <c r="E25" s="707" t="str">
        <f>IF(AND(N3&lt;42278,D12&lt;&gt;0,M18&lt;&gt;0),D14-M20,"")</f>
        <v/>
      </c>
      <c r="F25" s="707" t="str">
        <f>IF(AND(N3&lt;42278,D12&lt;&gt;0,N18&lt;&gt;0),D14-N20,"")</f>
        <v/>
      </c>
      <c r="G25" s="1086" t="s">
        <v>585</v>
      </c>
      <c r="H25" s="1086"/>
      <c r="I25" s="928">
        <f>IF(AND(N3&lt;42278,D15&gt;0,L15&gt;0,MIN(L15,M21,N21)-MAX(C21,D21,D15)&gt;0),MIN(L15,M21,N21)-MAX(C21,D21,D15),IF(AND(N3&lt;42278,D15=0,L15&lt;&gt;0),MIN(L15,M21,N21)-MAX(C21,D21),IF(AND(N3&lt;42278,D15=0,L15=0),MIN(M21,N21)-MAX(C21,D21),IF(AND(L15&lt;&gt;0,D15&lt;&gt;0),L15-D15,0))))</f>
        <v>0</v>
      </c>
      <c r="J25" s="325" t="s">
        <v>442</v>
      </c>
      <c r="K25" s="825">
        <f>IF(I25=0,0,IF(OR(AND(MAX(K28:L28)&gt;3280.8399,$D$9="Feet"),AND(MAX(K28:L28)&gt;1000,$D$9="Metres")),"INVALID",IF($D$9="Feet",MAX(K28:L28)/3.2808399,MAX(K28:L28))))</f>
        <v>0</v>
      </c>
      <c r="L25" s="935" t="str">
        <f>IF(F42=D14-L14,L15-D15,IF(F42=D14-M20,M21-D15,IF(F42=D14-N20,N21-D15,IF(F42=D20-L14,L15-D21,IF(F42=D20-M20,M21-D21,"")))))</f>
        <v/>
      </c>
      <c r="M25" s="936" t="str">
        <f>IF(F42=D20-N20,N21-D21,IF(F42=C20-L14,L15-C21,IF(F42=C20-M20,M21-C21,IF(F42=C20-N20,N21-C21,""))))</f>
        <v/>
      </c>
      <c r="N25" s="857"/>
      <c r="O25" s="865"/>
      <c r="P25" s="321"/>
    </row>
    <row r="26" spans="2:16" s="314" customFormat="1" ht="20.100000000000001" customHeight="1" x14ac:dyDescent="0.55000000000000004">
      <c r="B26" s="893" t="s">
        <v>335</v>
      </c>
      <c r="C26" s="893" t="s">
        <v>333</v>
      </c>
      <c r="D26" s="707" t="str">
        <f>IF(AND(N3&lt;42278,D18&lt;&gt;0,L12&lt;&gt;0),D20-L14,"")</f>
        <v/>
      </c>
      <c r="E26" s="707" t="str">
        <f>IF(AND(N3&lt;42278,D18&lt;&gt;0,M18&lt;&gt;0),D20-M20,"")</f>
        <v/>
      </c>
      <c r="F26" s="707" t="str">
        <f>IF(AND(N3&lt;42278,D18&lt;&gt;0,N18&lt;&gt;0),D20-N20,"")</f>
        <v/>
      </c>
      <c r="G26" s="937"/>
      <c r="H26" s="937"/>
      <c r="I26" s="938">
        <f>IF(K25&lt;&gt;"INVALID",HOUR(I25)*60*60+MINUTE(I25)*60+SECOND(I25),HOUR(I27)*60*60+MINUTE(I27)*60+SECOND(I27))</f>
        <v>0</v>
      </c>
      <c r="J26" s="316"/>
      <c r="K26" s="939"/>
      <c r="L26" s="939"/>
      <c r="M26" s="933"/>
      <c r="N26" s="893" t="s">
        <v>334</v>
      </c>
      <c r="O26" s="893" t="s">
        <v>333</v>
      </c>
    </row>
    <row r="27" spans="2:16" s="314" customFormat="1" ht="20.100000000000001" customHeight="1" x14ac:dyDescent="0.55000000000000004">
      <c r="B27" s="940">
        <f>B!D2</f>
        <v>0</v>
      </c>
      <c r="C27" s="852">
        <f>IF(OR(N1="Position Recorder",N1="Recorder Unknown",C24=0,Q1="PR"),0,IF(D9="Feet",(B27-C24)*3.2808399,B27-C24))</f>
        <v>0</v>
      </c>
      <c r="D27" s="707" t="str">
        <f>IF(AND(N3&lt;42278,C20&lt;&gt;0,L12&lt;&gt;0),C20-L14,"")</f>
        <v/>
      </c>
      <c r="E27" s="707" t="str">
        <f>IF(AND(N3&lt;42278,C18&lt;&gt;0,M18&lt;&gt;0),C20-M20,"")</f>
        <v/>
      </c>
      <c r="F27" s="707" t="str">
        <f>IF(AND(N3&lt;42278,C18&lt;&gt;0,N18&lt;&gt;0,C20-N20&lt;3280.8399),C20-N20,"")</f>
        <v/>
      </c>
      <c r="G27" s="1086" t="s">
        <v>586</v>
      </c>
      <c r="H27" s="1086"/>
      <c r="I27" s="928">
        <f>MIN(L25,M25)</f>
        <v>0</v>
      </c>
      <c r="J27" s="325" t="s">
        <v>442</v>
      </c>
      <c r="K27" s="825" t="str">
        <f>F42</f>
        <v>LoH Not OK</v>
      </c>
      <c r="L27" s="316"/>
      <c r="M27" s="316"/>
      <c r="N27" s="940">
        <f>IF(Q1="PR",B!J30,B!D7)</f>
        <v>0</v>
      </c>
      <c r="O27" s="852">
        <f>IF(OR(N1="Position Recorder",N1="Recorder Unknown",O24=0,Q1="PR"),0,IF(D9="Feet",(N27-O24)*3.2808399,N27-O24))</f>
        <v>0</v>
      </c>
    </row>
    <row r="28" spans="2:16" s="314" customFormat="1" ht="20.100000000000001" customHeight="1" x14ac:dyDescent="0.55000000000000004">
      <c r="B28" s="941"/>
      <c r="C28" s="847"/>
      <c r="D28" s="316"/>
      <c r="E28" s="316"/>
      <c r="F28" s="316"/>
      <c r="G28" s="866"/>
      <c r="H28" s="866"/>
      <c r="I28" s="316"/>
      <c r="J28" s="316"/>
      <c r="K28" s="936">
        <f>IF(I25=L15-D15,D14-L14,IF(I25=L15-D21,D20-L14,IF(I25=L15-C21,C20-L14,IF(I25=M21-D15,D14-M20,IF(I25=M21-D21,D20-M20,IF(I25=M21-C21,C20-M20,""))))))</f>
        <v>0</v>
      </c>
      <c r="L28" s="942">
        <f>IF(I25=N21-D15,D14-N20,IF(I25=N21-D21,D20-N20,IF(I25=N21-C21,C20-N20,"")))</f>
        <v>0</v>
      </c>
      <c r="M28" s="325"/>
      <c r="N28" s="941"/>
      <c r="O28" s="847"/>
    </row>
    <row r="29" spans="2:16" s="314" customFormat="1" ht="20.100000000000001" customHeight="1" x14ac:dyDescent="0.55000000000000004">
      <c r="B29" s="943" t="s">
        <v>558</v>
      </c>
      <c r="C29" s="944" t="s">
        <v>557</v>
      </c>
      <c r="D29" s="945">
        <f>IF(D9="Metres",I14-G14,(I14-G14)/3.2808399)</f>
        <v>0</v>
      </c>
      <c r="E29" s="946" t="s">
        <v>559</v>
      </c>
      <c r="F29" s="947">
        <f>D29*3.2808399</f>
        <v>0</v>
      </c>
      <c r="G29" s="317" t="s">
        <v>560</v>
      </c>
      <c r="H29" s="948" t="s">
        <v>552</v>
      </c>
      <c r="I29" s="856">
        <f>SUMMARY!D8</f>
        <v>0</v>
      </c>
      <c r="J29" s="948" t="s">
        <v>553</v>
      </c>
      <c r="K29" s="856">
        <f>SUMMARY!D10</f>
        <v>0</v>
      </c>
      <c r="L29" s="316"/>
      <c r="M29" s="316"/>
      <c r="N29" s="316"/>
      <c r="O29" s="847"/>
    </row>
    <row r="30" spans="2:16" s="319" customFormat="1" ht="20.100000000000001" customHeight="1" x14ac:dyDescent="0.55000000000000004">
      <c r="B30" s="949"/>
      <c r="C30" s="950" t="s">
        <v>556</v>
      </c>
      <c r="D30" s="947">
        <f>IF(D9="Metres",H14,H14/3.2808399)</f>
        <v>0</v>
      </c>
      <c r="E30" s="317" t="s">
        <v>559</v>
      </c>
      <c r="F30" s="947">
        <f>D30*3.2808399</f>
        <v>0</v>
      </c>
      <c r="G30" s="316" t="s">
        <v>560</v>
      </c>
      <c r="H30" s="951" t="s">
        <v>563</v>
      </c>
      <c r="I30" s="856">
        <f>SUMMARY!D12</f>
        <v>0</v>
      </c>
      <c r="J30" s="949"/>
      <c r="K30" s="923"/>
      <c r="L30" s="317"/>
      <c r="M30" s="317"/>
      <c r="N30" s="317"/>
      <c r="O30" s="317"/>
    </row>
    <row r="31" spans="2:16" s="319" customFormat="1" ht="20.100000000000001" customHeight="1" x14ac:dyDescent="0.55000000000000004"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</row>
    <row r="32" spans="2:16" s="314" customFormat="1" ht="20.100000000000001" customHeight="1" x14ac:dyDescent="0.55000000000000004">
      <c r="B32" s="830" t="s">
        <v>500</v>
      </c>
      <c r="C32" s="830"/>
      <c r="D32" s="952"/>
      <c r="E32" s="952"/>
      <c r="F32" s="952"/>
      <c r="G32" s="952"/>
      <c r="H32" s="952"/>
      <c r="I32" s="952"/>
      <c r="J32" s="952"/>
      <c r="K32" s="952"/>
      <c r="L32" s="952"/>
      <c r="M32" s="952"/>
      <c r="N32" s="952"/>
      <c r="O32" s="952"/>
      <c r="P32" s="48"/>
    </row>
    <row r="33" spans="1:16" s="314" customFormat="1" ht="20.100000000000001" customHeight="1" x14ac:dyDescent="0.55000000000000004">
      <c r="A33" s="843"/>
      <c r="B33" s="867" t="s">
        <v>501</v>
      </c>
      <c r="C33" s="867" t="s">
        <v>502</v>
      </c>
      <c r="D33" s="867" t="s">
        <v>317</v>
      </c>
      <c r="E33" s="867" t="s">
        <v>321</v>
      </c>
      <c r="F33" s="867" t="s">
        <v>566</v>
      </c>
      <c r="G33" s="855" t="s">
        <v>574</v>
      </c>
      <c r="H33" s="867" t="s">
        <v>573</v>
      </c>
      <c r="I33" s="855" t="s">
        <v>332</v>
      </c>
      <c r="J33" s="855" t="s">
        <v>331</v>
      </c>
      <c r="K33" s="855" t="s">
        <v>330</v>
      </c>
      <c r="L33" s="855" t="s">
        <v>329</v>
      </c>
      <c r="M33" s="855" t="s">
        <v>328</v>
      </c>
      <c r="N33" s="953" t="s">
        <v>327</v>
      </c>
      <c r="O33" s="953" t="s">
        <v>384</v>
      </c>
      <c r="P33" s="48"/>
    </row>
    <row r="34" spans="1:16" s="314" customFormat="1" ht="20.100000000000001" customHeight="1" x14ac:dyDescent="0.55000000000000004">
      <c r="A34" s="843"/>
      <c r="B34" s="852">
        <f>YDWK2!F11</f>
        <v>0</v>
      </c>
      <c r="C34" s="852">
        <f>IF(AND(D12=0,B18=0),0,YDWK2!F83)</f>
        <v>0</v>
      </c>
      <c r="D34" s="852">
        <f>IF(AND(L12=0,O18=0),0,YDWK2!F154)</f>
        <v>0</v>
      </c>
      <c r="E34" s="852">
        <f>IF(OR(AND(D12=0,B18=0),AND(L12=0,O18=0),AND(N$3&gt;=42278,OR(D12=0,L12=0))),0,YDWK2!F225)</f>
        <v>0</v>
      </c>
      <c r="F34" s="852">
        <f>YDWK2!O1460</f>
        <v>0</v>
      </c>
      <c r="G34" s="852">
        <f>IF(OR(AND(N$3&lt;42278,OR(B18&lt;&gt;0,D12&lt;&gt;0)),AND(N$3&gt;=42278,D12&lt;&gt;0)),YDWK2!P1533,0)</f>
        <v>0</v>
      </c>
      <c r="H34" s="852" t="s">
        <v>326</v>
      </c>
      <c r="I34" s="852">
        <f>YDWK2!F297</f>
        <v>0</v>
      </c>
      <c r="J34" s="852">
        <f>IF(OR(AND(N3&lt;42278,OR(D12&lt;&gt;0,B18&lt;&gt;0)),AND(N3&gt;=42278,D12&lt;&gt;0)),YDWK2!F369,0)</f>
        <v>0</v>
      </c>
      <c r="K34" s="852">
        <f>YDWK2!F441</f>
        <v>0</v>
      </c>
      <c r="L34" s="852">
        <f>YDWK2!F513</f>
        <v>0</v>
      </c>
      <c r="M34" s="852">
        <f>IF(OR(MAX(SUMMARY!J27:J29)=0,AND(N3&lt;42278,L12=0,O18=0),AND(N3&gt;=42278,OR(L12=0,MAX(SUMMARY!J27:J29)=0))),0,YDWK2!$F$657)</f>
        <v>0</v>
      </c>
      <c r="N34" s="852">
        <f>IF(OR(AND(SUMMARY!H20&gt;0,SUMMARY!$I$12=SUMMARY!H20),SUMMARY!I14&lt;SUMMARY!J20,MAX(SUMMARY!J27:J29)=0),0,YDWK2!F729)</f>
        <v>0</v>
      </c>
      <c r="O34" s="852">
        <f>YDWK2!F1460</f>
        <v>0</v>
      </c>
      <c r="P34" s="48"/>
    </row>
    <row r="35" spans="1:16" s="314" customFormat="1" ht="20.100000000000001" customHeight="1" x14ac:dyDescent="0.55000000000000004">
      <c r="A35" s="843"/>
      <c r="B35" s="954">
        <f t="shared" ref="B35:G35" si="0">B34*3280.8399/5280</f>
        <v>0</v>
      </c>
      <c r="C35" s="954">
        <f t="shared" si="0"/>
        <v>0</v>
      </c>
      <c r="D35" s="954">
        <f t="shared" si="0"/>
        <v>0</v>
      </c>
      <c r="E35" s="954">
        <f t="shared" si="0"/>
        <v>0</v>
      </c>
      <c r="F35" s="954">
        <f t="shared" si="0"/>
        <v>0</v>
      </c>
      <c r="G35" s="865">
        <f t="shared" si="0"/>
        <v>0</v>
      </c>
      <c r="H35" s="954" t="s">
        <v>325</v>
      </c>
      <c r="I35" s="954">
        <f t="shared" ref="I35:O35" si="1">I34*3280.8399/5280</f>
        <v>0</v>
      </c>
      <c r="J35" s="954">
        <f t="shared" si="1"/>
        <v>0</v>
      </c>
      <c r="K35" s="954">
        <f t="shared" si="1"/>
        <v>0</v>
      </c>
      <c r="L35" s="954">
        <f t="shared" si="1"/>
        <v>0</v>
      </c>
      <c r="M35" s="954">
        <f t="shared" si="1"/>
        <v>0</v>
      </c>
      <c r="N35" s="954">
        <f t="shared" si="1"/>
        <v>0</v>
      </c>
      <c r="O35" s="954">
        <f t="shared" si="1"/>
        <v>0</v>
      </c>
      <c r="P35" s="48"/>
    </row>
    <row r="36" spans="1:16" s="314" customFormat="1" ht="20.100000000000001" customHeight="1" x14ac:dyDescent="0.55000000000000004">
      <c r="A36" s="843"/>
      <c r="B36" s="955">
        <f t="shared" ref="B36:G36" si="2">B34</f>
        <v>0</v>
      </c>
      <c r="C36" s="955">
        <f t="shared" si="2"/>
        <v>0</v>
      </c>
      <c r="D36" s="955">
        <f t="shared" si="2"/>
        <v>0</v>
      </c>
      <c r="E36" s="955">
        <f t="shared" si="2"/>
        <v>0</v>
      </c>
      <c r="F36" s="955">
        <f t="shared" si="2"/>
        <v>0</v>
      </c>
      <c r="G36" s="893">
        <f t="shared" si="2"/>
        <v>0</v>
      </c>
      <c r="H36" s="954" t="s">
        <v>310</v>
      </c>
      <c r="I36" s="1082">
        <f>IF(AND(O39&gt;0,OR(I34&gt;0,J34&gt;0)),MAX(I34-0.5,J34-0.5),MAX(I34,J34))</f>
        <v>0</v>
      </c>
      <c r="J36" s="1082"/>
      <c r="K36" s="893">
        <f>IF(AND(O39&gt;0,K34&gt;0),K34-1,K34)</f>
        <v>0</v>
      </c>
      <c r="L36" s="893">
        <f>IF(AND(L34&gt;0,O40&gt;0),L34-1,L34)</f>
        <v>0</v>
      </c>
      <c r="M36" s="1082">
        <f>IF(AND(M34&gt;0,O41&gt;0),MAX(M34,N34)-0.5,MAX(M34,N34))</f>
        <v>0</v>
      </c>
      <c r="N36" s="1082"/>
      <c r="O36" s="955">
        <f>O34-O42</f>
        <v>0</v>
      </c>
      <c r="P36" s="48"/>
    </row>
    <row r="37" spans="1:16" s="314" customFormat="1" ht="20.100000000000001" customHeight="1" x14ac:dyDescent="0.55000000000000004">
      <c r="A37" s="843"/>
      <c r="B37" s="1083" t="s">
        <v>404</v>
      </c>
      <c r="C37" s="1083"/>
      <c r="D37" s="1083"/>
      <c r="E37" s="1083"/>
      <c r="F37" s="1083"/>
      <c r="G37" s="1083"/>
      <c r="H37" s="1083"/>
      <c r="I37" s="1093" t="str">
        <f>IF($N$3&gt;=43374,"Silver Distance Check","")</f>
        <v/>
      </c>
      <c r="J37" s="1094"/>
      <c r="K37" s="1083" t="s">
        <v>324</v>
      </c>
      <c r="L37" s="1083"/>
      <c r="M37" s="325"/>
      <c r="N37" s="1091" t="s">
        <v>323</v>
      </c>
      <c r="O37" s="1091"/>
      <c r="P37" s="48"/>
    </row>
    <row r="38" spans="1:16" s="314" customFormat="1" ht="20.100000000000001" customHeight="1" x14ac:dyDescent="0.55000000000000004">
      <c r="A38" s="843"/>
      <c r="B38" s="855" t="s">
        <v>322</v>
      </c>
      <c r="C38" s="855" t="s">
        <v>321</v>
      </c>
      <c r="D38" s="855" t="s">
        <v>320</v>
      </c>
      <c r="E38" s="855" t="s">
        <v>319</v>
      </c>
      <c r="F38" s="855" t="s">
        <v>318</v>
      </c>
      <c r="G38" s="855" t="s">
        <v>317</v>
      </c>
      <c r="H38" s="855" t="s">
        <v>316</v>
      </c>
      <c r="I38" s="956"/>
      <c r="J38" s="325"/>
      <c r="K38" s="954" t="s">
        <v>315</v>
      </c>
      <c r="L38" s="852">
        <f>IF(AND(SUMMARY!D18=0=FALSE,SUMMARY!D24=0=FALSE,SUMMARY!D30=0=FALSE),YDWK2!F585,0)</f>
        <v>0</v>
      </c>
      <c r="M38" s="325"/>
      <c r="N38" s="957" t="s">
        <v>314</v>
      </c>
      <c r="O38" s="957" t="s">
        <v>300</v>
      </c>
      <c r="P38" s="48"/>
    </row>
    <row r="39" spans="1:16" s="314" customFormat="1" ht="20.100000000000001" customHeight="1" x14ac:dyDescent="0.55000000000000004">
      <c r="B39" s="852" t="str">
        <f>IF(AND(SUMMARY!B20&lt;&gt;"NO",SUMMARY!$A$26&lt;&gt;0,OR(TPOrder!AX9&gt;0,D12&gt;0)),MIN(YDWK2!$F$951,YDWK2!F1169),"NO")</f>
        <v>NO</v>
      </c>
      <c r="C39" s="852">
        <f>IF(OR(AND(N3&lt;42278,OR(B18&lt;&gt;0,D12&lt;&gt;0),OR(O18&lt;&gt;0,L12&lt;&gt;0)),AND(N3&gt;=42278,D12&lt;&gt;0,L12&lt;&gt;0)),YDWK2!$F$225,0)</f>
        <v>0</v>
      </c>
      <c r="D39" s="852" t="str">
        <f>YDWK2!F877</f>
        <v>N/A</v>
      </c>
      <c r="E39" s="852">
        <f>YDWK2!F11</f>
        <v>0</v>
      </c>
      <c r="F39" s="852">
        <f>IF(OR(B18&gt;0,D12&gt;0),YDWK2!F83,0)</f>
        <v>0</v>
      </c>
      <c r="G39" s="852">
        <f>IF(OR(AND(N3&lt;42278,OR(O18&gt;0,L12&gt;0)),AND(N3&gt;=42278,L12&lt;&gt;0)),YDWK2!F154,0)</f>
        <v>0</v>
      </c>
      <c r="H39" s="852">
        <f>IF(OR(O18&gt;0,L12&gt;0),YDWK2!F803,0)</f>
        <v>0</v>
      </c>
      <c r="I39" s="1013" t="str">
        <f>IF(I37&lt;&gt;"","Rel-Fin Fix","")</f>
        <v/>
      </c>
      <c r="J39" s="1014" t="str">
        <f>IF(I39&lt;&gt;"",F34,"")</f>
        <v/>
      </c>
      <c r="K39" s="865" t="s">
        <v>313</v>
      </c>
      <c r="L39" s="954">
        <f>L38*3280.8399/5280</f>
        <v>0</v>
      </c>
      <c r="M39" s="325"/>
      <c r="N39" s="957" t="s">
        <v>312</v>
      </c>
      <c r="O39" s="957">
        <f>IF(AND(SUMMARY!K31="X",TPOrder!CI3="Cylinder"),0.5,0)</f>
        <v>0</v>
      </c>
      <c r="P39" s="319"/>
    </row>
    <row r="40" spans="1:16" s="319" customFormat="1" ht="20.100000000000001" customHeight="1" x14ac:dyDescent="0.55000000000000004">
      <c r="B40" s="865" t="str">
        <f>IF(B39="NO","",B39*3280.8399/5280)</f>
        <v/>
      </c>
      <c r="C40" s="865">
        <f>IF(C39="","",C39*3280.8399/5280)</f>
        <v>0</v>
      </c>
      <c r="D40" s="954" t="str">
        <f>IF(D39="N/A","N/A",D39*3280.8399/5280)</f>
        <v>N/A</v>
      </c>
      <c r="E40" s="954">
        <f>IF(E39="N/A","N/A",E39*3280.8399/5280)</f>
        <v>0</v>
      </c>
      <c r="F40" s="954">
        <f>IF(F39="N/A","N/A",F39*3280.8399/5280)</f>
        <v>0</v>
      </c>
      <c r="G40" s="954">
        <f>IF(G39="","N/A",G39*3280.8399/5280)</f>
        <v>0</v>
      </c>
      <c r="H40" s="954">
        <f>IF(H39="","N/A",H39*3280.8399/5280)</f>
        <v>0</v>
      </c>
      <c r="I40" s="1013" t="str">
        <f>IF(I39&lt;&gt;"","LPt - Fin Fix","")</f>
        <v/>
      </c>
      <c r="J40" s="1014" t="str">
        <f>IF(I40&lt;&gt;"",YDWK2!F1533,"")</f>
        <v/>
      </c>
      <c r="K40" s="1092" t="s">
        <v>568</v>
      </c>
      <c r="L40" s="1092"/>
      <c r="M40" s="325"/>
      <c r="N40" s="957" t="s">
        <v>311</v>
      </c>
      <c r="O40" s="957">
        <f>IF(AND(SUMMARY!K31="X",O39&gt;0,TPOrder!CY3="Cylinder"),1,IF(O39&gt;0,0.5,0))</f>
        <v>0</v>
      </c>
    </row>
    <row r="41" spans="1:16" s="319" customFormat="1" ht="20.100000000000001" customHeight="1" x14ac:dyDescent="0.55000000000000004">
      <c r="B41" s="1092" t="s">
        <v>567</v>
      </c>
      <c r="C41" s="1092"/>
      <c r="D41" s="1092"/>
      <c r="E41" s="1092"/>
      <c r="F41" s="1092"/>
      <c r="G41" s="1092"/>
      <c r="H41" s="1092"/>
      <c r="I41" s="1015" t="str">
        <f>IF(I40&lt;&gt;"","Validity:","")</f>
        <v/>
      </c>
      <c r="J41" s="1016" t="str">
        <f>IF(AND(I41&lt;&gt;"",O56&gt;=50,J40&gt;=50),"OK",IF(AND(J39&lt;50,J40&lt;50),"Invalid",IF(AND(F56&gt;=50,O56&lt;50),"Invalid LoH",IF(AND(O56&gt;=50,J40&lt;50),"Invalid LPt",""))))</f>
        <v/>
      </c>
      <c r="K41" s="854" t="s">
        <v>310</v>
      </c>
      <c r="L41" s="865">
        <f>L38-L42</f>
        <v>0</v>
      </c>
      <c r="M41" s="325"/>
      <c r="N41" s="957" t="s">
        <v>309</v>
      </c>
      <c r="O41" s="957">
        <f>IF(AND(SUMMARY!K31="X",TPOrder!CY3="Cylinder",TPOrder!DO3="Cylinder"),1,IF(TPOrder!DO3="Cylinder",0.5,0))</f>
        <v>0</v>
      </c>
    </row>
    <row r="42" spans="1:16" s="319" customFormat="1" ht="20.100000000000001" customHeight="1" x14ac:dyDescent="0.55000000000000004">
      <c r="B42" s="854" t="str">
        <f>IF(OR(AND(N3&lt;42278,OR(D12&gt;0,C20&gt;0)),AND(N3&gt;=4228,D12&gt;0)),"Start OK","Start Not OK")</f>
        <v>Start Not OK</v>
      </c>
      <c r="C42" s="854" t="str">
        <f>IF(OR(AND(N3&lt;42278,B!E12="ST@TP"),SUMMARY!H30&lt;&gt;SUMMARY!H32,B!J24&lt;&gt;"",B!J26&lt;&gt;""),"TPs NOT OK",IF(OR(AND(SUMMARY!$J$27=1,SUMMARY!$H$30=1),AND(SUMMARY!J27=1,SUMMARY!J28=0,SUMMARY!J29=0),AND(SUMMARY!J27=1,SUMMARY!J28=2,SUMMARY!J29=0),AND(SUMMARY!$J$28=2,SUMMARY!J27=1,SUMMARY!$H$30=2),AND(SUMMARY!$J$29=3,SUMMARY!J28=2,SUMMARY!J27=1,SUMMARY!$H$30=3)),"TPs OK","TPs Not OK"))</f>
        <v>TPs Not OK</v>
      </c>
      <c r="D42" s="857" t="str">
        <f>IF(OR(AND(N3&lt;42278,YDWK2!$F$877&lt;=1,C39=0,B42&lt;&gt;"Start not OK",OR(N20&gt;0,L12&gt;0),SUMMARY!$B$28&lt;&gt;"Landing",OR(L12&gt;0,N20&gt;0)),AND(N3&gt;=42278,D12&lt;&gt;0,L12&lt;&gt;0,B42&lt;&gt;"Start not OK")),"Goal OK","Goal Not OK")</f>
        <v>Goal Not OK</v>
      </c>
      <c r="E42" s="854" t="s">
        <v>308</v>
      </c>
      <c r="F42" s="865" t="str">
        <f>IF(OR(AND(N3&lt;42278,C21=0,D21=0,D15=0,M21=0,N21=0,L15=0),AND(N3&gt;=42278,OR(D12=0,L12=0))),"LoH Not OK",IF(AND(K25&lt;&gt;"INVALID",OR(AND(D9="Feet",K25&lt;3280.8399),K25&lt;1000)),K25,IF(AND(N3&lt;42278,OR(AND(D9="Feet",MIN(D25:F27)&lt;3280.8399),MIN(D25:F27)&lt;1000)),MIN(D25:F27),D14-L14)))</f>
        <v>LoH Not OK</v>
      </c>
      <c r="G42" s="1083" t="str">
        <f>IF(AND(C39&gt;0,B42="Start OK",SUMMARY!H30=0,OR(AND(N$3&lt;42278,OR(L12&lt;&gt;0,M18&lt;&gt;0)),L12&lt;&gt;0),F42&lt;&gt;"LoH Not OK"),"Straight Goal OK",IF(AND(C39=0,B42="Start OK",D42="Goal OK",C42="TPs OK",F42&lt;&gt;"LoH Not OK"),"Closed course OK","No Goal Claim"))</f>
        <v>No Goal Claim</v>
      </c>
      <c r="H42" s="1083"/>
      <c r="I42" s="864"/>
      <c r="J42" s="316"/>
      <c r="K42" s="958"/>
      <c r="L42" s="854">
        <f>IF(AND(O39&gt;0,O41&gt;0),1,IF(OR(O39&gt;0,O41&gt;0),0.5,0))</f>
        <v>0</v>
      </c>
      <c r="M42" s="325"/>
      <c r="N42" s="957" t="s">
        <v>307</v>
      </c>
      <c r="O42" s="957">
        <f>IF(AND(O41&gt;=0.5,SUMMARY!H32=3),0.5,0)</f>
        <v>0</v>
      </c>
    </row>
    <row r="43" spans="1:16" s="319" customFormat="1" ht="20.100000000000001" customHeight="1" x14ac:dyDescent="0.55000000000000004">
      <c r="B43" s="317"/>
      <c r="C43" s="317"/>
      <c r="D43" s="317"/>
      <c r="E43" s="317"/>
      <c r="F43" s="317"/>
      <c r="G43" s="317"/>
      <c r="H43" s="317"/>
      <c r="I43" s="317"/>
      <c r="J43" s="1011"/>
      <c r="K43" s="317"/>
      <c r="L43" s="317"/>
      <c r="M43" s="317"/>
      <c r="N43" s="317"/>
      <c r="O43" s="317"/>
    </row>
    <row r="44" spans="1:16" s="314" customFormat="1" ht="20.100000000000001" customHeight="1" x14ac:dyDescent="0.55000000000000004">
      <c r="B44" s="819" t="s">
        <v>523</v>
      </c>
      <c r="C44" s="830"/>
      <c r="D44" s="830"/>
      <c r="E44" s="830"/>
      <c r="F44" s="844" t="s">
        <v>582</v>
      </c>
      <c r="G44" s="830"/>
      <c r="H44" s="830"/>
      <c r="I44" s="952"/>
      <c r="J44" s="952" t="s">
        <v>588</v>
      </c>
      <c r="K44" s="952"/>
      <c r="L44" s="952"/>
      <c r="M44" s="952"/>
      <c r="N44" s="830"/>
      <c r="O44" s="835" t="s">
        <v>535</v>
      </c>
      <c r="P44" s="319"/>
    </row>
    <row r="45" spans="1:16" s="314" customFormat="1" ht="20.100000000000001" customHeight="1" x14ac:dyDescent="0.55000000000000004">
      <c r="B45" s="316"/>
      <c r="C45" s="316"/>
      <c r="D45" s="316"/>
      <c r="E45" s="1095" t="s">
        <v>306</v>
      </c>
      <c r="F45" s="1095"/>
      <c r="G45" s="956"/>
      <c r="H45" s="776" t="s">
        <v>564</v>
      </c>
      <c r="I45" s="776" t="s">
        <v>305</v>
      </c>
      <c r="J45" s="776" t="s">
        <v>304</v>
      </c>
      <c r="K45" s="873"/>
      <c r="L45" s="776" t="s">
        <v>303</v>
      </c>
      <c r="M45" s="776" t="s">
        <v>302</v>
      </c>
      <c r="N45" s="316"/>
      <c r="O45" s="873" t="s">
        <v>301</v>
      </c>
    </row>
    <row r="46" spans="1:16" s="314" customFormat="1" ht="20.100000000000001" customHeight="1" x14ac:dyDescent="0.55000000000000004">
      <c r="B46" s="959"/>
      <c r="C46" s="960" t="s">
        <v>526</v>
      </c>
      <c r="D46" s="959"/>
      <c r="E46" s="961">
        <f>IF(F46=0,0,B35)</f>
        <v>0</v>
      </c>
      <c r="F46" s="961">
        <f>B34</f>
        <v>0</v>
      </c>
      <c r="G46" s="962">
        <f>IF(OR(F46=0,$Q$1="PR",F46&lt;(MAX(F$46,F$47,F$48,F$49,F50)/2)),0,IF(OR(AND(I46&gt;0,I46&lt;=100),AND(I46&lt;0,I46&gt;=-100)),1,0))</f>
        <v>0</v>
      </c>
      <c r="H46" s="961">
        <f>IF(F46=0,0,IF(AND(SUMMARY!H$14="MGFini",D$9="Feet"),(B14-M23)/3.2808399,IF(AND(SUMMARY!H$14="MGFini",D9&lt;&gt;"Feet"),B14-M23,IF(AND(SUMMARY!H$14&lt;&gt;"MGFini",D$9="Feet"),(B14-N27)/3.2808399,B14-N27))))</f>
        <v>0</v>
      </c>
      <c r="I46" s="961">
        <f t="shared" ref="I46:I61" si="3">IF(OR(F46=0,AND(F46&lt;=100,H46&lt;=10*F46),AND(F46&gt;100,H46&lt;=1000)),0,IF(F46&lt;=100,H46-0.1*F46*100,-1*(1000-H46)))</f>
        <v>0</v>
      </c>
      <c r="J46" s="963">
        <f t="shared" ref="J46:J61" si="4">IF(AND(F46&lt;=100,H46&gt;10*F46),F46,IF(I46&gt;0,-1*(I46*-100/1000),0))</f>
        <v>0</v>
      </c>
      <c r="K46" s="859"/>
      <c r="L46" s="964" t="s">
        <v>300</v>
      </c>
      <c r="M46" s="960" t="s">
        <v>300</v>
      </c>
      <c r="N46" s="959"/>
      <c r="O46" s="961">
        <f>IF(OR(N$3&gt;=42278,F46=0),0,F46-J46)</f>
        <v>0</v>
      </c>
    </row>
    <row r="47" spans="1:16" s="314" customFormat="1" ht="20.100000000000001" customHeight="1" x14ac:dyDescent="0.55000000000000004">
      <c r="B47" s="959"/>
      <c r="C47" s="960" t="s">
        <v>527</v>
      </c>
      <c r="D47" s="959"/>
      <c r="E47" s="961">
        <f>IF(F47=0,0,F47*3280.8399/5280)</f>
        <v>0</v>
      </c>
      <c r="F47" s="961">
        <f>F39</f>
        <v>0</v>
      </c>
      <c r="G47" s="962">
        <f>IF(OR(F47=0,$Q$1="PR",F47&lt;(MAX(F$46,F$47,F$48,F$49,F$50)/2)),0,IF(OR(AND(I47&gt;0,I47&lt;=100),AND(I47&lt;0,I47&gt;=-100)),1,0))</f>
        <v>0</v>
      </c>
      <c r="H47" s="961">
        <f>IF(F47=0,0,IF(AND(SUMMARY!H14="MGFini",$D$9="Feet"),(B20-M23)/3.2808399,IF(AND(SUMMARY!H14="MGFini",$D$9&lt;&gt;"Feet"),B20-M23,IF(AND(SUMMARY!H14&lt;&gt;"MGFini",D9="Feet"),(B20-N27)/3.2808399,B20-N27))))</f>
        <v>0</v>
      </c>
      <c r="I47" s="961">
        <f t="shared" si="3"/>
        <v>0</v>
      </c>
      <c r="J47" s="963">
        <f t="shared" si="4"/>
        <v>0</v>
      </c>
      <c r="K47" s="860"/>
      <c r="L47" s="964" t="s">
        <v>300</v>
      </c>
      <c r="M47" s="960" t="s">
        <v>300</v>
      </c>
      <c r="N47" s="959"/>
      <c r="O47" s="961">
        <f>IF(OR(N$3&gt;=42278,F47=0),0,F47-J47)</f>
        <v>0</v>
      </c>
    </row>
    <row r="48" spans="1:16" s="314" customFormat="1" ht="20.100000000000001" customHeight="1" x14ac:dyDescent="0.55000000000000004">
      <c r="B48" s="959"/>
      <c r="C48" s="960" t="s">
        <v>528</v>
      </c>
      <c r="D48" s="959"/>
      <c r="E48" s="961">
        <f>IF(F48=0,0,F48*3280.8399/5280)</f>
        <v>0</v>
      </c>
      <c r="F48" s="961">
        <f>D34</f>
        <v>0</v>
      </c>
      <c r="G48" s="962">
        <f>IF(OR(F48=0,$Q$1="PR",F48&lt;(MAX(F$46,F$47,F$48,F$49,F$50)/2)),0,IF(OR(AND(I48&gt;0,I48&lt;=100),AND(I48&lt;0,I48&gt;=-100)),1,0))</f>
        <v>0</v>
      </c>
      <c r="H48" s="961">
        <f>IF(F48=0,0,IF($D$9="Feet",(B14-O20)/3.2808399,B14-O20))</f>
        <v>0</v>
      </c>
      <c r="I48" s="961">
        <f t="shared" si="3"/>
        <v>0</v>
      </c>
      <c r="J48" s="963">
        <f t="shared" si="4"/>
        <v>0</v>
      </c>
      <c r="K48" s="860"/>
      <c r="L48" s="964" t="s">
        <v>300</v>
      </c>
      <c r="M48" s="960" t="s">
        <v>300</v>
      </c>
      <c r="N48" s="959"/>
      <c r="O48" s="961">
        <f>IF(OR(N$3&gt;=42278,F48=0),0,F48-J48)</f>
        <v>0</v>
      </c>
    </row>
    <row r="49" spans="1:16" s="314" customFormat="1" ht="20.100000000000001" customHeight="1" x14ac:dyDescent="0.55000000000000004">
      <c r="B49" s="959"/>
      <c r="C49" s="960" t="s">
        <v>529</v>
      </c>
      <c r="D49" s="959"/>
      <c r="E49" s="961">
        <f>IF(F49=0,0,F49*3280.8399/5280)</f>
        <v>0</v>
      </c>
      <c r="F49" s="961">
        <f>E34</f>
        <v>0</v>
      </c>
      <c r="G49" s="962">
        <f>IF(OR(F49=0,$Q$1="PR",F49&lt;(MAX(F$46,F$47,F$48,F$49,F$50)/2)),0,IF(OR(AND(I49&gt;0,I49&lt;=100),AND(I49&lt;0,I49&gt;=-100)),1,0))</f>
        <v>0</v>
      </c>
      <c r="H49" s="961">
        <f>IF(F49=0,0,IF($D$9="Feet",(B20-O20)/3.2808399,B20-O20))</f>
        <v>0</v>
      </c>
      <c r="I49" s="961">
        <f t="shared" si="3"/>
        <v>0</v>
      </c>
      <c r="J49" s="963">
        <f t="shared" si="4"/>
        <v>0</v>
      </c>
      <c r="K49" s="861" t="s">
        <v>525</v>
      </c>
      <c r="L49" s="964" t="s">
        <v>300</v>
      </c>
      <c r="M49" s="960" t="s">
        <v>300</v>
      </c>
      <c r="N49" s="959"/>
      <c r="O49" s="961">
        <f>IF(OR(N$3&gt;=42278,F49=0),0,F49-J49)</f>
        <v>0</v>
      </c>
    </row>
    <row r="50" spans="1:16" s="314" customFormat="1" ht="20.100000000000001" customHeight="1" x14ac:dyDescent="0.55000000000000004">
      <c r="B50" s="959"/>
      <c r="C50" s="960" t="s">
        <v>583</v>
      </c>
      <c r="D50" s="959"/>
      <c r="E50" s="961">
        <f>IF(F50=0,0,F50*3280.8399/5280)</f>
        <v>0</v>
      </c>
      <c r="F50" s="961">
        <f>IF(B18&lt;&gt;0,G34,0)</f>
        <v>0</v>
      </c>
      <c r="G50" s="962">
        <f>IF(OR(F50=0,$Q$1="PR",F50&lt;(MAX(F$46,F$47,F$48,F$49,F$50)/2)),0,IF(OR(AND(I50&gt;0,I50&lt;=100),AND(I50&lt;0,I50&gt;=-100)),1,0))</f>
        <v>0</v>
      </c>
      <c r="H50" s="961">
        <f>IF(F50=0,0,IF($D$9="FEET",(B20-M14)/3.2808399,B20-M14))</f>
        <v>0</v>
      </c>
      <c r="I50" s="961">
        <f t="shared" si="3"/>
        <v>0</v>
      </c>
      <c r="J50" s="963">
        <f t="shared" si="4"/>
        <v>0</v>
      </c>
      <c r="K50" s="862">
        <v>40087</v>
      </c>
      <c r="L50" s="964" t="s">
        <v>300</v>
      </c>
      <c r="M50" s="960" t="s">
        <v>300</v>
      </c>
      <c r="N50" s="960"/>
      <c r="O50" s="961">
        <f>IF(OR($N$3&lt;40087,$N$3&gt;=42278,E50=0),0,F50-J50)</f>
        <v>0</v>
      </c>
    </row>
    <row r="51" spans="1:16" s="314" customFormat="1" ht="20.100000000000001" customHeight="1" x14ac:dyDescent="0.55000000000000004">
      <c r="B51" s="959"/>
      <c r="C51" s="960" t="s">
        <v>530</v>
      </c>
      <c r="D51" s="959"/>
      <c r="E51" s="961">
        <f t="shared" ref="E51:E61" si="5">IF(F51=0,0,F51*3280.8399/5280)</f>
        <v>0</v>
      </c>
      <c r="F51" s="961">
        <f>IF(AND(O18&lt;&gt;0,B18&lt;&gt;0),J34+K34+L34+M34,0)</f>
        <v>0</v>
      </c>
      <c r="G51" s="962">
        <f>IF(OR(F51=0,$Q$1="PR",F51&lt;(MAX(F$51,F$52,F$53,F$54,F$55,F$58)/2)),0,IF(OR(AND(I51&gt;0,I51&lt;=100),AND(I51&lt;0,I51&gt;=-100)),1,0))</f>
        <v>0</v>
      </c>
      <c r="H51" s="961">
        <f>IF(F51=0,0,IF($D$9="Feet",(B20-O20)/3.2808399,B20-O20))</f>
        <v>0</v>
      </c>
      <c r="I51" s="961">
        <f t="shared" si="3"/>
        <v>0</v>
      </c>
      <c r="J51" s="963">
        <f t="shared" si="4"/>
        <v>0</v>
      </c>
      <c r="K51" s="861" t="s">
        <v>524</v>
      </c>
      <c r="L51" s="964" t="str">
        <f>IF(OR(AND(N3&lt;42278,SUMMARY!$H$32=2,$K$34&lt;10),(AND(N3&lt;42278,SUMMARY!$H$32=3,OR($K$34&lt;10,$L$38&lt;10,$L$34&lt;10)))),"NO",IF(N3&gt;=42278,"N/A","OK"))</f>
        <v>OK</v>
      </c>
      <c r="M51" s="960">
        <f>SUM(O39:O42)</f>
        <v>0</v>
      </c>
      <c r="N51" s="959"/>
      <c r="O51" s="961">
        <f>IF(OR($N$3&gt;=42278,L51="NO",E51=0),0,F51-J51-M51)</f>
        <v>0</v>
      </c>
    </row>
    <row r="52" spans="1:16" s="314" customFormat="1" ht="20.100000000000001" customHeight="1" x14ac:dyDescent="0.55000000000000004">
      <c r="B52" s="959"/>
      <c r="C52" s="965" t="s">
        <v>531</v>
      </c>
      <c r="D52" s="966"/>
      <c r="E52" s="961">
        <f t="shared" si="5"/>
        <v>0</v>
      </c>
      <c r="F52" s="961">
        <f>I34+K34+L34+N34</f>
        <v>0</v>
      </c>
      <c r="G52" s="962">
        <f>IF(OR(F52=0,$Q$1="PR",F52&lt;(MAX(F$51,F$52,F$53,F$54,F$55,F$58)/2)),0,IF(OR(AND(I52&gt;0,I52&lt;=100),AND(I52&lt;0,I52&gt;=-100)),1,0))</f>
        <v>0</v>
      </c>
      <c r="H52" s="961">
        <f>IF(F52=0,0,IF(AND(SUMMARY!H$14="MGFini",$D$9="Feet"),(B14-M23)/3.2808399,IF(AND(SUMMARY!H$14="MGFini",$D$9&lt;&gt;"Feet"),B14-M23,IF(AND(SUMMARY!H$14&lt;&gt;"MGFini",$D$9="Feet"),(B14-N27)/3.2808399,B14-N27))))</f>
        <v>0</v>
      </c>
      <c r="I52" s="961">
        <f t="shared" si="3"/>
        <v>0</v>
      </c>
      <c r="J52" s="963">
        <f t="shared" si="4"/>
        <v>0</v>
      </c>
      <c r="K52" s="862">
        <v>42277</v>
      </c>
      <c r="L52" s="964" t="str">
        <f>IF(OR(AND(N3&lt;42278,SUMMARY!$H$32=2,$K$34&lt;10),(AND(N3&lt;42278,SUMMARY!$H$32=3,OR($K$34&lt;10,$L$38&lt;10,$L$34&lt;10)))),"NO",IF(N3&gt;=42278,"N/A","OK"))</f>
        <v>OK</v>
      </c>
      <c r="M52" s="960">
        <f>SUM(O39:O42)</f>
        <v>0</v>
      </c>
      <c r="N52" s="959"/>
      <c r="O52" s="961">
        <f>IF(OR($N$3&gt;=42278,L52="NO",E52=0),0,F52-J52-M52)</f>
        <v>0</v>
      </c>
    </row>
    <row r="53" spans="1:16" s="314" customFormat="1" ht="20.100000000000001" customHeight="1" x14ac:dyDescent="0.55000000000000004">
      <c r="B53" s="959"/>
      <c r="C53" s="960" t="s">
        <v>532</v>
      </c>
      <c r="D53" s="959"/>
      <c r="E53" s="961">
        <f t="shared" si="5"/>
        <v>0</v>
      </c>
      <c r="F53" s="961">
        <f>IF(J34&lt;&gt;0,J34+K34+L34+N34,0)</f>
        <v>0</v>
      </c>
      <c r="G53" s="962">
        <f>IF(OR(F53=0,$Q$1="PR",F53&lt;(MAX(F$51,F$52,F$53,F$54,F$55,F$58)/2)),0,IF(OR(AND(I53&gt;0,I53&lt;=100),AND(I53&lt;0,I53&gt;=-100)),1,0))</f>
        <v>0</v>
      </c>
      <c r="H53" s="961">
        <f>IF(F53=0,0,IF(AND(SUMMARY!H14="MGFini",$D$9="Feet"),(B20-M23)/3.2808399,IF(AND(SUMMARY!H14="MGFini",D9&lt;&gt;"Feet"),B20-M23,IF(AND(SUMMARY!H14&lt;&gt;"MGFini",$D$9="Feet"),(B20-N27)/3.2808399,B20-N27))))</f>
        <v>0</v>
      </c>
      <c r="I53" s="961">
        <f t="shared" si="3"/>
        <v>0</v>
      </c>
      <c r="J53" s="963">
        <f t="shared" si="4"/>
        <v>0</v>
      </c>
      <c r="K53" s="967"/>
      <c r="L53" s="964" t="str">
        <f>IF(OR(AND(N3&lt;42278,SUMMARY!$H$32=2,$K$34&lt;10),(AND(N3&lt;42278,SUMMARY!$H$32=3,OR($K$34&lt;10,$L$38&lt;10,$L$34&lt;10)))),"NO",IF(N3&gt;=42278,"N/A","OK"))</f>
        <v>OK</v>
      </c>
      <c r="M53" s="960">
        <f>SUM(O39:O42)</f>
        <v>0</v>
      </c>
      <c r="N53" s="959"/>
      <c r="O53" s="961">
        <f>IF(OR($N$3&gt;=42278,L53="NO",E53=0),0,F53-J53-M53)</f>
        <v>0</v>
      </c>
    </row>
    <row r="54" spans="1:16" s="314" customFormat="1" ht="20.100000000000001" customHeight="1" x14ac:dyDescent="0.55000000000000004">
      <c r="B54" s="959"/>
      <c r="C54" s="960" t="s">
        <v>533</v>
      </c>
      <c r="D54" s="959"/>
      <c r="E54" s="961">
        <f t="shared" si="5"/>
        <v>0</v>
      </c>
      <c r="F54" s="961">
        <f>IF(M34&lt;&gt;0,I34+K34+L34+M34,0)</f>
        <v>0</v>
      </c>
      <c r="G54" s="962">
        <f>IF(OR(F54=0,$Q$1="PR",F54&lt;(MAX(F$51,F$52,F$53,F$54,F$55,F$58)/2)),0,IF(OR(AND(I54&gt;0,I54&lt;=100),AND(I54&lt;0,I54&gt;=-100)),1,0))</f>
        <v>0</v>
      </c>
      <c r="H54" s="961">
        <f>IF(F54=0,0,IF($D$9="Feet",(B14-O20)/3.2808399,B14-O20))</f>
        <v>0</v>
      </c>
      <c r="I54" s="961">
        <f t="shared" si="3"/>
        <v>0</v>
      </c>
      <c r="J54" s="963">
        <f t="shared" si="4"/>
        <v>0</v>
      </c>
      <c r="K54" s="860"/>
      <c r="L54" s="964" t="str">
        <f>IF(OR(AND(N3&lt;42278,SUMMARY!$H$32=2,$K$34&lt;10),(AND(N3&lt;42278,SUMMARY!$H$32=3,OR($K$34&lt;10,$L$38&lt;10,$L$34&lt;10)))),"NO",IF(N3&gt;=42278,"N/A","OK"))</f>
        <v>OK</v>
      </c>
      <c r="M54" s="960">
        <f>SUM(O39:O42)</f>
        <v>0</v>
      </c>
      <c r="N54" s="959"/>
      <c r="O54" s="961">
        <f>IF(OR($N$3&gt;=42278,L54="NO",E54=0),0,F54-J54-M54)</f>
        <v>0</v>
      </c>
    </row>
    <row r="55" spans="1:16" s="314" customFormat="1" ht="20.100000000000001" customHeight="1" x14ac:dyDescent="0.55000000000000004">
      <c r="B55" s="959"/>
      <c r="C55" s="960" t="s">
        <v>584</v>
      </c>
      <c r="D55" s="959"/>
      <c r="E55" s="961">
        <f>IF(F55=0,0,F55*3280.8399/5280)</f>
        <v>0</v>
      </c>
      <c r="F55" s="961">
        <f>IF(AND(J34&gt;0,O34&gt;0),J34+K34+L34+O34,0)</f>
        <v>0</v>
      </c>
      <c r="G55" s="962">
        <f>IF(OR(F55=0,$Q$1="PR",F55&lt;(MAX(F$51,F$52,F$53,F$54,F$55,F$58)/2)),0,IF(OR(AND(I55&gt;0,I55&lt;=100),AND(I55&lt;0,I55&gt;=-100)),1,0))</f>
        <v>0</v>
      </c>
      <c r="H55" s="961">
        <f>IF(F55=0,0,IF($D$9="FEET",(B20-O14)/3.2808399,B20-O14))</f>
        <v>0</v>
      </c>
      <c r="I55" s="961">
        <f t="shared" si="3"/>
        <v>0</v>
      </c>
      <c r="J55" s="963">
        <f t="shared" si="4"/>
        <v>0</v>
      </c>
      <c r="K55" s="863"/>
      <c r="L55" s="964" t="str">
        <f>IF(OR(AND(N3&lt;42278,SUMMARY!$H$32=2,$K$34&lt;10),(AND(N3&lt;42278,SUMMARY!$H$32=3,OR($K$34&lt;10,$L$38&lt;10,$L$34&lt;10)))),"NO",IF(N3&gt;=42278,"N/A","OK"))</f>
        <v>OK</v>
      </c>
      <c r="M55" s="960">
        <f>SUM(O39:O42)</f>
        <v>0</v>
      </c>
      <c r="N55" s="960"/>
      <c r="O55" s="961">
        <f>IF(OR($N$3&lt;40087,N3&gt;=42278,L55="NO",E55=0),0,F55-J55-M55)</f>
        <v>0</v>
      </c>
    </row>
    <row r="56" spans="1:16" s="314" customFormat="1" ht="20.100000000000001" customHeight="1" x14ac:dyDescent="0.55000000000000004">
      <c r="B56" s="968"/>
      <c r="C56" s="969" t="s">
        <v>579</v>
      </c>
      <c r="D56" s="968"/>
      <c r="E56" s="970">
        <f>IF(F56=0,0,F56*3280.8399/5280)</f>
        <v>0</v>
      </c>
      <c r="F56" s="970">
        <f>F34</f>
        <v>0</v>
      </c>
      <c r="G56" s="971">
        <f t="shared" ref="G56:G61" si="6">IF(OR(F56=0,$Q$1="PR"),0,IF(OR(AND(I56&gt;0,I56&lt;=100),AND(I56&lt;0,I56&gt;=-100)),1,0))</f>
        <v>0</v>
      </c>
      <c r="H56" s="970">
        <f>IF(F56=0,0,IF($D$9="Feet",(B14-M14)/3.2808399,B14-M14))</f>
        <v>0</v>
      </c>
      <c r="I56" s="970">
        <f t="shared" si="3"/>
        <v>0</v>
      </c>
      <c r="J56" s="972">
        <f t="shared" si="4"/>
        <v>0</v>
      </c>
      <c r="K56" s="1102" t="s">
        <v>536</v>
      </c>
      <c r="L56" s="973" t="s">
        <v>300</v>
      </c>
      <c r="M56" s="969" t="s">
        <v>300</v>
      </c>
      <c r="N56" s="957"/>
      <c r="O56" s="970">
        <f>IF(OR($N$3&lt;40087,L56="NO",E56=0),0,F56-J56)</f>
        <v>0</v>
      </c>
      <c r="P56" s="839"/>
    </row>
    <row r="57" spans="1:16" s="314" customFormat="1" ht="20.100000000000001" customHeight="1" x14ac:dyDescent="0.55000000000000004">
      <c r="B57" s="1099" t="s">
        <v>598</v>
      </c>
      <c r="C57" s="1100"/>
      <c r="D57" s="1101"/>
      <c r="E57" s="970">
        <f>IF(F57=0,0,F57*3280.8399/5280)</f>
        <v>0</v>
      </c>
      <c r="F57" s="970">
        <f>G34</f>
        <v>0</v>
      </c>
      <c r="G57" s="971">
        <f>IF(OR(F57=0,$Q$1="PR"),0,IF(OR(AND(I57&gt;0,I57&lt;=100),AND(I57&lt;0,I57&gt;=-100)),1,0))</f>
        <v>0</v>
      </c>
      <c r="H57" s="970">
        <f>IF(F57=0,0,IF($D$9="Feet",(D14-M14)/3.2808399,D14-M14))</f>
        <v>0</v>
      </c>
      <c r="I57" s="970">
        <f>IF(OR(F57=0,AND(F57&lt;=100,H57&lt;=10*F57),AND(F57&gt;100,H57&lt;=1000)),0,IF(F57&lt;=100,H57-0.1*F57*100,-1*(1000-H57)))</f>
        <v>0</v>
      </c>
      <c r="J57" s="972">
        <f>IF(AND(F57&lt;=100,H57&gt;10*F57),F57,IF(I57&gt;0,-1*(I57*-100/1000),0))</f>
        <v>0</v>
      </c>
      <c r="K57" s="1103"/>
      <c r="L57" s="973" t="s">
        <v>300</v>
      </c>
      <c r="M57" s="988" t="s">
        <v>300</v>
      </c>
      <c r="N57" s="957"/>
      <c r="O57" s="970">
        <f>IF(OR($N$3&lt;40087,L57="NO",E57=0),0,F57-J57)</f>
        <v>0</v>
      </c>
      <c r="P57" s="839"/>
    </row>
    <row r="58" spans="1:16" s="314" customFormat="1" ht="20.100000000000001" customHeight="1" x14ac:dyDescent="0.55000000000000004">
      <c r="B58" s="968"/>
      <c r="C58" s="969" t="s">
        <v>580</v>
      </c>
      <c r="D58" s="968"/>
      <c r="E58" s="970">
        <f t="shared" si="5"/>
        <v>0</v>
      </c>
      <c r="F58" s="970">
        <f>IF(O34&lt;&gt;0,I34+K34+L34+O34,0)</f>
        <v>0</v>
      </c>
      <c r="G58" s="971">
        <f t="shared" si="6"/>
        <v>0</v>
      </c>
      <c r="H58" s="970">
        <f>IF(F58=0,0,IF($D$9="FEET",(B14-O14)/3.2808399,B14-O14))</f>
        <v>0</v>
      </c>
      <c r="I58" s="970">
        <f t="shared" si="3"/>
        <v>0</v>
      </c>
      <c r="J58" s="972">
        <f t="shared" si="4"/>
        <v>0</v>
      </c>
      <c r="K58" s="1103"/>
      <c r="L58" s="973" t="str">
        <f>IF(OR(AND(N3&lt;42278,SUMMARY!$H$32=2,$K$34&lt;10),(AND(N3&lt;42278,SUMMARY!$H$32=3,OR($K$34&lt;10,$L$38&lt;10,$L$34&lt;10)))),"NO",IF(N3&gt;=42278,"N/A","OK"))</f>
        <v>OK</v>
      </c>
      <c r="M58" s="969">
        <f>SUM(O39:O42)</f>
        <v>0</v>
      </c>
      <c r="N58" s="957"/>
      <c r="O58" s="970">
        <f>IF(OR($N$3&lt;40087,L58="NO",E58=0),0,F58-J58-M58)</f>
        <v>0</v>
      </c>
    </row>
    <row r="59" spans="1:16" s="314" customFormat="1" ht="20.100000000000001" customHeight="1" x14ac:dyDescent="0.55000000000000004">
      <c r="B59" s="1097" t="s">
        <v>534</v>
      </c>
      <c r="C59" s="1097"/>
      <c r="D59" s="1097"/>
      <c r="E59" s="970">
        <f>IF(F59=0,0,F59*3280.8399/5280)</f>
        <v>0</v>
      </c>
      <c r="F59" s="970">
        <f>IF(OR(G42&lt;&gt;"Straight Goal OK",MAX(C21,D21,D15)=0,MAX(M21,N21,L15)=0,AND(SUMMARY!H14="MGFini",SUMMARY!I14&lt;MAX(M21,N21,L15))),0,E34)</f>
        <v>0</v>
      </c>
      <c r="G59" s="971">
        <f t="shared" si="6"/>
        <v>0</v>
      </c>
      <c r="H59" s="970">
        <f>IF(F59=0,0,IF($D$9="FEET",F42/3.2808399,F42))</f>
        <v>0</v>
      </c>
      <c r="I59" s="970">
        <f t="shared" si="3"/>
        <v>0</v>
      </c>
      <c r="J59" s="972">
        <f t="shared" si="4"/>
        <v>0</v>
      </c>
      <c r="K59" s="1103"/>
      <c r="L59" s="973" t="s">
        <v>300</v>
      </c>
      <c r="M59" s="969" t="s">
        <v>300</v>
      </c>
      <c r="N59" s="974"/>
      <c r="O59" s="970">
        <f>IF(E59=0,0,F59-J59)</f>
        <v>0</v>
      </c>
    </row>
    <row r="60" spans="1:16" s="314" customFormat="1" ht="20.100000000000001" customHeight="1" x14ac:dyDescent="0.55000000000000004">
      <c r="B60" s="968"/>
      <c r="C60" s="969" t="str">
        <f>IF(AND(J34&gt;0,K34&gt;0,L34&gt;0,G42="Closed Course OK",OR(AND($N$3&lt;41913,SUM(K34,L34,L38)&gt;=300),$N$3&gt;=41913)),"GSt to GFin, 3 TP Triangle",IF(AND(J34&gt;0,K34&gt;0,L34=0,G42="Closed Course OK"),"GSt to GFin, 2 TP triangle",IF(AND(J34&gt;0,K34=0,M34&gt;0,G42="Closed Course OK"),"GSt to GFin, O&amp;R","No Closed Course")))</f>
        <v>No Closed Course</v>
      </c>
      <c r="D60" s="968"/>
      <c r="E60" s="970">
        <f t="shared" si="5"/>
        <v>0</v>
      </c>
      <c r="F60" s="970">
        <f>IF(OR(G42="No Goal Claim",MAX(M20,N20,L12)=0,SUMMARY!I14&lt;MAX(M21,N21,L15)),0,IF(C60="GST to GFin, 3 TP triangle",K34+L34+L38,IF(C60="GST to GFin, 2 TP Triangle",J34+K34+M34,IF(C60="GSt to GFin, O&amp;R",J34+M34,0))))</f>
        <v>0</v>
      </c>
      <c r="G60" s="971">
        <f t="shared" si="6"/>
        <v>0</v>
      </c>
      <c r="H60" s="970">
        <f>IF(F60=0,0,IF($D$9="feet",F42/3.2808399,F42))</f>
        <v>0</v>
      </c>
      <c r="I60" s="970">
        <f t="shared" si="3"/>
        <v>0</v>
      </c>
      <c r="J60" s="972">
        <f t="shared" si="4"/>
        <v>0</v>
      </c>
      <c r="K60" s="1103"/>
      <c r="L60" s="973" t="s">
        <v>300</v>
      </c>
      <c r="M60" s="969">
        <f>SUM(O40,O41,L42)</f>
        <v>0</v>
      </c>
      <c r="N60" s="974"/>
      <c r="O60" s="970">
        <f>IF(OR(F60-J60-M60&lt;=0,L60="NO"),0,F60-J60-M60)</f>
        <v>0</v>
      </c>
    </row>
    <row r="61" spans="1:16" s="314" customFormat="1" ht="20.100000000000001" customHeight="1" x14ac:dyDescent="0.55000000000000004">
      <c r="B61" s="857"/>
      <c r="C61" s="969" t="s">
        <v>581</v>
      </c>
      <c r="D61" s="968"/>
      <c r="E61" s="970">
        <f t="shared" si="5"/>
        <v>0</v>
      </c>
      <c r="F61" s="970">
        <f>IF(D12&gt;0,J34+K34+L34+O34,0)</f>
        <v>0</v>
      </c>
      <c r="G61" s="971">
        <f t="shared" si="6"/>
        <v>0</v>
      </c>
      <c r="H61" s="970">
        <f>IF(F61=0,0,IF($D$9="FEET",(D14-O14)/3.2808399,D14-O14))</f>
        <v>0</v>
      </c>
      <c r="I61" s="955">
        <f t="shared" si="3"/>
        <v>0</v>
      </c>
      <c r="J61" s="975">
        <f t="shared" si="4"/>
        <v>0</v>
      </c>
      <c r="K61" s="1104"/>
      <c r="L61" s="973" t="str">
        <f>IF(OR(AND(N3&lt;42278,SUMMARY!$H$32=2,$K$34&lt;10),(AND(N3&lt;42278,SUMMARY!$H$32=3,OR($K$34&lt;10,$L$38&lt;10,$L$34&lt;10)))),"NO",IF(N3&gt;=42278,"N/A","OK"))</f>
        <v>OK</v>
      </c>
      <c r="M61" s="969">
        <f>SUM(O39:O42)</f>
        <v>0</v>
      </c>
      <c r="N61" s="976"/>
      <c r="O61" s="970">
        <f>IF(OR($N$3&lt;40087,L61="NO",E61=0),0,F61-J61-M61)</f>
        <v>0</v>
      </c>
      <c r="P61" s="839"/>
    </row>
    <row r="62" spans="1:16" s="314" customFormat="1" ht="20.100000000000001" customHeight="1" x14ac:dyDescent="0.6">
      <c r="B62" s="1098" t="s">
        <v>575</v>
      </c>
      <c r="C62" s="1098"/>
      <c r="D62" s="1098"/>
      <c r="E62" s="1098"/>
      <c r="F62" s="1098"/>
      <c r="G62" s="1098"/>
      <c r="H62" s="1098"/>
      <c r="I62" s="316"/>
      <c r="J62" s="316"/>
      <c r="K62" s="316"/>
      <c r="L62" s="316"/>
      <c r="M62" s="316"/>
      <c r="N62" s="855" t="s">
        <v>299</v>
      </c>
      <c r="O62" s="855" t="s">
        <v>298</v>
      </c>
      <c r="P62" s="327"/>
    </row>
    <row r="63" spans="1:16" s="314" customFormat="1" ht="20.100000000000001" customHeight="1" x14ac:dyDescent="0.55000000000000004">
      <c r="B63" s="316"/>
      <c r="C63" s="316"/>
      <c r="D63" s="316"/>
      <c r="E63" s="316"/>
      <c r="F63" s="316"/>
      <c r="G63" s="316"/>
      <c r="H63" s="316"/>
      <c r="I63" s="316"/>
      <c r="J63" s="866" t="s">
        <v>297</v>
      </c>
      <c r="K63" s="866"/>
      <c r="L63" s="866" t="str">
        <f>IF(O63=O46,"   Rel to Ldg/MoP   ",IF(O63=O47," Start to Ldg/MoP   ",IF(O63=O48," Rel to Finish Pt   ",IF(O63=O49,"Start to Finish   ",IF(O63=O56,"Rel to Fin Fix   ",IF(O63=O50," ST Pt to Fin Fix   ",""))))))</f>
        <v xml:space="preserve">   Rel to Ldg/MoP   </v>
      </c>
      <c r="M63" s="866"/>
      <c r="N63" s="852">
        <f>O63*3280.8399/5280</f>
        <v>0</v>
      </c>
      <c r="O63" s="852">
        <f>IF(N3&gt;=42278,MAX(O56,O57,O59),MAX(O46:O50,O56))</f>
        <v>0</v>
      </c>
      <c r="P63" s="1003"/>
    </row>
    <row r="64" spans="1:16" s="314" customFormat="1" ht="20.100000000000001" customHeight="1" x14ac:dyDescent="0.55000000000000004">
      <c r="A64" s="1012"/>
      <c r="B64" s="864" t="str">
        <f>IF(OR(G42="No Goal Claim",K34=0),"",IF(AND($N$3&lt;43374,OR(AND(O60&gt;0,O60&lt;750,J34-(O39/2)&gt;=0.28*O60,K36&gt;=0.28*O60,M34&gt;=0.28*O60),AND(O60&gt;0,O60&gt;=750,J34-(O39/2)&gt;=0.25*O60,J34-(O39/2)&lt;=0.45*O60,K36&gt;=0.25*O60,K36&lt;=0.45*O60,M34-(O40/2)&gt;=0.25*O60,M34-(O40/2)&lt;=0.45*O60))),"** 2TP Triangle Meets % record requirements",""))</f>
        <v/>
      </c>
      <c r="C64" s="864" t="str">
        <f>IF(OR(G42="No Goal Claim",K34=0),"",IF(AND($N$3&gt;=43374,OR(AND(F60&gt;0,F60&lt;750,J34-(O39/2)&gt;=0.28*F60,K36&gt;=0.28*F60,M34&gt;=0.28*F60),AND(F60&gt;0,F60&gt;=750,J34-(O39/2)&gt;=0.25*F60,J34-(F39/2)&lt;=0.45*F60,K36&gt;=0.25*F60,K36&lt;=0.45*F60,M34-(O40/2)&gt;=0.25*F60,M34-(O40/2)&lt;=0.45*F60))),"** 2TP Triangle Meets % record requirements",""))</f>
        <v/>
      </c>
      <c r="D64" s="864"/>
      <c r="E64" s="864"/>
      <c r="F64" s="864"/>
      <c r="G64" s="864"/>
      <c r="H64" s="977"/>
      <c r="I64" s="316"/>
      <c r="J64" s="866" t="s">
        <v>296</v>
      </c>
      <c r="K64" s="866"/>
      <c r="L64" s="324" t="str">
        <f>IF(O64=O53,"Start to Ldg/MoP   ",IF(O64=O54," Rel to Fin Pt   ",IF(OR(AND(N3&lt;42278,O64=O55),AND(N3&gt;=42278,O64=O61))," ST Pt to Fin Fix   ",IF(OR(O64=O51,O64=O60),"Start Pt to Fin Pt   ",IF(O64=O52," Rel to Ldg/MoP   ","Rel to Fin Fix   ")))))</f>
        <v xml:space="preserve">Start to Ldg/MoP   </v>
      </c>
      <c r="M64" s="866"/>
      <c r="N64" s="852">
        <f>O64*3280.8399/5280</f>
        <v>0</v>
      </c>
      <c r="O64" s="852">
        <f>IF(N3&gt;=42278,MAX(O58,O60,O61),MAX(O51:O55,O58,O60,O61))</f>
        <v>0</v>
      </c>
      <c r="P64" s="320"/>
    </row>
    <row r="65" spans="1:15" s="314" customFormat="1" ht="20.100000000000001" customHeight="1" x14ac:dyDescent="0.55000000000000004">
      <c r="A65" s="1012"/>
      <c r="B65" s="864" t="str">
        <f>IF(OR(G42="No Goal Claim",L38=0,AND($N$3&lt;41913,K36+L36+L38&lt;300)),"",IF(AND($N$3&lt;43374,OR(AND(O60&lt;750,K36&gt;=0.28*O60,L41&gt;=0.28*O60,L36&gt;=0.28*O60),AND(O60&gt;=750,K36&gt;=0.25*O60,L41&lt;=0.45*O60,L36&gt;=0.25*O60,L36&lt;=0.45*O60,L41&gt;=0.25*O60,L41&lt;=0.45*O60))),"**3TP Triangle Meets % record requirements",""))</f>
        <v/>
      </c>
      <c r="C65" s="864" t="str">
        <f>IF(OR(G42="No Goal Claim",L38=0,AND($N$3&lt;41913,K36+L36+L38&lt;300)),"",IF(AND($N$3&gt;=43374,OR(AND(F60&lt;750,K36&gt;=0.28*F60,L41&gt;=0.28*F60,L36&gt;=0.28*F60),AND(F60&gt;=750,K36&gt;=0.25*F60,L41&lt;=0.45*F60,L36&gt;=0.25*F60,L36&lt;=0.45*F60,L41&gt;=0.25*F60,L41&lt;=0.45*F60))),"**3TP Triangle Meets % record requirements",""))</f>
        <v/>
      </c>
      <c r="D65" s="864"/>
      <c r="E65" s="864"/>
      <c r="F65" s="864"/>
      <c r="G65" s="316"/>
      <c r="H65" s="956"/>
      <c r="I65" s="316"/>
      <c r="J65" s="978"/>
      <c r="K65" s="978"/>
      <c r="L65" s="978"/>
      <c r="M65" s="978"/>
      <c r="N65" s="852"/>
      <c r="O65" s="852"/>
    </row>
    <row r="66" spans="1:15" s="314" customFormat="1" ht="20.100000000000001" customHeight="1" x14ac:dyDescent="0.55000000000000004">
      <c r="B66" s="316"/>
      <c r="C66" s="316"/>
      <c r="D66" s="316"/>
      <c r="E66" s="979"/>
      <c r="F66" s="979"/>
      <c r="G66" s="979"/>
      <c r="H66" s="316"/>
      <c r="I66" s="316"/>
      <c r="J66" s="866" t="str">
        <f>IF(OR(D39&lt;=1,H39&lt;=1),"Maximum Closed Course Distance Start to Finish","N/A")</f>
        <v>Maximum Closed Course Distance Start to Finish</v>
      </c>
      <c r="K66" s="866"/>
      <c r="L66" s="866"/>
      <c r="M66" s="866"/>
      <c r="N66" s="852">
        <f>O66*3280.8399/5280</f>
        <v>0</v>
      </c>
      <c r="O66" s="852">
        <f>IF(AND(G42="Closed Course OK",F60&gt;0),O60,0)</f>
        <v>0</v>
      </c>
    </row>
    <row r="67" spans="1:15" s="314" customFormat="1" ht="20.100000000000001" customHeight="1" x14ac:dyDescent="0.55000000000000004">
      <c r="B67" s="979" t="str">
        <f>IF(AND(SUM(SUMMARY!J27:J29)&gt;0,SUMMARY!H32&lt;3,OR(D42="Goal Not OK",B42="Start Not OK",O66=0)),"NOTE: This 1- or 2-TP Claim Does Not Appear to Meet Closed Course Goal Requirements",IF(AND(SUMMARY!H32=3,N3&lt;41913,OR(D42="Goal Not OK",O66=0,O60&lt;300)),"NOTE: This 3-TP Claim does not appear to meet certain Record and/or Diamond Goal Requirements",IF(AND(SUMMARY!H32=3,N3&gt;=41913,OR(D42="Goal Not OK",O66=0)),"NOTE: This 3-TP Claim does not appear to meet certain Record and/or Diamond Goal requirements", "")))</f>
        <v/>
      </c>
      <c r="C67" s="980"/>
      <c r="D67" s="980"/>
      <c r="E67" s="980"/>
      <c r="F67" s="980"/>
      <c r="G67" s="980"/>
      <c r="H67" s="981"/>
      <c r="I67" s="316"/>
      <c r="J67" s="866" t="s">
        <v>295</v>
      </c>
      <c r="K67" s="866"/>
      <c r="L67" s="866"/>
      <c r="M67" s="866"/>
      <c r="N67" s="852" t="str">
        <f>IF(O67=""," ",O67*3280.8399/5280)</f>
        <v xml:space="preserve"> </v>
      </c>
      <c r="O67" s="852" t="str">
        <f>IF(OR(O66=0,F42&gt;3280.8399),"",O66/I26*60*60)</f>
        <v/>
      </c>
    </row>
    <row r="68" spans="1:15" s="314" customFormat="1" ht="20.100000000000001" customHeight="1" x14ac:dyDescent="0.55000000000000004">
      <c r="B68" s="977"/>
      <c r="C68" s="977"/>
      <c r="D68" s="977"/>
      <c r="E68" s="977"/>
      <c r="F68" s="977"/>
      <c r="G68" s="316"/>
      <c r="H68" s="316"/>
      <c r="I68" s="316"/>
      <c r="J68" s="978"/>
      <c r="K68" s="978"/>
      <c r="L68" s="978"/>
      <c r="M68" s="978"/>
      <c r="N68" s="852"/>
      <c r="O68" s="852"/>
    </row>
    <row r="69" spans="1:15" s="314" customFormat="1" ht="20.100000000000001" customHeight="1" x14ac:dyDescent="0.55000000000000004">
      <c r="B69" s="1096" t="str">
        <f>IF(SUMMARY!B20="NO","Straight Distance or Free Record ONLY",IF(AND(N5="Free-W"=FALSE,N5="Free-E"=FALSE,G42="No Goal Claim"),"Straight Distance or 3 TP Distance or Free 3 TP Distance [record] task ONLY",IF(N5="Free-W","Free Record ONLY","")))</f>
        <v>Straight Distance or 3 TP Distance or Free 3 TP Distance [record] task ONLY</v>
      </c>
      <c r="C69" s="1096"/>
      <c r="D69" s="1096"/>
      <c r="E69" s="1096"/>
      <c r="F69" s="1096"/>
      <c r="G69" s="1096"/>
      <c r="H69" s="982"/>
      <c r="I69" s="316"/>
      <c r="J69" s="316" t="str">
        <f>IF(MAX(O63:O67)=0,"Ineligible Distance km, rel/ldg","")</f>
        <v>Ineligible Distance km, rel/ldg</v>
      </c>
      <c r="K69" s="979"/>
      <c r="L69" s="979"/>
      <c r="M69" s="979"/>
      <c r="N69" s="983">
        <f>IF(O69="","",O69*3280.8399/5280)</f>
        <v>0</v>
      </c>
      <c r="O69" s="983">
        <f>IF(J69="","",IF(AND(SUMMARY!$B$19&lt;&gt;"NO",SUM(I34,K34,L34,N34)&gt;100),(SUM(I34,K34,L34,N34)),IF(SUMMARY!$B$19&lt;&gt;"NO",MAX(B34,C34,D34,E34),MAX(O46,O52))))</f>
        <v>0</v>
      </c>
    </row>
    <row r="70" spans="1:15" s="314" customFormat="1" ht="20.100000000000001" customHeight="1" x14ac:dyDescent="0.55000000000000004">
      <c r="B70" s="316"/>
      <c r="C70" s="316"/>
      <c r="D70" s="316"/>
      <c r="E70" s="316"/>
      <c r="F70" s="316"/>
      <c r="G70" s="316"/>
      <c r="H70" s="316"/>
      <c r="I70" s="316"/>
      <c r="J70" s="979"/>
      <c r="K70" s="979"/>
      <c r="L70" s="979"/>
      <c r="M70" s="979"/>
      <c r="N70" s="979"/>
      <c r="O70" s="316"/>
    </row>
    <row r="71" spans="1:15" s="314" customFormat="1" ht="20.100000000000001" customHeight="1" x14ac:dyDescent="0.55000000000000004">
      <c r="B71" s="1086" t="str">
        <f>IF(AND(B39="yes",I60&gt;0),"LOH at the Start Line invalidates Speed claim. Find another Start option.","")</f>
        <v/>
      </c>
      <c r="C71" s="1086"/>
      <c r="D71" s="1086"/>
      <c r="E71" s="1086"/>
      <c r="F71" s="1086"/>
      <c r="G71" s="1086"/>
      <c r="H71" s="776"/>
      <c r="I71" s="984"/>
      <c r="J71" s="1087" t="str">
        <f>IF(AND(SUM(YDWK1!F7:G14)=0,B!E11="OPTIM",OR(G86&lt;0,M86&lt;0,Worksheet!G97&lt;0,Worksheet!M97&lt;0)),"Need Calibration",IF(AND(SUM(CALIBRATION!G6:'CALIBRATION'!H21)=0,B!E11&lt;&gt;"OPTIM",SUM(G46:G61)&gt;0),"Need Calibration",""))</f>
        <v/>
      </c>
      <c r="K71" s="1087"/>
      <c r="L71" s="979"/>
      <c r="M71" s="979"/>
      <c r="N71" s="979"/>
      <c r="O71" s="316"/>
    </row>
    <row r="72" spans="1:15" s="314" customFormat="1" ht="20.100000000000001" hidden="1" customHeight="1" x14ac:dyDescent="0.55000000000000004">
      <c r="B72" s="316"/>
      <c r="C72" s="316"/>
      <c r="D72" s="956"/>
      <c r="E72" s="866"/>
      <c r="F72" s="316"/>
      <c r="G72" s="316"/>
      <c r="H72" s="316"/>
      <c r="I72" s="316"/>
      <c r="J72" s="316"/>
      <c r="K72" s="316"/>
      <c r="L72" s="316"/>
      <c r="M72" s="316"/>
      <c r="N72" s="316"/>
      <c r="O72" s="316"/>
    </row>
    <row r="73" spans="1:15" s="314" customFormat="1" ht="20.100000000000001" hidden="1" customHeight="1" x14ac:dyDescent="0.55000000000000004">
      <c r="B73" s="316"/>
      <c r="C73" s="316"/>
      <c r="D73" s="854" t="s">
        <v>477</v>
      </c>
      <c r="E73" s="854" t="s">
        <v>547</v>
      </c>
      <c r="F73" s="854" t="s">
        <v>548</v>
      </c>
      <c r="G73" s="316"/>
      <c r="H73" s="316"/>
      <c r="I73" s="316"/>
      <c r="J73" s="316"/>
      <c r="K73" s="854" t="s">
        <v>478</v>
      </c>
      <c r="L73" s="857" t="s">
        <v>545</v>
      </c>
      <c r="M73" s="854" t="s">
        <v>479</v>
      </c>
      <c r="N73" s="317"/>
      <c r="O73" s="317"/>
    </row>
    <row r="74" spans="1:15" s="314" customFormat="1" ht="20.100000000000001" hidden="1" customHeight="1" x14ac:dyDescent="0.55000000000000004">
      <c r="B74" s="316"/>
      <c r="C74" s="316"/>
      <c r="D74" s="852">
        <f>B12</f>
        <v>0</v>
      </c>
      <c r="E74" s="852">
        <f>C12</f>
        <v>0</v>
      </c>
      <c r="F74" s="852">
        <f>N12</f>
        <v>0</v>
      </c>
      <c r="G74" s="316"/>
      <c r="H74" s="317"/>
      <c r="I74" s="847"/>
      <c r="J74" s="316"/>
      <c r="K74" s="852">
        <f>G12</f>
        <v>0</v>
      </c>
      <c r="L74" s="852">
        <f>H12</f>
        <v>0</v>
      </c>
      <c r="M74" s="852">
        <f>I12</f>
        <v>0</v>
      </c>
      <c r="N74" s="317"/>
      <c r="O74" s="317"/>
    </row>
    <row r="75" spans="1:15" s="314" customFormat="1" ht="20.100000000000001" hidden="1" customHeight="1" x14ac:dyDescent="0.55000000000000004">
      <c r="B75" s="316"/>
      <c r="C75" s="316"/>
      <c r="D75" s="855" t="s">
        <v>537</v>
      </c>
      <c r="E75" s="855" t="s">
        <v>537</v>
      </c>
      <c r="F75" s="855" t="s">
        <v>537</v>
      </c>
      <c r="G75" s="316"/>
      <c r="H75" s="317"/>
      <c r="I75" s="317"/>
      <c r="J75" s="316"/>
      <c r="K75" s="855" t="s">
        <v>546</v>
      </c>
      <c r="L75" s="855" t="s">
        <v>537</v>
      </c>
      <c r="M75" s="855" t="s">
        <v>537</v>
      </c>
      <c r="N75" s="317"/>
      <c r="O75" s="317"/>
    </row>
    <row r="76" spans="1:15" s="314" customFormat="1" ht="20.100000000000001" hidden="1" customHeight="1" x14ac:dyDescent="0.55000000000000004">
      <c r="B76" s="316"/>
      <c r="C76" s="316"/>
      <c r="D76" s="852">
        <f>B14</f>
        <v>0</v>
      </c>
      <c r="E76" s="852">
        <f>C14</f>
        <v>0</v>
      </c>
      <c r="F76" s="852">
        <f>N14</f>
        <v>0</v>
      </c>
      <c r="G76" s="316"/>
      <c r="H76" s="317"/>
      <c r="I76" s="847"/>
      <c r="J76" s="316"/>
      <c r="K76" s="852">
        <f>G14</f>
        <v>0</v>
      </c>
      <c r="L76" s="852">
        <f>H14</f>
        <v>0</v>
      </c>
      <c r="M76" s="852">
        <f>I14</f>
        <v>0</v>
      </c>
      <c r="N76" s="316"/>
      <c r="O76" s="316"/>
    </row>
    <row r="77" spans="1:15" s="314" customFormat="1" ht="20.100000000000001" hidden="1" customHeight="1" x14ac:dyDescent="0.55000000000000004">
      <c r="B77" s="316"/>
      <c r="C77" s="316"/>
      <c r="D77" s="856">
        <f>B15</f>
        <v>0</v>
      </c>
      <c r="E77" s="856">
        <f>C15</f>
        <v>0</v>
      </c>
      <c r="F77" s="856">
        <f>N15</f>
        <v>0</v>
      </c>
      <c r="G77" s="316"/>
      <c r="H77" s="317"/>
      <c r="I77" s="847"/>
      <c r="J77" s="316"/>
      <c r="K77" s="856">
        <f>I29</f>
        <v>0</v>
      </c>
      <c r="L77" s="856">
        <f>I30</f>
        <v>0</v>
      </c>
      <c r="M77" s="856">
        <f>K29</f>
        <v>0</v>
      </c>
      <c r="N77" s="316"/>
      <c r="O77" s="316"/>
    </row>
    <row r="78" spans="1:15" ht="20.100000000000001" hidden="1" customHeight="1" x14ac:dyDescent="0.4">
      <c r="B78" s="923"/>
      <c r="C78" s="923"/>
      <c r="D78" s="316"/>
      <c r="E78" s="316"/>
      <c r="F78" s="316"/>
      <c r="G78" s="788"/>
      <c r="H78" s="316"/>
      <c r="I78" s="316"/>
      <c r="J78" s="316"/>
      <c r="K78" s="788"/>
      <c r="L78" s="316"/>
      <c r="M78" s="316"/>
      <c r="N78" s="923"/>
      <c r="O78" s="923"/>
    </row>
    <row r="79" spans="1:15" ht="20.100000000000001" hidden="1" customHeight="1" x14ac:dyDescent="0.4">
      <c r="B79" s="923"/>
      <c r="C79" s="923"/>
      <c r="D79" s="1083" t="s">
        <v>469</v>
      </c>
      <c r="E79" s="1083"/>
      <c r="F79" s="1083"/>
      <c r="G79" s="1083"/>
      <c r="H79" s="316"/>
      <c r="I79" s="316"/>
      <c r="J79" s="1083" t="s">
        <v>470</v>
      </c>
      <c r="K79" s="1083"/>
      <c r="L79" s="1083"/>
      <c r="M79" s="1083"/>
      <c r="N79" s="923"/>
      <c r="O79" s="923"/>
    </row>
    <row r="80" spans="1:15" ht="20.100000000000001" hidden="1" customHeight="1" x14ac:dyDescent="0.4">
      <c r="B80" s="923"/>
      <c r="C80" s="923"/>
      <c r="D80" s="1085" t="s">
        <v>471</v>
      </c>
      <c r="E80" s="1085"/>
      <c r="F80" s="1085" t="s">
        <v>472</v>
      </c>
      <c r="G80" s="1085"/>
      <c r="H80" s="316"/>
      <c r="I80" s="316"/>
      <c r="J80" s="1085" t="s">
        <v>471</v>
      </c>
      <c r="K80" s="1085"/>
      <c r="L80" s="1085">
        <f>'FREE ME'!F17</f>
        <v>0</v>
      </c>
      <c r="M80" s="1085"/>
      <c r="N80" s="923"/>
      <c r="O80" s="923"/>
    </row>
    <row r="81" spans="2:15" ht="20.100000000000001" hidden="1" customHeight="1" x14ac:dyDescent="0.4">
      <c r="B81" s="923"/>
      <c r="C81" s="923"/>
      <c r="D81" s="852">
        <f>IF(Q1="PR",E81,IF(YDWK1!M7=0,YDWK1!N7,YDWK1!M7))</f>
        <v>0</v>
      </c>
      <c r="E81" s="853">
        <f>IF(Q1&lt;&gt;"PR",YDWK1!N7,B!U3)</f>
        <v>0</v>
      </c>
      <c r="F81" s="852">
        <f>IF(Q1="PR",G81,IF(YDWK1!M8=0,YDWK1!N8,YDWK1!M8))</f>
        <v>0</v>
      </c>
      <c r="G81" s="853">
        <f>IF(Q1&lt;&gt;"PR",YDWK1!N8,B!U4)</f>
        <v>0</v>
      </c>
      <c r="H81" s="316"/>
      <c r="I81" s="316"/>
      <c r="J81" s="852">
        <f>IF(Q1="PR",K81,IF(YDWK1!M9=0,YDWK1!N9,YDWK1!M9))</f>
        <v>0</v>
      </c>
      <c r="K81" s="853">
        <f>IF(Q1&lt;&gt;"PR",YDWK1!N9,B!U7)</f>
        <v>0</v>
      </c>
      <c r="L81" s="852">
        <f>IF(Q1="PR",M81,IF(YDWK1!M10=0,YDWK1!N10,YDWK1!M10))</f>
        <v>0</v>
      </c>
      <c r="M81" s="853">
        <f>IF(Q1&lt;&gt;"PR",YDWK1!N10,B!U10)</f>
        <v>0</v>
      </c>
      <c r="N81" s="923"/>
      <c r="O81" s="923"/>
    </row>
    <row r="82" spans="2:15" ht="20.100000000000001" hidden="1" customHeight="1" x14ac:dyDescent="0.4">
      <c r="B82" s="923"/>
      <c r="C82" s="923"/>
      <c r="D82" s="1084" t="s">
        <v>484</v>
      </c>
      <c r="E82" s="1084"/>
      <c r="F82" s="1084" t="s">
        <v>480</v>
      </c>
      <c r="G82" s="1084"/>
      <c r="H82" s="316"/>
      <c r="I82" s="316"/>
      <c r="J82" s="1084" t="s">
        <v>484</v>
      </c>
      <c r="K82" s="1084"/>
      <c r="L82" s="1084" t="str">
        <f>IF(L80="        FINISH LINE","Corrected Finish Line","Corrected Finish Sector")</f>
        <v>Corrected Finish Sector</v>
      </c>
      <c r="M82" s="1084"/>
      <c r="N82" s="923"/>
      <c r="O82" s="923"/>
    </row>
    <row r="83" spans="2:15" ht="20.100000000000001" hidden="1" customHeight="1" x14ac:dyDescent="0.4">
      <c r="B83" s="923"/>
      <c r="C83" s="923"/>
      <c r="D83" s="852">
        <f>IF(Q1="PR",D81,IF('FREE ME'!C10&lt;B!M5,D81+$C$27,D81+$O$27))</f>
        <v>0</v>
      </c>
      <c r="E83" s="825"/>
      <c r="F83" s="852">
        <f>IF(Q1="PR",F81,IF('FREE ME'!C11&lt;B!$M$5,F81+$C$27,F81+$O$27))</f>
        <v>0</v>
      </c>
      <c r="G83" s="789"/>
      <c r="H83" s="316"/>
      <c r="I83" s="316"/>
      <c r="J83" s="852">
        <f>IF(Q1="PR",J81,IF('FREE ME'!C14&lt;B!M5,J81+$C$27,J81+$O$27))</f>
        <v>0</v>
      </c>
      <c r="K83" s="825"/>
      <c r="L83" s="852">
        <f>IF(Q1="PR",L81,IF('FREE ME'!C17&lt;B!M5,L81+$C$27,L81+$O$27))</f>
        <v>0</v>
      </c>
      <c r="M83" s="789"/>
      <c r="N83" s="923"/>
      <c r="O83" s="923"/>
    </row>
    <row r="84" spans="2:15" ht="20.100000000000001" hidden="1" customHeight="1" x14ac:dyDescent="0.4">
      <c r="B84" s="923"/>
      <c r="C84" s="923"/>
      <c r="D84" s="779"/>
      <c r="E84" s="325"/>
      <c r="F84" s="777"/>
      <c r="G84" s="780"/>
      <c r="H84" s="316"/>
      <c r="I84" s="316"/>
      <c r="J84" s="1088" t="str">
        <f>IF(AND(N3&gt;=42278,L80="   Finish Sector"),"Invalid Finish Type","")</f>
        <v/>
      </c>
      <c r="K84" s="1089"/>
      <c r="L84" s="1089"/>
      <c r="M84" s="1090"/>
      <c r="N84" s="1009"/>
      <c r="O84" s="923"/>
    </row>
    <row r="85" spans="2:15" ht="22" hidden="1" customHeight="1" thickBot="1" x14ac:dyDescent="0.45">
      <c r="B85" s="923"/>
      <c r="C85" s="923"/>
      <c r="D85" s="781"/>
      <c r="E85" s="316"/>
      <c r="F85" s="325" t="s">
        <v>475</v>
      </c>
      <c r="G85" s="789">
        <f>'FREE ME'!L11</f>
        <v>0</v>
      </c>
      <c r="H85" s="316"/>
      <c r="I85" s="316"/>
      <c r="J85" s="782"/>
      <c r="K85" s="325"/>
      <c r="L85" s="325" t="s">
        <v>475</v>
      </c>
      <c r="M85" s="789">
        <f>2*'FREE ME'!L15</f>
        <v>0</v>
      </c>
      <c r="N85" s="923"/>
      <c r="O85" s="923"/>
    </row>
    <row r="86" spans="2:15" ht="22" hidden="1" customHeight="1" thickBot="1" x14ac:dyDescent="0.45">
      <c r="B86" s="923"/>
      <c r="C86" s="923"/>
      <c r="D86" s="782" t="s">
        <v>564</v>
      </c>
      <c r="E86" s="852">
        <f>IF(OR($D$9="Metres",Q1="PR"),D83-F83,(D83-F83)/3.2808399)</f>
        <v>0</v>
      </c>
      <c r="F86" s="858" t="str">
        <f>IF(OR(G85=0,G85="N/A"),"No Penalty",IF(OR(AND(G85&gt;100,E86&lt;=$H$88),AND(G85&lt;=100,$H$88=1000,E86&lt;=10*G85),AND(G85&lt;=100,$H$88=900,E86&lt;=(10*G85)-100)),"No Penalty",IF(AND(G85&lt;100,OR(AND($H$88=1000,E86&lt;=10*G85),AND($H$88=900,E86&lt;=10*G85-100))),"No Penalty","LoH Penalty")))</f>
        <v>No Penalty</v>
      </c>
      <c r="G86" s="791" t="str">
        <f>IF(F86="No Penalty","",IF(G85&gt;100,(E86-$H$88)*-0.1,IF(AND(G85&lt;=100,$H$88=1000,E86&gt;10*G85),-0.1*(E86-10*G85),-0.1*(E86-(10*G85-100)))))</f>
        <v/>
      </c>
      <c r="H86" s="316"/>
      <c r="I86" s="316"/>
      <c r="J86" s="782" t="s">
        <v>564</v>
      </c>
      <c r="K86" s="852" t="str">
        <f>IF(L80=0,"N/A",IF(OR(Q1="PR",$D$9="Metres"),J83-L83,(J83-L83)/3.2808399))</f>
        <v>N/A</v>
      </c>
      <c r="L86" s="858" t="str">
        <f>IF(OR(M85=0,M85="N/A"),"No Penalty",IF(OR(AND(M85&gt;100,K86&lt;=$H$88),AND(M85&lt;=100,$H$88=1000,K86&lt;=10*M85),AND(M85&lt;=100,$H$88=900,K86&lt;=(10*M85)-100)),"No Penalty",IF(AND(M85&lt;100,OR(AND($H$88=1000,K86&lt;=10*M85),AND($H$88=900,K86&lt;=10*M85-100))),"No Penalty","LoH Penalty")))</f>
        <v>No Penalty</v>
      </c>
      <c r="M86" s="791" t="str">
        <f>IF(L86="No Penalty","",IF(M85&gt;100,(K86-$H$88)*-0.1,IF(AND(M85&lt;=100,$H$88=1000,K86&gt;10*M85),-0.1*(K86-10*M85),-0.1*(K86-(10*M85-100)))))</f>
        <v/>
      </c>
      <c r="N86" s="923"/>
      <c r="O86" s="923"/>
    </row>
    <row r="87" spans="2:15" ht="22" hidden="1" customHeight="1" x14ac:dyDescent="0.4">
      <c r="B87" s="923"/>
      <c r="C87" s="923"/>
      <c r="D87" s="783"/>
      <c r="E87" s="785"/>
      <c r="F87" s="784" t="s">
        <v>476</v>
      </c>
      <c r="G87" s="790">
        <f>IF(F86="NO PENALTY",G85,G85+G86)</f>
        <v>0</v>
      </c>
      <c r="H87" s="316"/>
      <c r="I87" s="316"/>
      <c r="J87" s="783"/>
      <c r="K87" s="785"/>
      <c r="L87" s="784" t="s">
        <v>476</v>
      </c>
      <c r="M87" s="790">
        <f>IF(AND(N3&gt;=42278,'FREE ME'!F17="   FINISH SECTOR"),"N/A",IF(L86="NO PENALTY",M85,IF(AND(L86&lt;&gt;"NO PENALTY",ABS(M86)&gt;=M85),0,M85+M86)))</f>
        <v>0</v>
      </c>
      <c r="N87" s="923"/>
      <c r="O87" s="923"/>
    </row>
    <row r="88" spans="2:15" ht="20.100000000000001" hidden="1" customHeight="1" x14ac:dyDescent="0.4">
      <c r="B88" s="923"/>
      <c r="C88" s="923"/>
      <c r="D88" s="325"/>
      <c r="E88" s="777"/>
      <c r="F88" s="325"/>
      <c r="G88" s="316"/>
      <c r="H88" s="795">
        <f>IF('FREE ME'!H10="N/A",900,1000)</f>
        <v>1000</v>
      </c>
      <c r="I88" s="316"/>
      <c r="J88" s="325"/>
      <c r="K88" s="777"/>
      <c r="L88" s="325"/>
      <c r="M88" s="325"/>
      <c r="N88" s="923"/>
      <c r="O88" s="923"/>
    </row>
    <row r="89" spans="2:15" ht="20.100000000000001" hidden="1" customHeight="1" x14ac:dyDescent="0.4">
      <c r="B89" s="923"/>
      <c r="C89" s="923"/>
      <c r="D89" s="316"/>
      <c r="E89" s="316"/>
      <c r="F89" s="316"/>
      <c r="G89" s="316"/>
      <c r="H89" s="316"/>
      <c r="I89" s="316"/>
      <c r="J89" s="316"/>
      <c r="K89" s="316"/>
      <c r="L89" s="316"/>
      <c r="M89" s="316"/>
      <c r="N89" s="923"/>
      <c r="O89" s="923"/>
    </row>
    <row r="90" spans="2:15" ht="20.100000000000001" hidden="1" customHeight="1" x14ac:dyDescent="0.4">
      <c r="B90" s="923"/>
      <c r="C90" s="923"/>
      <c r="D90" s="1083" t="s">
        <v>473</v>
      </c>
      <c r="E90" s="1083"/>
      <c r="F90" s="1083"/>
      <c r="G90" s="1083"/>
      <c r="H90" s="316"/>
      <c r="I90" s="316"/>
      <c r="J90" s="1083" t="s">
        <v>474</v>
      </c>
      <c r="K90" s="1083"/>
      <c r="L90" s="1083"/>
      <c r="M90" s="1083"/>
      <c r="N90" s="923"/>
      <c r="O90" s="923"/>
    </row>
    <row r="91" spans="2:15" ht="20.100000000000001" hidden="1" customHeight="1" x14ac:dyDescent="0.4">
      <c r="B91" s="923"/>
      <c r="C91" s="923"/>
      <c r="D91" s="1085" t="s">
        <v>471</v>
      </c>
      <c r="E91" s="1085"/>
      <c r="F91" s="1085" t="s">
        <v>472</v>
      </c>
      <c r="G91" s="1085"/>
      <c r="H91" s="316"/>
      <c r="I91" s="316"/>
      <c r="J91" s="1085" t="str">
        <f>IF('FREE ME'!G26="NONE IDENTIFIED","N/A","START FIX")</f>
        <v>START FIX</v>
      </c>
      <c r="K91" s="1085"/>
      <c r="L91" s="1085">
        <f>IF(J91="N/A","N/A",IF('FREE ME'!F31="",'FREE ME'!F30,'FREE ME'!F31))</f>
        <v>0</v>
      </c>
      <c r="M91" s="1085"/>
      <c r="N91" s="923"/>
      <c r="O91" s="923"/>
    </row>
    <row r="92" spans="2:15" ht="20.100000000000001" hidden="1" customHeight="1" x14ac:dyDescent="0.4">
      <c r="B92" s="923"/>
      <c r="C92" s="923"/>
      <c r="D92" s="852">
        <f>IF(Q1="PR",E92,IF(YDWK1!M11=0,YDWK1!N11,YDWK1!M11))</f>
        <v>0</v>
      </c>
      <c r="E92" s="853">
        <f>IF(Q1&lt;&gt;"PR",YDWK1!N11,B!U13)</f>
        <v>0</v>
      </c>
      <c r="F92" s="852">
        <f>IF(Q1="PR",G92,IF(YDWK1!M12=0,YDWK1!N12,YDWK1!M12))</f>
        <v>0</v>
      </c>
      <c r="G92" s="853">
        <f>IF(Q1&lt;&gt;"PR",YDWK1!N12,B!U17)</f>
        <v>0</v>
      </c>
      <c r="H92" s="316"/>
      <c r="I92" s="316"/>
      <c r="J92" s="852">
        <f>IF(Q1="PR",K92,IF(YDWK1!M13=0,YDWK1!N13,YDWK1!M13))</f>
        <v>0</v>
      </c>
      <c r="K92" s="853">
        <f>IF(J91="N/A","N/A",IF(Q1&lt;&gt;"PR",YDWK1!N13,B!U20))</f>
        <v>0</v>
      </c>
      <c r="L92" s="852">
        <f>IF(Q1="PR",M92,IF(YDWK1!M14=0,YDWK1!N14,YDWK1!M14))</f>
        <v>0</v>
      </c>
      <c r="M92" s="853">
        <f>IF(J91="N/A","N/A",IF(Q1&lt;&gt;"PR",YDWK1!N14,IF(AND(Q1="PR",'FREE ME'!H31&lt;&gt;""),B!U24,B!U23)))</f>
        <v>0</v>
      </c>
      <c r="N92" s="923"/>
      <c r="O92" s="923"/>
    </row>
    <row r="93" spans="2:15" ht="20.100000000000001" hidden="1" customHeight="1" x14ac:dyDescent="0.4">
      <c r="B93" s="923"/>
      <c r="C93" s="923"/>
      <c r="D93" s="1084" t="s">
        <v>484</v>
      </c>
      <c r="E93" s="1084"/>
      <c r="F93" s="1084" t="s">
        <v>480</v>
      </c>
      <c r="G93" s="1084"/>
      <c r="H93" s="316"/>
      <c r="I93" s="316"/>
      <c r="J93" s="1084" t="s">
        <v>484</v>
      </c>
      <c r="K93" s="1084"/>
      <c r="L93" s="1084" t="str">
        <f>IF(L91="N/A","N/A",IF(L91="        FINISH LINE","Corrected Finish Line","Corrected Finish Sector"))</f>
        <v>Corrected Finish Sector</v>
      </c>
      <c r="M93" s="1084"/>
      <c r="N93" s="923"/>
      <c r="O93" s="923"/>
    </row>
    <row r="94" spans="2:15" ht="20.100000000000001" hidden="1" customHeight="1" x14ac:dyDescent="0.4">
      <c r="B94" s="923"/>
      <c r="C94" s="923"/>
      <c r="D94" s="852">
        <f>IF(Q1="PR",D92,IF('FREE ME'!C20&lt;B!M5,D92+$C$27,D92+$O$27))</f>
        <v>0</v>
      </c>
      <c r="E94" s="825"/>
      <c r="F94" s="852">
        <f>IF(Q1="PR",F92,IF('FREE ME'!C24&lt;B!M5,F92+$C$27,F92+$O$27))</f>
        <v>0</v>
      </c>
      <c r="G94" s="789"/>
      <c r="H94" s="316"/>
      <c r="I94" s="316"/>
      <c r="J94" s="852">
        <f>IF(J91="N/A","N/A",IF(Q1="PR",J92,IF('FREE ME'!C27&lt;B!M5,J92+$C$27,J92+$O$27)))</f>
        <v>0</v>
      </c>
      <c r="K94" s="825"/>
      <c r="L94" s="852">
        <f>IF(J91="N/A","N/A",IF(Q1="PR",L92,IF(MAX('FREE ME'!C30,'FREE ME'!C31)&lt;B!M5,L92+$C$27,L92+$O$27)))</f>
        <v>0</v>
      </c>
      <c r="M94" s="789"/>
      <c r="N94" s="923"/>
      <c r="O94" s="923"/>
    </row>
    <row r="95" spans="2:15" ht="20.100000000000001" hidden="1" customHeight="1" x14ac:dyDescent="0.4">
      <c r="B95" s="923"/>
      <c r="C95" s="923"/>
      <c r="D95" s="786"/>
      <c r="E95" s="325"/>
      <c r="F95" s="778"/>
      <c r="G95" s="780"/>
      <c r="H95" s="316"/>
      <c r="I95" s="316"/>
      <c r="J95" s="1079" t="str">
        <f>IF(AND(N3&gt;=42278,L91="    Finish Sector"),"Invalid Finish Type","")</f>
        <v/>
      </c>
      <c r="K95" s="1080"/>
      <c r="L95" s="1080"/>
      <c r="M95" s="1081"/>
      <c r="N95" s="923"/>
      <c r="O95" s="923"/>
    </row>
    <row r="96" spans="2:15" ht="22" hidden="1" customHeight="1" thickBot="1" x14ac:dyDescent="0.45">
      <c r="B96" s="923"/>
      <c r="C96" s="923"/>
      <c r="D96" s="782"/>
      <c r="E96" s="325"/>
      <c r="F96" s="325" t="s">
        <v>475</v>
      </c>
      <c r="G96" s="789">
        <f>SUM('FREE ME'!L21:L24)</f>
        <v>0</v>
      </c>
      <c r="H96" s="316"/>
      <c r="I96" s="316"/>
      <c r="J96" s="782"/>
      <c r="K96" s="325"/>
      <c r="L96" s="325" t="s">
        <v>475</v>
      </c>
      <c r="M96" s="789">
        <f>SUM('FREE ME'!L27:L31)</f>
        <v>0</v>
      </c>
      <c r="N96" s="923"/>
      <c r="O96" s="923"/>
    </row>
    <row r="97" spans="2:15" ht="22" hidden="1" customHeight="1" thickBot="1" x14ac:dyDescent="0.45">
      <c r="B97" s="923"/>
      <c r="C97" s="923"/>
      <c r="D97" s="782" t="s">
        <v>564</v>
      </c>
      <c r="E97" s="852">
        <f>IF(OR(Q1="PR",$D$9="Metres"),D94-F94,(D94-F94)/3.2808399)</f>
        <v>0</v>
      </c>
      <c r="F97" s="858" t="str">
        <f>IF(OR(G96=0,G96="N/A"),"No Penalty",IF(OR(AND(G96&gt;100,E97&lt;=$H$88),AND(G96&lt;=100,$H$88=1000,E97&lt;=10*G96),AND(G96&lt;=100,$H$88=900,E97&lt;=(10*G96)-100)),"No Penalty",IF(AND(G96&lt;100,OR(AND($H$88=1000,E97&lt;=10*G96),AND($H$88=900,E97&lt;=10*G96-100))),"No Penalty","LoH Penalty")))</f>
        <v>No Penalty</v>
      </c>
      <c r="G97" s="791" t="str">
        <f>IF(F97="No Penalty","",IF(G96&gt;100,(E97-$H$88)*-0.1,IF(AND(G96&lt;=100,$H$88=1000,E97&gt;10*G96),-0.1*(E97-10*G96),-0.1*(E97-(10*G96-100)))))</f>
        <v/>
      </c>
      <c r="H97" s="316"/>
      <c r="I97" s="316"/>
      <c r="J97" s="782" t="s">
        <v>564</v>
      </c>
      <c r="K97" s="852">
        <f>IF('FREE ME'!G26="None Identified","N/A",IF(OR(Q1="PR",$D$9="Metres"),J94-L94,(J94-L94)/3.2808399))</f>
        <v>0</v>
      </c>
      <c r="L97" s="858" t="str">
        <f>IF(OR(M96=0,M96="N/A"),"No Penalty",IF(OR(AND(M96&gt;100,K97&lt;=$H$88),AND(M96&lt;=100,$H$88=1000,K97&lt;=10*M96),AND(M96&lt;=100,$H$88=900,K97&lt;=(10*M96)-100)),"No Penalty",IF(AND(M96&lt;100,OR(AND($H$88=1000,K97&lt;=10*M96),AND($H$88=900,K97&lt;=10*M96-100))),"No Penalty","LoH Penalty")))</f>
        <v>No Penalty</v>
      </c>
      <c r="M97" s="791" t="str">
        <f>IF(L97="No Penalty","",IF(M96&gt;100,(K97-$H$88)*-0.1,IF(AND(M96&lt;=100,$H$88=1000,K97&gt;10*M96),-0.1*(K97-10*M96),-0.1*(K97-(10*M96-100)))))</f>
        <v/>
      </c>
      <c r="N97" s="923"/>
      <c r="O97" s="923"/>
    </row>
    <row r="98" spans="2:15" ht="22" hidden="1" customHeight="1" x14ac:dyDescent="0.4">
      <c r="B98" s="923"/>
      <c r="C98" s="923"/>
      <c r="D98" s="985"/>
      <c r="E98" s="788"/>
      <c r="F98" s="787" t="s">
        <v>476</v>
      </c>
      <c r="G98" s="790">
        <f>IF(F97="NO PENALTY",G96,G96+G97)</f>
        <v>0</v>
      </c>
      <c r="H98" s="316"/>
      <c r="I98" s="316"/>
      <c r="J98" s="985"/>
      <c r="K98" s="788"/>
      <c r="L98" s="787" t="s">
        <v>476</v>
      </c>
      <c r="M98" s="790">
        <f>IF(OR(K92="N/A",'FREE ME'!C32&lt;&gt;"",'FREE ME'!C33&lt;&gt;""),"N/A",IF(L97="NO PENALTY",M96,IF(AND(L97&lt;&gt;"NO PENALTY",ABS(M97)&gt;=M96),0,M96+M97)))</f>
        <v>0</v>
      </c>
      <c r="N98" s="923"/>
      <c r="O98" s="923"/>
    </row>
    <row r="99" spans="2:15" ht="20.100000000000001" hidden="1" customHeight="1" x14ac:dyDescent="0.4">
      <c r="B99" s="923"/>
      <c r="C99" s="923"/>
      <c r="D99" s="923"/>
      <c r="E99" s="923"/>
      <c r="F99" s="923"/>
      <c r="G99" s="923"/>
      <c r="H99" s="923"/>
      <c r="I99" s="923"/>
      <c r="J99" s="923"/>
      <c r="K99" s="923"/>
      <c r="L99" s="923"/>
      <c r="M99" s="923"/>
      <c r="N99" s="923"/>
      <c r="O99" s="923"/>
    </row>
    <row r="100" spans="2:15" ht="20.100000000000001" hidden="1" customHeight="1" x14ac:dyDescent="0.4">
      <c r="B100" s="923"/>
      <c r="C100" s="923"/>
      <c r="D100" s="923"/>
      <c r="E100" s="923"/>
      <c r="F100" s="923"/>
      <c r="G100" s="923"/>
      <c r="H100" s="923"/>
      <c r="I100" s="923"/>
      <c r="J100" s="923"/>
      <c r="K100" s="923"/>
      <c r="L100" s="923"/>
      <c r="M100" s="923"/>
      <c r="N100" s="923"/>
      <c r="O100" s="923"/>
    </row>
    <row r="101" spans="2:15" ht="20.100000000000001" hidden="1" customHeight="1" x14ac:dyDescent="0.4">
      <c r="B101" s="923"/>
      <c r="C101" s="923"/>
      <c r="D101" s="923"/>
      <c r="E101" s="923"/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</row>
    <row r="102" spans="2:15" ht="12.75" customHeight="1" x14ac:dyDescent="0.4">
      <c r="B102" s="923"/>
      <c r="C102" s="923"/>
      <c r="D102" s="923"/>
      <c r="E102" s="923"/>
      <c r="F102" s="923"/>
      <c r="G102" s="923"/>
      <c r="H102" s="923"/>
      <c r="I102" s="923"/>
      <c r="J102" s="923"/>
      <c r="K102" s="923"/>
      <c r="L102" s="923"/>
      <c r="M102" s="923"/>
      <c r="N102" s="923"/>
      <c r="O102" s="923"/>
    </row>
    <row r="103" spans="2:15" ht="12.75" customHeight="1" x14ac:dyDescent="0.4"/>
    <row r="104" spans="2:15" ht="12.75" customHeight="1" x14ac:dyDescent="0.4"/>
    <row r="105" spans="2:15" ht="12.75" customHeight="1" x14ac:dyDescent="0.4"/>
    <row r="106" spans="2:15" ht="12.75" customHeight="1" x14ac:dyDescent="0.4"/>
    <row r="107" spans="2:15" ht="12.75" customHeight="1" x14ac:dyDescent="0.4"/>
    <row r="108" spans="2:15" ht="12.75" customHeight="1" x14ac:dyDescent="0.4"/>
    <row r="109" spans="2:15" ht="12.75" customHeight="1" x14ac:dyDescent="0.4"/>
    <row r="110" spans="2:15" ht="12.75" customHeight="1" x14ac:dyDescent="0.4"/>
    <row r="111" spans="2:15" ht="12.75" customHeight="1" x14ac:dyDescent="0.4"/>
    <row r="112" spans="2:15" ht="12.75" customHeight="1" x14ac:dyDescent="0.4"/>
  </sheetData>
  <sheetProtection password="C630" sheet="1" objects="1" scenarios="1" selectLockedCells="1" selectUnlockedCells="1"/>
  <mergeCells count="68">
    <mergeCell ref="B6:C6"/>
    <mergeCell ref="D6:F6"/>
    <mergeCell ref="B7:C7"/>
    <mergeCell ref="E17:E20"/>
    <mergeCell ref="B23:C23"/>
    <mergeCell ref="L17:L20"/>
    <mergeCell ref="G25:H25"/>
    <mergeCell ref="G27:H27"/>
    <mergeCell ref="D7:F7"/>
    <mergeCell ref="B9:C9"/>
    <mergeCell ref="G23:H23"/>
    <mergeCell ref="G18:I18"/>
    <mergeCell ref="G19:H19"/>
    <mergeCell ref="G20:H20"/>
    <mergeCell ref="K56:K61"/>
    <mergeCell ref="N5:O5"/>
    <mergeCell ref="N23:O23"/>
    <mergeCell ref="N1:O1"/>
    <mergeCell ref="C3:E3"/>
    <mergeCell ref="L1:M1"/>
    <mergeCell ref="B1:C1"/>
    <mergeCell ref="D1:E1"/>
    <mergeCell ref="F1:K1"/>
    <mergeCell ref="F2:K3"/>
    <mergeCell ref="C4:E4"/>
    <mergeCell ref="L4:M4"/>
    <mergeCell ref="B5:D5"/>
    <mergeCell ref="E9:M9"/>
    <mergeCell ref="I6:J6"/>
    <mergeCell ref="K6:M6"/>
    <mergeCell ref="G42:H42"/>
    <mergeCell ref="E45:F45"/>
    <mergeCell ref="B69:G69"/>
    <mergeCell ref="B59:D59"/>
    <mergeCell ref="B62:H62"/>
    <mergeCell ref="B57:D57"/>
    <mergeCell ref="B37:H37"/>
    <mergeCell ref="K37:L37"/>
    <mergeCell ref="N37:O37"/>
    <mergeCell ref="K40:L40"/>
    <mergeCell ref="B41:H41"/>
    <mergeCell ref="I37:J37"/>
    <mergeCell ref="J71:K71"/>
    <mergeCell ref="D93:E93"/>
    <mergeCell ref="F93:G93"/>
    <mergeCell ref="J93:K93"/>
    <mergeCell ref="J84:M84"/>
    <mergeCell ref="L93:M93"/>
    <mergeCell ref="D91:E91"/>
    <mergeCell ref="F91:G91"/>
    <mergeCell ref="J91:K91"/>
    <mergeCell ref="L91:M91"/>
    <mergeCell ref="J95:M95"/>
    <mergeCell ref="I36:J36"/>
    <mergeCell ref="M36:N36"/>
    <mergeCell ref="D90:G90"/>
    <mergeCell ref="J90:M90"/>
    <mergeCell ref="D79:G79"/>
    <mergeCell ref="D82:E82"/>
    <mergeCell ref="F82:G82"/>
    <mergeCell ref="J82:K82"/>
    <mergeCell ref="L82:M82"/>
    <mergeCell ref="J79:M79"/>
    <mergeCell ref="D80:E80"/>
    <mergeCell ref="F80:G80"/>
    <mergeCell ref="J80:K80"/>
    <mergeCell ref="L80:M80"/>
    <mergeCell ref="B71:G71"/>
  </mergeCells>
  <conditionalFormatting sqref="C3:E3 D7:F7">
    <cfRule type="expression" dxfId="50" priority="7" stopIfTrue="1">
      <formula>$N$1&lt;&gt;""</formula>
    </cfRule>
  </conditionalFormatting>
  <conditionalFormatting sqref="E5">
    <cfRule type="expression" dxfId="49" priority="5" stopIfTrue="1">
      <formula>$N$1&lt;&gt;""</formula>
    </cfRule>
  </conditionalFormatting>
  <conditionalFormatting sqref="H5">
    <cfRule type="expression" dxfId="48" priority="4" stopIfTrue="1">
      <formula>$N$1&lt;&gt;""</formula>
    </cfRule>
  </conditionalFormatting>
  <conditionalFormatting sqref="G87 M87 G98 M98">
    <cfRule type="expression" dxfId="47" priority="3" stopIfTrue="1">
      <formula>G87&lt;G85</formula>
    </cfRule>
  </conditionalFormatting>
  <conditionalFormatting sqref="C3:E3 D7:F7">
    <cfRule type="expression" dxfId="46" priority="39" stopIfTrue="1">
      <formula>$N$5="Free-W"</formula>
    </cfRule>
  </conditionalFormatting>
  <printOptions horizontalCentered="1" verticalCentered="1" gridLines="1"/>
  <pageMargins left="0.75" right="0.75" top="0.9" bottom="0.9" header="0" footer="0"/>
  <pageSetup scale="36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J31"/>
  <sheetViews>
    <sheetView showGridLines="0" showRowColHeaders="0" tabSelected="1" showOutlineSymbols="0" zoomScale="169" zoomScaleNormal="169" workbookViewId="0"/>
  </sheetViews>
  <sheetFormatPr defaultColWidth="18.71875" defaultRowHeight="13" customHeight="1" x14ac:dyDescent="0.4"/>
  <cols>
    <col min="1" max="1" width="5.44140625" customWidth="1"/>
    <col min="2" max="4" width="14.71875" customWidth="1"/>
    <col min="5" max="5" width="25.71875" customWidth="1"/>
    <col min="6" max="8" width="14.71875" customWidth="1"/>
    <col min="9" max="9" width="5.38671875" customWidth="1"/>
    <col min="10" max="10" width="9.1640625" customWidth="1"/>
  </cols>
  <sheetData>
    <row r="1" spans="1:10" ht="12.3" x14ac:dyDescent="0.4">
      <c r="A1" s="846">
        <f>'[1]ALL CLAIMS'!$B$20</f>
        <v>0</v>
      </c>
    </row>
    <row r="2" spans="1:10" ht="15" customHeight="1" x14ac:dyDescent="0.4">
      <c r="A2" s="313" t="str">
        <f>IF(OR(B!A10="PR",B!A40&lt;&gt;""),"X","")</f>
        <v/>
      </c>
      <c r="B2" s="1141" t="str">
        <f>'CLAIM CHECK'!B2</f>
        <v>Per Electronic Declaration</v>
      </c>
      <c r="C2" s="1142"/>
      <c r="D2" s="239" t="s">
        <v>372</v>
      </c>
      <c r="E2" s="164"/>
      <c r="F2" s="1004" t="str">
        <f>IF(H2&lt;&gt;"","Altitude Basis","")</f>
        <v/>
      </c>
      <c r="G2" s="1007">
        <v>1</v>
      </c>
      <c r="H2" s="756" t="str">
        <f>IF(AND(B!A2&gt;=42278,B!A10&lt;&gt;"PR"),B!A2,"")</f>
        <v/>
      </c>
      <c r="I2" s="1005" t="s">
        <v>600</v>
      </c>
      <c r="J2" s="240"/>
    </row>
    <row r="3" spans="1:10" ht="3" customHeight="1" x14ac:dyDescent="0.4">
      <c r="A3">
        <f>[2]YDWK3!$A$1</f>
        <v>0</v>
      </c>
      <c r="B3" s="240"/>
      <c r="C3" s="240"/>
      <c r="D3" s="240"/>
      <c r="E3" s="198"/>
      <c r="F3" s="198"/>
      <c r="G3" s="240"/>
      <c r="H3" s="240"/>
      <c r="I3" s="756" t="s">
        <v>601</v>
      </c>
      <c r="J3" s="240"/>
    </row>
    <row r="4" spans="1:10" ht="16.5" customHeight="1" thickBot="1" x14ac:dyDescent="0.45">
      <c r="B4" s="1143" t="s">
        <v>603</v>
      </c>
      <c r="C4" s="1143"/>
      <c r="D4" s="1143"/>
      <c r="E4" s="1144" t="s">
        <v>522</v>
      </c>
      <c r="F4" s="1144"/>
      <c r="G4" s="1144"/>
      <c r="H4" s="1144"/>
      <c r="I4" s="756" t="s">
        <v>602</v>
      </c>
      <c r="J4" s="201"/>
    </row>
    <row r="5" spans="1:10" ht="2.1" customHeight="1" x14ac:dyDescent="0.55000000000000004">
      <c r="B5" s="241"/>
      <c r="C5" s="242"/>
      <c r="D5" s="242"/>
      <c r="E5" s="242"/>
      <c r="F5" s="242"/>
      <c r="G5" s="242"/>
      <c r="H5" s="243"/>
      <c r="I5" s="240"/>
      <c r="J5" s="244"/>
    </row>
    <row r="6" spans="1:10" ht="2.1" customHeight="1" x14ac:dyDescent="0.4">
      <c r="B6" s="245"/>
      <c r="C6" s="246"/>
      <c r="D6" s="246"/>
      <c r="E6" s="247"/>
      <c r="F6" s="246"/>
      <c r="G6" s="228"/>
      <c r="H6" s="248"/>
      <c r="I6" s="249"/>
      <c r="J6" s="250"/>
    </row>
    <row r="7" spans="1:10" ht="3" customHeight="1" x14ac:dyDescent="0.4">
      <c r="B7" s="233"/>
      <c r="C7" s="251"/>
      <c r="D7" s="829"/>
      <c r="E7" s="829"/>
      <c r="F7" s="828"/>
      <c r="G7" s="252"/>
      <c r="H7" s="253"/>
      <c r="I7" s="254"/>
      <c r="J7" s="235"/>
    </row>
    <row r="8" spans="1:10" ht="15.75" customHeight="1" x14ac:dyDescent="0.4">
      <c r="B8" s="1138" t="str">
        <f>IF(AND(G2=1,H2&lt;&gt;""),"Select Altitude Basis above, then proceed",IF(G2=3,"Per SC3 2.4.3b, GPS altitude is viable for Silver or Gold claims only, and a 100-m correction will be applied",""))</f>
        <v/>
      </c>
      <c r="C8" s="1139"/>
      <c r="D8" s="1139"/>
      <c r="E8" s="1139"/>
      <c r="F8" s="1139"/>
      <c r="G8" s="1139"/>
      <c r="H8" s="1140"/>
      <c r="I8" s="136"/>
    </row>
    <row r="9" spans="1:10" ht="8.1" customHeight="1" x14ac:dyDescent="0.4">
      <c r="B9" s="234"/>
      <c r="C9" s="228"/>
      <c r="D9" s="1145" t="str">
        <f>IF(E10&lt;&gt;"","Calculated             TP Use Order","")</f>
        <v>Calculated             TP Use Order</v>
      </c>
      <c r="E9" s="826"/>
      <c r="F9" s="1147" t="str">
        <f>IF(E10&lt;&gt;"No Turn Points Declared","Confirm or Correct below","")</f>
        <v/>
      </c>
      <c r="G9" s="257"/>
      <c r="H9" s="258"/>
      <c r="I9" s="254"/>
    </row>
    <row r="10" spans="1:10" ht="15.75" customHeight="1" x14ac:dyDescent="0.4">
      <c r="B10" s="989"/>
      <c r="C10" s="159"/>
      <c r="D10" s="1145"/>
      <c r="E10" s="259" t="str">
        <f>IF(OR(SUMMARY!H30=0,SUMMARY!A20="NO"),"No Turn Points Declared",CONCATENATE(SUMMARY!H30," Turn Points Declared"))</f>
        <v>No Turn Points Declared</v>
      </c>
      <c r="F10" s="1147"/>
      <c r="G10" s="255"/>
      <c r="H10" s="256"/>
      <c r="I10" s="136"/>
    </row>
    <row r="11" spans="1:10" ht="8.1" customHeight="1" x14ac:dyDescent="0.4">
      <c r="B11" s="260"/>
      <c r="C11" s="261"/>
      <c r="D11" s="1146"/>
      <c r="E11" s="261"/>
      <c r="F11" s="1147"/>
      <c r="G11" s="262"/>
      <c r="H11" s="263"/>
      <c r="I11" s="254"/>
      <c r="J11" s="311"/>
    </row>
    <row r="12" spans="1:10" ht="15.75" customHeight="1" x14ac:dyDescent="0.5">
      <c r="B12" s="990">
        <f>IF(F12="",D12,F12)</f>
        <v>0</v>
      </c>
      <c r="C12" s="264">
        <f>SUMMARY!$L$27</f>
        <v>0</v>
      </c>
      <c r="D12" s="265">
        <f>IF(SUMMARY!B20="YES",SUMMARY!J27,0)</f>
        <v>0</v>
      </c>
      <c r="E12" s="266" t="str">
        <f>IF(OR(SUMMARY!A20="NO",SUMMARY!$D$18=0),"N/A",SUMMARY!$E$16)</f>
        <v>N/A</v>
      </c>
      <c r="F12" s="309"/>
      <c r="G12" s="823"/>
      <c r="H12" s="824"/>
      <c r="I12" s="240"/>
      <c r="J12" s="312"/>
    </row>
    <row r="13" spans="1:10" ht="3" customHeight="1" x14ac:dyDescent="0.4">
      <c r="B13" s="991"/>
      <c r="C13" s="267"/>
      <c r="D13" s="139"/>
      <c r="E13" s="228"/>
      <c r="F13" s="268"/>
      <c r="G13" s="823"/>
      <c r="H13" s="824"/>
      <c r="I13" s="240"/>
      <c r="J13" s="313"/>
    </row>
    <row r="14" spans="1:10" ht="15.75" customHeight="1" x14ac:dyDescent="0.4">
      <c r="B14" s="992">
        <f>IF(F14="",D14,F14)</f>
        <v>0</v>
      </c>
      <c r="C14" s="264">
        <f>SUMMARY!$L$28</f>
        <v>0</v>
      </c>
      <c r="D14" s="265">
        <f>IF(SUMMARY!B20="YES",SUMMARY!J28,0)</f>
        <v>0</v>
      </c>
      <c r="E14" s="269" t="str">
        <f>IF(OR(SUMMARY!A20="NO",SUMMARY!$D$24=0),"N/A",SUMMARY!$E$22)</f>
        <v>N/A</v>
      </c>
      <c r="F14" s="310"/>
      <c r="G14" s="823"/>
      <c r="H14" s="824"/>
      <c r="I14" s="136"/>
      <c r="J14" s="136"/>
    </row>
    <row r="15" spans="1:10" ht="3" customHeight="1" x14ac:dyDescent="0.4">
      <c r="B15" s="993"/>
      <c r="C15" s="267"/>
      <c r="D15" s="139"/>
      <c r="E15" s="228"/>
      <c r="F15" s="268"/>
      <c r="G15" s="821"/>
      <c r="H15" s="822"/>
      <c r="I15" s="136"/>
      <c r="J15" s="136"/>
    </row>
    <row r="16" spans="1:10" ht="15.75" customHeight="1" x14ac:dyDescent="0.4">
      <c r="B16" s="993">
        <f>IF(F16="",D16,F16)</f>
        <v>0</v>
      </c>
      <c r="C16" s="264">
        <f>SUMMARY!$L$29</f>
        <v>0</v>
      </c>
      <c r="D16" s="265">
        <f>IF(SUMMARY!B20="YES",SUMMARY!J29,0)</f>
        <v>0</v>
      </c>
      <c r="E16" s="269" t="str">
        <f>IF(OR(SUMMARY!A20="NO",SUMMARY!$D$30=0),"N/A",SUMMARY!$E$28)</f>
        <v>N/A</v>
      </c>
      <c r="F16" s="310"/>
      <c r="G16" s="821"/>
      <c r="H16" s="822"/>
      <c r="I16" s="136"/>
      <c r="J16" s="136"/>
    </row>
    <row r="17" spans="2:10" ht="3" customHeight="1" x14ac:dyDescent="0.4">
      <c r="B17" s="229"/>
      <c r="C17" s="202"/>
      <c r="D17" s="202"/>
      <c r="E17" s="202"/>
      <c r="F17" s="202"/>
      <c r="G17" s="821"/>
      <c r="H17" s="822"/>
      <c r="I17" s="136"/>
      <c r="J17" s="136"/>
    </row>
    <row r="18" spans="2:10" ht="10" customHeight="1" x14ac:dyDescent="0.4">
      <c r="B18" s="229"/>
      <c r="C18" s="202"/>
      <c r="D18" s="202"/>
      <c r="E18" s="202"/>
      <c r="F18" s="849">
        <f>SUM(F12,F14,F16)</f>
        <v>0</v>
      </c>
      <c r="G18" s="821"/>
      <c r="H18" s="822"/>
      <c r="I18" s="136"/>
      <c r="J18" s="136"/>
    </row>
    <row r="19" spans="2:10" ht="3" customHeight="1" thickBot="1" x14ac:dyDescent="0.45">
      <c r="B19" s="229"/>
      <c r="C19" s="202"/>
      <c r="D19" s="202"/>
      <c r="E19" s="202"/>
      <c r="F19" s="202"/>
      <c r="G19" s="270"/>
      <c r="H19" s="263"/>
      <c r="I19" s="136"/>
      <c r="J19" s="136"/>
    </row>
    <row r="20" spans="2:10" ht="15.75" customHeight="1" thickBot="1" x14ac:dyDescent="0.45">
      <c r="B20" s="229"/>
      <c r="C20" s="1137"/>
      <c r="D20" s="1137"/>
      <c r="E20" s="1137"/>
      <c r="F20" s="995"/>
      <c r="G20" s="994"/>
      <c r="H20" s="263"/>
      <c r="I20" s="136"/>
      <c r="J20" s="136"/>
    </row>
    <row r="21" spans="2:10" ht="3" customHeight="1" x14ac:dyDescent="0.4">
      <c r="B21" s="271"/>
      <c r="C21" s="198"/>
      <c r="D21" s="198"/>
      <c r="E21" s="198"/>
      <c r="F21" s="198"/>
      <c r="G21" s="198"/>
      <c r="H21" s="272"/>
      <c r="I21" s="136"/>
      <c r="J21" s="136"/>
    </row>
    <row r="22" spans="2:10" ht="3" customHeight="1" x14ac:dyDescent="0.4">
      <c r="B22" s="1135"/>
      <c r="C22" s="1136"/>
      <c r="D22" s="1136"/>
      <c r="E22" s="273"/>
      <c r="F22" s="273"/>
      <c r="G22" s="274"/>
      <c r="H22" s="272"/>
      <c r="I22" s="136"/>
      <c r="J22" s="136"/>
    </row>
    <row r="23" spans="2:10" ht="3" customHeight="1" thickBot="1" x14ac:dyDescent="0.6">
      <c r="B23" s="275"/>
      <c r="C23" s="276"/>
      <c r="D23" s="276"/>
      <c r="E23" s="276"/>
      <c r="F23" s="276"/>
      <c r="G23" s="276"/>
      <c r="H23" s="277"/>
      <c r="I23" s="240"/>
      <c r="J23" s="244"/>
    </row>
    <row r="24" spans="2:10" ht="6" customHeight="1" x14ac:dyDescent="0.4">
      <c r="B24" s="188"/>
      <c r="C24" s="278"/>
      <c r="D24" s="278"/>
      <c r="E24" s="279"/>
      <c r="F24" s="150"/>
      <c r="G24" s="152"/>
      <c r="H24" s="198"/>
      <c r="I24" s="240"/>
      <c r="J24" s="132"/>
    </row>
    <row r="25" spans="2:10" ht="16" customHeight="1" x14ac:dyDescent="0.5">
      <c r="B25" s="1133"/>
      <c r="C25" s="1133"/>
      <c r="D25" s="1133"/>
      <c r="E25" s="280"/>
      <c r="F25" s="1134" t="str">
        <f>CONCATENATE(B!$B$10,"     fixes recorded")</f>
        <v xml:space="preserve">     fixes recorded</v>
      </c>
      <c r="G25" s="1134"/>
      <c r="H25" s="1134"/>
      <c r="I25" s="240"/>
      <c r="J25" s="132"/>
    </row>
    <row r="26" spans="2:10" ht="5.0999999999999996" customHeight="1" x14ac:dyDescent="0.4">
      <c r="B26" s="281"/>
      <c r="C26" s="282"/>
      <c r="D26" s="282"/>
      <c r="E26" s="282"/>
      <c r="F26" s="282"/>
      <c r="G26" s="282"/>
      <c r="H26" s="282"/>
      <c r="I26" s="240"/>
      <c r="J26" s="132"/>
    </row>
    <row r="27" spans="2:10" ht="16" customHeight="1" x14ac:dyDescent="0.5">
      <c r="B27" s="1132"/>
      <c r="C27" s="1132"/>
      <c r="D27" s="1132"/>
      <c r="E27" s="811"/>
      <c r="F27" s="1132"/>
      <c r="G27" s="1132"/>
      <c r="H27" s="1132"/>
      <c r="I27" s="198"/>
      <c r="J27" s="199"/>
    </row>
    <row r="28" spans="2:10" ht="5.0999999999999996" customHeight="1" x14ac:dyDescent="0.55000000000000004">
      <c r="B28" s="240"/>
      <c r="C28" s="240"/>
      <c r="D28" s="240"/>
      <c r="E28" s="240"/>
      <c r="F28" s="240"/>
      <c r="G28" s="240"/>
      <c r="H28" s="240"/>
      <c r="I28" s="240"/>
      <c r="J28" s="244"/>
    </row>
    <row r="29" spans="2:10" ht="16" customHeight="1" x14ac:dyDescent="0.4">
      <c r="B29" s="283"/>
      <c r="C29" s="283"/>
      <c r="D29" s="283"/>
      <c r="E29" s="283"/>
      <c r="F29" s="392"/>
      <c r="G29" s="428"/>
      <c r="H29" s="429" t="s">
        <v>388</v>
      </c>
      <c r="I29" s="240"/>
      <c r="J29" s="240"/>
    </row>
    <row r="30" spans="2:10" ht="12.75" customHeight="1" x14ac:dyDescent="0.4"/>
    <row r="31" spans="2:10" ht="13" customHeight="1" x14ac:dyDescent="0.4">
      <c r="D31" s="1131"/>
      <c r="E31" s="1131"/>
      <c r="F31" s="1131"/>
    </row>
  </sheetData>
  <sheetProtection password="C630" sheet="1" objects="1" scenarios="1" selectLockedCells="1"/>
  <protectedRanges>
    <protectedRange password="C630" sqref="G2 C13 C15 E22 E12:E16 F6 E7:H7 H2:H5 E21:F21 I14:I16 B28:C29 B27 B24:C26 F3:G5 E4:E5 D2 D3:E3 G21:H28 H12:H14 C20 G14 B2:B5 D9 F8:H8 F9:G9 B7:B8 I2:I11 E10:H10 B10 C3:C8 G29 B21:D23 E23:F23 D24:F29 I23:I29 D5:D6" name="Range2" securityDescriptor="O:WDG:WDD:(A;;CC;;;S-1-5-21-1467035181-4279586865-2809505834-1006)"/>
  </protectedRanges>
  <mergeCells count="13">
    <mergeCell ref="B22:D22"/>
    <mergeCell ref="C20:E20"/>
    <mergeCell ref="B8:H8"/>
    <mergeCell ref="B2:C2"/>
    <mergeCell ref="B4:D4"/>
    <mergeCell ref="E4:H4"/>
    <mergeCell ref="D9:D11"/>
    <mergeCell ref="F9:F11"/>
    <mergeCell ref="D31:F31"/>
    <mergeCell ref="B27:D27"/>
    <mergeCell ref="F27:H27"/>
    <mergeCell ref="B25:D25"/>
    <mergeCell ref="F25:H25"/>
  </mergeCells>
  <conditionalFormatting sqref="E10">
    <cfRule type="expression" dxfId="45" priority="19" stopIfTrue="1">
      <formula>AND($E$30=TRUE,OR($G$12="",$G$14="",$G$16=""))</formula>
    </cfRule>
  </conditionalFormatting>
  <conditionalFormatting sqref="G12">
    <cfRule type="expression" dxfId="44" priority="20" stopIfTrue="1">
      <formula>AND($E$30=3,$E$10="No turnpoints are listed in the active declaration"=FALSE)</formula>
    </cfRule>
  </conditionalFormatting>
  <conditionalFormatting sqref="C20 F20:G20">
    <cfRule type="expression" dxfId="43" priority="15" stopIfTrue="1">
      <formula>$D$20=""</formula>
    </cfRule>
    <cfRule type="expression" dxfId="42" priority="16" stopIfTrue="1">
      <formula>$D$20=""=FALSE</formula>
    </cfRule>
  </conditionalFormatting>
  <conditionalFormatting sqref="F14">
    <cfRule type="expression" dxfId="41" priority="32" stopIfTrue="1">
      <formula>AND($E$10&lt;&gt;"No Turn Points Declared",$E$14&lt;&gt;"N/A",$F$14="")</formula>
    </cfRule>
    <cfRule type="expression" dxfId="40" priority="33" stopIfTrue="1">
      <formula>AND($E$10&lt;&gt;"No Turn Points Declared",$E$14&lt;&gt;"N/A",$F$14=""=FALSE)</formula>
    </cfRule>
  </conditionalFormatting>
  <conditionalFormatting sqref="F12">
    <cfRule type="expression" dxfId="39" priority="34" stopIfTrue="1">
      <formula>AND(E10&lt;&gt;"No Turn Points Declared",$F$12="")</formula>
    </cfRule>
    <cfRule type="expression" dxfId="38" priority="35" stopIfTrue="1">
      <formula>AND($E10&lt;&gt;"No Turn Points Declared",$F$12=""=FALSE)</formula>
    </cfRule>
  </conditionalFormatting>
  <conditionalFormatting sqref="F16">
    <cfRule type="expression" dxfId="37" priority="37" stopIfTrue="1">
      <formula>AND($E$10&lt;&gt;"No Turn Points Declared",$E$16&lt;&gt;"N/A",$F$16="")</formula>
    </cfRule>
    <cfRule type="expression" dxfId="36" priority="38" stopIfTrue="1">
      <formula>AND($E$10&lt;&gt;"No Turn Points Declared",$E$16&lt;&gt;"N/A",$F$16=""=FALSE)</formula>
    </cfRule>
  </conditionalFormatting>
  <conditionalFormatting sqref="D7">
    <cfRule type="expression" dxfId="35" priority="3" stopIfTrue="1">
      <formula>AND($E$10&lt;&gt;"No Turn Points Declared",OR($F$12="",$F$14="",$F$16=""))</formula>
    </cfRule>
  </conditionalFormatting>
  <conditionalFormatting sqref="F2">
    <cfRule type="expression" dxfId="34" priority="2" stopIfTrue="1">
      <formula>$G$2=1</formula>
    </cfRule>
  </conditionalFormatting>
  <conditionalFormatting sqref="B8:H8">
    <cfRule type="expression" dxfId="33" priority="1" stopIfTrue="1">
      <formula>AND($G$2=1,H2&lt;&gt;"")</formula>
    </cfRule>
  </conditionalFormatting>
  <dataValidations count="2">
    <dataValidation type="whole" allowBlank="1" showErrorMessage="1" error="Enter 1,2 or 3 to denote the order of use; enter 0 if this turnpoint was not used" sqref="F12">
      <formula1>0</formula1>
      <formula2>3</formula2>
    </dataValidation>
    <dataValidation type="whole" allowBlank="1" showErrorMessage="1" error="Enter 1,2 or 3 to denote order of use; enter 0 if this turnpoint was not used" sqref="F14 F16">
      <formula1>0</formula1>
      <formula2>3</formula2>
    </dataValidation>
  </dataValidations>
  <pageMargins left="0.7" right="0.7" top="0.75" bottom="0.75" header="0.3" footer="0.3"/>
  <pageSetup scale="68" orientation="portrait" r:id="rId1"/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DropDown1_Change">
                <anchor moveWithCells="1">
                  <from>
                    <xdr:col>5</xdr:col>
                    <xdr:colOff>982980</xdr:colOff>
                    <xdr:row>1</xdr:row>
                    <xdr:rowOff>0</xdr:rowOff>
                  </from>
                  <to>
                    <xdr:col>7</xdr:col>
                    <xdr:colOff>11430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N58"/>
  <sheetViews>
    <sheetView showRowColHeaders="0" zoomScaleNormal="69" workbookViewId="0"/>
  </sheetViews>
  <sheetFormatPr defaultColWidth="18.71875" defaultRowHeight="12.75" customHeight="1" x14ac:dyDescent="0.4"/>
  <cols>
    <col min="1" max="1" width="14.71875" customWidth="1"/>
    <col min="2" max="40" width="10.71875" customWidth="1"/>
  </cols>
  <sheetData>
    <row r="1" spans="1:40" s="203" customFormat="1" ht="10.5" x14ac:dyDescent="0.4">
      <c r="A1" s="214" t="s">
        <v>357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</row>
    <row r="2" spans="1:40" s="203" customFormat="1" ht="10.5" x14ac:dyDescent="0.4">
      <c r="A2" s="1148" t="s">
        <v>210</v>
      </c>
      <c r="B2" s="1148"/>
      <c r="C2" s="1148"/>
      <c r="D2" s="203">
        <f>SUMMARY!$G$4</f>
        <v>2</v>
      </c>
    </row>
    <row r="3" spans="1:40" s="203" customFormat="1" ht="10.5" thickBot="1" x14ac:dyDescent="0.4"/>
    <row r="4" spans="1:40" s="203" customFormat="1" ht="13.5" customHeight="1" thickBot="1" x14ac:dyDescent="0.45">
      <c r="A4" s="727"/>
      <c r="B4" s="1149" t="s">
        <v>356</v>
      </c>
      <c r="C4" s="1150"/>
      <c r="D4" s="1151"/>
      <c r="E4" s="727" t="str">
        <f>IF($D$2=3,"Metres",Worksheet!M5)</f>
        <v>Feet</v>
      </c>
      <c r="F4" s="1152" t="s">
        <v>355</v>
      </c>
      <c r="G4" s="1153"/>
      <c r="H4" s="1153"/>
      <c r="I4" s="1153"/>
      <c r="J4" s="1154"/>
      <c r="K4" s="727"/>
      <c r="L4" s="1152" t="s">
        <v>459</v>
      </c>
      <c r="M4" s="1153"/>
      <c r="N4" s="1154"/>
      <c r="O4" s="727"/>
      <c r="P4" s="700"/>
      <c r="Q4" s="727"/>
      <c r="R4" s="727"/>
      <c r="S4" s="727"/>
      <c r="T4" s="727"/>
      <c r="U4" s="727"/>
      <c r="V4" s="727"/>
      <c r="W4" s="727"/>
      <c r="X4" s="727"/>
      <c r="Y4" s="727"/>
      <c r="Z4" s="727"/>
      <c r="AA4" s="727"/>
      <c r="AB4" s="727"/>
      <c r="AC4" s="727"/>
      <c r="AD4" s="727"/>
      <c r="AE4" s="727"/>
      <c r="AF4" s="727"/>
      <c r="AG4" s="727"/>
      <c r="AH4" s="727"/>
      <c r="AI4" s="727"/>
      <c r="AJ4" s="727"/>
      <c r="AK4" s="727"/>
      <c r="AL4" s="727"/>
      <c r="AM4" s="727"/>
      <c r="AN4" s="727"/>
    </row>
    <row r="5" spans="1:40" s="203" customFormat="1" ht="10.8" thickBot="1" x14ac:dyDescent="0.45">
      <c r="A5" s="727"/>
      <c r="B5" s="728" t="s">
        <v>354</v>
      </c>
      <c r="C5" s="728" t="b">
        <v>1</v>
      </c>
      <c r="D5" s="812" t="s">
        <v>353</v>
      </c>
      <c r="E5" s="727"/>
      <c r="F5" s="729"/>
      <c r="G5" s="730"/>
      <c r="H5" s="730"/>
      <c r="I5" s="730"/>
      <c r="J5" s="731"/>
      <c r="K5" s="727"/>
      <c r="L5" s="765" t="s">
        <v>354</v>
      </c>
      <c r="M5" s="728" t="b">
        <v>1</v>
      </c>
      <c r="N5" s="766" t="s">
        <v>353</v>
      </c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27"/>
      <c r="AC5" s="727"/>
      <c r="AD5" s="727"/>
      <c r="AE5" s="727"/>
      <c r="AF5" s="727"/>
      <c r="AG5" s="727"/>
      <c r="AH5" s="727"/>
      <c r="AI5" s="727"/>
      <c r="AJ5" s="727"/>
      <c r="AK5" s="727"/>
      <c r="AL5" s="727"/>
      <c r="AM5" s="727"/>
      <c r="AN5" s="727"/>
    </row>
    <row r="6" spans="1:40" s="203" customFormat="1" ht="10.5" x14ac:dyDescent="0.4">
      <c r="A6" s="727"/>
      <c r="B6" s="729"/>
      <c r="C6" s="729"/>
      <c r="D6" s="813"/>
      <c r="E6" s="727"/>
      <c r="F6" s="733" t="b">
        <v>1</v>
      </c>
      <c r="G6" s="209" t="s">
        <v>353</v>
      </c>
      <c r="H6" s="700"/>
      <c r="I6" s="734" t="b">
        <v>1</v>
      </c>
      <c r="J6" s="208" t="s">
        <v>353</v>
      </c>
      <c r="K6" s="727"/>
      <c r="L6" s="738"/>
      <c r="M6" s="732"/>
      <c r="N6" s="767"/>
      <c r="O6" s="727"/>
      <c r="P6" s="727"/>
      <c r="Q6" s="727"/>
      <c r="R6" s="727"/>
      <c r="S6" s="727"/>
      <c r="T6" s="727"/>
      <c r="U6" s="727"/>
      <c r="V6" s="727"/>
      <c r="W6" s="727"/>
      <c r="X6" s="727"/>
      <c r="Y6" s="727"/>
      <c r="Z6" s="727"/>
      <c r="AA6" s="727"/>
      <c r="AB6" s="727"/>
      <c r="AC6" s="727"/>
      <c r="AD6" s="727"/>
      <c r="AE6" s="727"/>
      <c r="AF6" s="727"/>
      <c r="AG6" s="727"/>
      <c r="AH6" s="727"/>
      <c r="AI6" s="727"/>
      <c r="AJ6" s="727"/>
      <c r="AK6" s="727"/>
      <c r="AL6" s="727"/>
      <c r="AM6" s="727"/>
      <c r="AN6" s="727"/>
    </row>
    <row r="7" spans="1:40" s="203" customFormat="1" ht="10.5" x14ac:dyDescent="0.4">
      <c r="A7" s="727"/>
      <c r="B7" s="703" t="s">
        <v>352</v>
      </c>
      <c r="C7" s="817">
        <f t="shared" ref="C7:C24" si="0">IF(D7=MAX(A29:AN29),MIN(A29,C29,E29,G29,I29,K29,M29,O29,Q29,S29,U29,W29,Y29,AA29,AC29,AE29,AG29,AI29,AK29,AM29),MAX(A29:AN29))</f>
        <v>0</v>
      </c>
      <c r="D7" s="735">
        <f>IF(E4="feet",SUMMARY!$B$17*3.2808399,SUMMARY!$B$17)</f>
        <v>0</v>
      </c>
      <c r="E7" s="727"/>
      <c r="F7" s="703">
        <f>CALIBRATION!G6</f>
        <v>0</v>
      </c>
      <c r="G7" s="212">
        <f>CALIBRATION!H6</f>
        <v>0</v>
      </c>
      <c r="H7" s="700"/>
      <c r="I7" s="701">
        <f>CALIBRATION!G14</f>
        <v>0</v>
      </c>
      <c r="J7" s="211">
        <f>CALIBRATION!H14</f>
        <v>0</v>
      </c>
      <c r="K7" s="736"/>
      <c r="L7" s="738" t="s">
        <v>460</v>
      </c>
      <c r="M7" s="769">
        <f t="shared" ref="M7:M14" si="1">IF(N7=MAX(A47:AN47),MIN(A47,C47,E47,G47,I47,K47,M47,O47,Q47,S47,U47,W47,Y47,AA47,AC47,AE47,AG47,AI47,AK47,AM47),MAX(A47:AN47))</f>
        <v>0</v>
      </c>
      <c r="N7" s="768">
        <f>IF(E4="Metres",B!W3,B!W3*3.2808399)</f>
        <v>0</v>
      </c>
      <c r="O7" s="727"/>
      <c r="P7" s="727"/>
      <c r="Q7" s="727"/>
      <c r="R7" s="727"/>
      <c r="S7" s="727"/>
      <c r="T7" s="727"/>
      <c r="U7" s="727"/>
      <c r="V7" s="727"/>
      <c r="W7" s="727"/>
      <c r="X7" s="727"/>
      <c r="Y7" s="727"/>
      <c r="Z7" s="727"/>
      <c r="AA7" s="727"/>
      <c r="AB7" s="727"/>
      <c r="AC7" s="727"/>
      <c r="AD7" s="727"/>
      <c r="AE7" s="727"/>
      <c r="AF7" s="727"/>
      <c r="AG7" s="727"/>
      <c r="AH7" s="727"/>
      <c r="AI7" s="727"/>
      <c r="AJ7" s="727"/>
      <c r="AK7" s="727"/>
      <c r="AL7" s="727"/>
      <c r="AM7" s="727"/>
      <c r="AN7" s="727"/>
    </row>
    <row r="8" spans="1:40" s="203" customFormat="1" ht="10.5" x14ac:dyDescent="0.4">
      <c r="A8" s="727"/>
      <c r="B8" s="703" t="s">
        <v>36</v>
      </c>
      <c r="C8" s="817">
        <f t="shared" si="0"/>
        <v>0</v>
      </c>
      <c r="D8" s="207">
        <f>IF(E4="feet",SUMMARY!$K$4*3.2808399,SUMMARY!$K$4)</f>
        <v>0</v>
      </c>
      <c r="E8" s="727"/>
      <c r="F8" s="703">
        <f>CALIBRATION!G7</f>
        <v>0</v>
      </c>
      <c r="G8" s="212">
        <f>CALIBRATION!H7</f>
        <v>0</v>
      </c>
      <c r="H8" s="700"/>
      <c r="I8" s="701">
        <f>CALIBRATION!G15</f>
        <v>0</v>
      </c>
      <c r="J8" s="211">
        <f>CALIBRATION!H15</f>
        <v>0</v>
      </c>
      <c r="K8" s="727"/>
      <c r="L8" s="738" t="s">
        <v>461</v>
      </c>
      <c r="M8" s="769">
        <f t="shared" si="1"/>
        <v>0</v>
      </c>
      <c r="N8" s="768">
        <f>IF(E4="Metres",B!W4,B!W4*3.2808399)</f>
        <v>0</v>
      </c>
      <c r="O8" s="727"/>
      <c r="P8" s="727"/>
      <c r="Q8" s="727"/>
      <c r="R8" s="727"/>
      <c r="S8" s="727"/>
      <c r="T8" s="727"/>
      <c r="U8" s="727"/>
      <c r="V8" s="727"/>
      <c r="W8" s="727"/>
      <c r="X8" s="727"/>
      <c r="Y8" s="727"/>
      <c r="Z8" s="727"/>
      <c r="AA8" s="727"/>
      <c r="AB8" s="727"/>
      <c r="AC8" s="727"/>
      <c r="AD8" s="727"/>
      <c r="AE8" s="727"/>
      <c r="AF8" s="727"/>
      <c r="AG8" s="727"/>
      <c r="AH8" s="727"/>
      <c r="AI8" s="727"/>
      <c r="AJ8" s="727"/>
      <c r="AK8" s="727"/>
      <c r="AL8" s="727"/>
      <c r="AM8" s="727"/>
      <c r="AN8" s="727"/>
    </row>
    <row r="9" spans="1:40" s="203" customFormat="1" ht="10.5" x14ac:dyDescent="0.4">
      <c r="A9" s="727"/>
      <c r="B9" s="838" t="s">
        <v>551</v>
      </c>
      <c r="C9" s="817">
        <f t="shared" si="0"/>
        <v>0</v>
      </c>
      <c r="D9" s="207">
        <f>IF(SUMMARY!$L$6=0,0,IF(E4="feet",SUMMARY!$L$6*3.2808399,SUMMARY!$L$6))</f>
        <v>0</v>
      </c>
      <c r="E9" s="727"/>
      <c r="F9" s="703">
        <f>CALIBRATION!G8</f>
        <v>0</v>
      </c>
      <c r="G9" s="212">
        <f>CALIBRATION!H8</f>
        <v>0</v>
      </c>
      <c r="H9" s="700"/>
      <c r="I9" s="701">
        <f>CALIBRATION!G16</f>
        <v>0</v>
      </c>
      <c r="J9" s="211">
        <f>CALIBRATION!H16</f>
        <v>0</v>
      </c>
      <c r="K9" s="727"/>
      <c r="L9" s="738" t="s">
        <v>462</v>
      </c>
      <c r="M9" s="769">
        <f t="shared" si="1"/>
        <v>0</v>
      </c>
      <c r="N9" s="768">
        <f>IF(E4="Metres",B!W7,B!W7*3.2808399)</f>
        <v>0</v>
      </c>
      <c r="O9" s="727"/>
      <c r="P9" s="727"/>
      <c r="Q9" s="727"/>
      <c r="R9" s="727"/>
      <c r="S9" s="727"/>
      <c r="T9" s="727"/>
      <c r="U9" s="727"/>
      <c r="V9" s="727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7"/>
      <c r="AH9" s="727"/>
      <c r="AI9" s="727"/>
      <c r="AJ9" s="727"/>
      <c r="AK9" s="727"/>
      <c r="AL9" s="727"/>
      <c r="AM9" s="727"/>
      <c r="AN9" s="727"/>
    </row>
    <row r="10" spans="1:40" s="203" customFormat="1" ht="10.5" x14ac:dyDescent="0.4">
      <c r="A10" s="727"/>
      <c r="B10" s="703" t="s">
        <v>338</v>
      </c>
      <c r="C10" s="817">
        <f t="shared" si="0"/>
        <v>0</v>
      </c>
      <c r="D10" s="207">
        <f>IF(E4="feet",SUMMARY!$E$8*3.2808399,SUMMARY!$E$8)</f>
        <v>0</v>
      </c>
      <c r="E10" s="727"/>
      <c r="F10" s="703">
        <f>CALIBRATION!G9</f>
        <v>0</v>
      </c>
      <c r="G10" s="212">
        <f>CALIBRATION!H9</f>
        <v>0</v>
      </c>
      <c r="H10" s="700"/>
      <c r="I10" s="701">
        <f>CALIBRATION!G17</f>
        <v>0</v>
      </c>
      <c r="J10" s="211">
        <f>CALIBRATION!H17</f>
        <v>0</v>
      </c>
      <c r="K10" s="727"/>
      <c r="L10" s="738" t="s">
        <v>463</v>
      </c>
      <c r="M10" s="769">
        <f t="shared" si="1"/>
        <v>0</v>
      </c>
      <c r="N10" s="768">
        <f>IF(E4="Metres",B!W10,B!W10*3.2808399)</f>
        <v>0</v>
      </c>
      <c r="O10" s="727"/>
      <c r="P10" s="727"/>
      <c r="Q10" s="727"/>
      <c r="R10" s="727"/>
      <c r="S10" s="727"/>
      <c r="T10" s="727"/>
      <c r="U10" s="727"/>
      <c r="V10" s="727"/>
      <c r="W10" s="727"/>
      <c r="X10" s="727"/>
      <c r="Y10" s="727"/>
      <c r="Z10" s="727"/>
      <c r="AA10" s="727"/>
      <c r="AB10" s="727"/>
      <c r="AC10" s="727"/>
      <c r="AD10" s="727"/>
      <c r="AE10" s="727"/>
      <c r="AF10" s="727"/>
      <c r="AG10" s="727"/>
      <c r="AH10" s="727"/>
      <c r="AI10" s="727"/>
      <c r="AJ10" s="727"/>
      <c r="AK10" s="727"/>
      <c r="AL10" s="727"/>
      <c r="AM10" s="727"/>
      <c r="AN10" s="727"/>
    </row>
    <row r="11" spans="1:40" s="203" customFormat="1" ht="10.5" x14ac:dyDescent="0.4">
      <c r="A11" s="727"/>
      <c r="B11" s="703" t="s">
        <v>351</v>
      </c>
      <c r="C11" s="817">
        <f t="shared" si="0"/>
        <v>0</v>
      </c>
      <c r="D11" s="207">
        <f>IF(E4="feet",SUMMARY!$E$10*3.2808399,SUMMARY!$E$10)</f>
        <v>0</v>
      </c>
      <c r="E11" s="727"/>
      <c r="F11" s="703">
        <f>CALIBRATION!G10</f>
        <v>0</v>
      </c>
      <c r="G11" s="212">
        <f>CALIBRATION!H10</f>
        <v>0</v>
      </c>
      <c r="H11" s="700"/>
      <c r="I11" s="701">
        <f>CALIBRATION!G18</f>
        <v>0</v>
      </c>
      <c r="J11" s="211">
        <f>CALIBRATION!H18</f>
        <v>0</v>
      </c>
      <c r="K11" s="727"/>
      <c r="L11" s="738" t="s">
        <v>464</v>
      </c>
      <c r="M11" s="769">
        <f t="shared" si="1"/>
        <v>0</v>
      </c>
      <c r="N11" s="768">
        <f>IF(E4="Metres",B!W13,B!W13*3.2808399)</f>
        <v>0</v>
      </c>
      <c r="O11" s="727"/>
      <c r="P11" s="727"/>
      <c r="Q11" s="727"/>
      <c r="R11" s="727"/>
      <c r="S11" s="727"/>
      <c r="T11" s="727"/>
      <c r="U11" s="727"/>
      <c r="V11" s="727"/>
      <c r="W11" s="727"/>
      <c r="X11" s="727"/>
      <c r="Y11" s="727"/>
      <c r="Z11" s="727"/>
      <c r="AA11" s="727"/>
      <c r="AB11" s="727"/>
      <c r="AC11" s="727"/>
      <c r="AD11" s="727"/>
      <c r="AE11" s="727"/>
      <c r="AF11" s="727"/>
      <c r="AG11" s="727"/>
      <c r="AH11" s="727"/>
      <c r="AI11" s="727"/>
      <c r="AJ11" s="727"/>
      <c r="AK11" s="727"/>
      <c r="AL11" s="727"/>
      <c r="AM11" s="727"/>
      <c r="AN11" s="727"/>
    </row>
    <row r="12" spans="1:40" s="203" customFormat="1" ht="10.5" x14ac:dyDescent="0.4">
      <c r="A12" s="737"/>
      <c r="B12" s="703" t="s">
        <v>350</v>
      </c>
      <c r="C12" s="817">
        <f t="shared" si="0"/>
        <v>0</v>
      </c>
      <c r="D12" s="207">
        <f>IF(E4="Feet",SUMMARY!E12*3.2808399,SUMMARY!E12)</f>
        <v>0</v>
      </c>
      <c r="E12" s="727"/>
      <c r="F12" s="703">
        <f>CALIBRATION!G11</f>
        <v>0</v>
      </c>
      <c r="G12" s="212">
        <f>CALIBRATION!H11</f>
        <v>0</v>
      </c>
      <c r="H12" s="700"/>
      <c r="I12" s="701">
        <f>CALIBRATION!G19</f>
        <v>0</v>
      </c>
      <c r="J12" s="211">
        <f>CALIBRATION!H19</f>
        <v>0</v>
      </c>
      <c r="K12" s="727"/>
      <c r="L12" s="738" t="s">
        <v>465</v>
      </c>
      <c r="M12" s="769">
        <f t="shared" si="1"/>
        <v>0</v>
      </c>
      <c r="N12" s="768">
        <f>IF(E4="Metres",B!W17,B!W17*3.2808399)</f>
        <v>0</v>
      </c>
      <c r="O12" s="727"/>
      <c r="P12" s="727"/>
      <c r="Q12" s="727"/>
      <c r="R12" s="727"/>
      <c r="S12" s="727"/>
      <c r="T12" s="727"/>
      <c r="U12" s="727"/>
      <c r="V12" s="727"/>
      <c r="W12" s="727"/>
      <c r="X12" s="727"/>
      <c r="Y12" s="727"/>
      <c r="Z12" s="727"/>
      <c r="AA12" s="727"/>
      <c r="AB12" s="727"/>
      <c r="AC12" s="727"/>
      <c r="AD12" s="727"/>
      <c r="AE12" s="727"/>
      <c r="AF12" s="727"/>
      <c r="AG12" s="727"/>
      <c r="AH12" s="727"/>
      <c r="AI12" s="727"/>
      <c r="AJ12" s="727"/>
      <c r="AK12" s="727"/>
      <c r="AL12" s="727"/>
      <c r="AM12" s="727"/>
      <c r="AN12" s="727"/>
    </row>
    <row r="13" spans="1:40" s="203" customFormat="1" ht="10.5" x14ac:dyDescent="0.4">
      <c r="A13" s="727"/>
      <c r="B13" s="815" t="s">
        <v>490</v>
      </c>
      <c r="C13" s="817">
        <f t="shared" si="0"/>
        <v>0</v>
      </c>
      <c r="D13" s="207">
        <f>IF(SUMMARY!$I$12=0,0,IF(E4="feet",SUMMARY!$K$12*3.2808399,SUMMARY!$K$12))</f>
        <v>0</v>
      </c>
      <c r="E13" s="727"/>
      <c r="F13" s="703">
        <f>CALIBRATION!G12</f>
        <v>0</v>
      </c>
      <c r="G13" s="212">
        <f>CALIBRATION!H12</f>
        <v>0</v>
      </c>
      <c r="H13" s="700"/>
      <c r="I13" s="701">
        <f>CALIBRATION!G20</f>
        <v>0</v>
      </c>
      <c r="J13" s="211">
        <f>CALIBRATION!H20</f>
        <v>0</v>
      </c>
      <c r="K13" s="727"/>
      <c r="L13" s="738" t="s">
        <v>466</v>
      </c>
      <c r="M13" s="769">
        <f t="shared" si="1"/>
        <v>0</v>
      </c>
      <c r="N13" s="768">
        <f>IF(E4="Metres",B!W20,B!W20*3.2808399)</f>
        <v>0</v>
      </c>
      <c r="O13" s="727"/>
      <c r="P13" s="727"/>
      <c r="Q13" s="727"/>
      <c r="R13" s="727"/>
      <c r="S13" s="727"/>
      <c r="T13" s="727"/>
      <c r="U13" s="727"/>
      <c r="V13" s="727"/>
      <c r="W13" s="727"/>
      <c r="X13" s="727"/>
      <c r="Y13" s="727"/>
      <c r="Z13" s="727"/>
      <c r="AA13" s="727"/>
      <c r="AB13" s="727"/>
      <c r="AC13" s="727"/>
      <c r="AD13" s="727"/>
      <c r="AE13" s="727"/>
      <c r="AF13" s="727"/>
      <c r="AG13" s="727"/>
      <c r="AH13" s="727"/>
      <c r="AI13" s="727"/>
      <c r="AJ13" s="727"/>
      <c r="AK13" s="727"/>
      <c r="AL13" s="727"/>
      <c r="AM13" s="727"/>
      <c r="AN13" s="727"/>
    </row>
    <row r="14" spans="1:40" s="203" customFormat="1" ht="10.8" thickBot="1" x14ac:dyDescent="0.45">
      <c r="A14" s="727"/>
      <c r="B14" s="703" t="s">
        <v>349</v>
      </c>
      <c r="C14" s="817">
        <f t="shared" si="0"/>
        <v>0</v>
      </c>
      <c r="D14" s="207">
        <f>IF(E4="feet",SUMMARY!$K$14*3.2808399,SUMMARY!$K$14)</f>
        <v>0</v>
      </c>
      <c r="E14" s="727"/>
      <c r="F14" s="703">
        <f>CALIBRATION!G13</f>
        <v>0</v>
      </c>
      <c r="G14" s="212">
        <f>CALIBRATION!H13</f>
        <v>0</v>
      </c>
      <c r="H14" s="700"/>
      <c r="I14" s="701">
        <f>CALIBRATION!G21</f>
        <v>0</v>
      </c>
      <c r="J14" s="211">
        <f>CALIBRATION!H21</f>
        <v>0</v>
      </c>
      <c r="K14" s="727"/>
      <c r="L14" s="739" t="s">
        <v>467</v>
      </c>
      <c r="M14" s="775">
        <f t="shared" si="1"/>
        <v>0</v>
      </c>
      <c r="N14" s="774">
        <f>IF(E4="Metres",MAX(B!W23,B!W24),MAX(B!W23,B!W24)*3.2808399)</f>
        <v>0</v>
      </c>
      <c r="O14" s="727"/>
      <c r="P14" s="727"/>
      <c r="Q14" s="727"/>
      <c r="R14" s="727"/>
      <c r="S14" s="727"/>
      <c r="T14" s="727"/>
      <c r="U14" s="727"/>
      <c r="V14" s="727"/>
      <c r="W14" s="727"/>
      <c r="X14" s="727"/>
      <c r="Y14" s="727"/>
      <c r="Z14" s="727"/>
      <c r="AA14" s="727"/>
      <c r="AB14" s="727"/>
      <c r="AC14" s="727"/>
      <c r="AD14" s="727"/>
      <c r="AE14" s="727"/>
      <c r="AF14" s="727"/>
      <c r="AG14" s="727"/>
      <c r="AH14" s="727"/>
      <c r="AI14" s="727"/>
      <c r="AJ14" s="727"/>
      <c r="AK14" s="727"/>
      <c r="AL14" s="727"/>
      <c r="AM14" s="727"/>
      <c r="AN14" s="727"/>
    </row>
    <row r="15" spans="1:40" s="203" customFormat="1" ht="10.5" x14ac:dyDescent="0.4">
      <c r="A15" s="727"/>
      <c r="B15" s="815" t="s">
        <v>570</v>
      </c>
      <c r="C15" s="817">
        <f t="shared" si="0"/>
        <v>0</v>
      </c>
      <c r="D15" s="207">
        <f>IF(E4="feet",TPOrder!D1*3.2808399,TPOrder!D1)</f>
        <v>0</v>
      </c>
      <c r="E15" s="727"/>
      <c r="F15" s="210"/>
      <c r="G15" s="209"/>
      <c r="H15" s="700"/>
      <c r="I15" s="701">
        <v>0</v>
      </c>
      <c r="J15" s="211">
        <v>0</v>
      </c>
      <c r="K15" s="727"/>
      <c r="L15" s="730"/>
      <c r="M15" s="772"/>
      <c r="N15" s="773"/>
      <c r="O15" s="700"/>
      <c r="P15" s="727"/>
      <c r="Q15" s="727"/>
      <c r="R15" s="727"/>
      <c r="S15" s="727"/>
      <c r="T15" s="727"/>
      <c r="U15" s="727"/>
      <c r="V15" s="727"/>
      <c r="W15" s="727"/>
      <c r="X15" s="727"/>
      <c r="Y15" s="727"/>
      <c r="Z15" s="727"/>
      <c r="AA15" s="727"/>
      <c r="AB15" s="727"/>
      <c r="AC15" s="727"/>
      <c r="AD15" s="727"/>
      <c r="AE15" s="727"/>
      <c r="AF15" s="727"/>
      <c r="AG15" s="727"/>
      <c r="AH15" s="727"/>
      <c r="AI15" s="727"/>
      <c r="AJ15" s="727"/>
      <c r="AK15" s="727"/>
      <c r="AL15" s="727"/>
      <c r="AM15" s="727"/>
      <c r="AN15" s="727"/>
    </row>
    <row r="16" spans="1:40" s="203" customFormat="1" ht="10.5" x14ac:dyDescent="0.4">
      <c r="A16" s="727"/>
      <c r="B16" s="815" t="s">
        <v>569</v>
      </c>
      <c r="C16" s="817">
        <f t="shared" si="0"/>
        <v>0</v>
      </c>
      <c r="D16" s="207">
        <f>IF(E4="feet",TPOrder!D2*3.2808399,TPOrder!D2)</f>
        <v>0</v>
      </c>
      <c r="E16" s="727"/>
      <c r="F16" s="210"/>
      <c r="G16" s="209"/>
      <c r="H16" s="700"/>
      <c r="I16" s="701">
        <v>0</v>
      </c>
      <c r="J16" s="211">
        <v>0</v>
      </c>
      <c r="K16" s="727"/>
      <c r="L16" s="770"/>
      <c r="M16" s="771"/>
      <c r="N16" s="770"/>
      <c r="O16" s="727"/>
      <c r="P16" s="727"/>
      <c r="Q16" s="727"/>
      <c r="R16" s="727"/>
      <c r="S16" s="727"/>
      <c r="T16" s="727"/>
      <c r="U16" s="727"/>
      <c r="V16" s="727"/>
      <c r="W16" s="727"/>
      <c r="X16" s="727"/>
      <c r="Y16" s="727"/>
      <c r="Z16" s="727"/>
      <c r="AA16" s="727"/>
      <c r="AB16" s="727"/>
      <c r="AC16" s="727"/>
      <c r="AD16" s="727"/>
      <c r="AE16" s="727"/>
      <c r="AF16" s="727"/>
      <c r="AG16" s="727"/>
      <c r="AH16" s="727"/>
      <c r="AI16" s="727"/>
      <c r="AJ16" s="727"/>
      <c r="AK16" s="727"/>
      <c r="AL16" s="727"/>
      <c r="AM16" s="727"/>
      <c r="AN16" s="727"/>
    </row>
    <row r="17" spans="1:40" s="203" customFormat="1" ht="10.5" x14ac:dyDescent="0.4">
      <c r="A17" s="727"/>
      <c r="B17" s="838" t="s">
        <v>495</v>
      </c>
      <c r="C17" s="817">
        <f t="shared" si="0"/>
        <v>0</v>
      </c>
      <c r="D17" s="207">
        <f>IF(E4="feet",SUMMARY!L18*3.2808399,SUMMARY!L18)</f>
        <v>0</v>
      </c>
      <c r="E17" s="727"/>
      <c r="F17" s="210"/>
      <c r="G17" s="209"/>
      <c r="H17" s="700"/>
      <c r="I17" s="701">
        <v>0</v>
      </c>
      <c r="J17" s="211">
        <v>0</v>
      </c>
      <c r="K17" s="727"/>
      <c r="L17" s="770"/>
      <c r="M17" s="771"/>
      <c r="N17" s="770"/>
      <c r="O17" s="727"/>
      <c r="P17" s="727"/>
      <c r="Q17" s="727"/>
      <c r="R17" s="727"/>
      <c r="S17" s="727"/>
      <c r="T17" s="727"/>
      <c r="U17" s="727"/>
      <c r="V17" s="727"/>
      <c r="W17" s="727"/>
      <c r="X17" s="727"/>
      <c r="Y17" s="727"/>
      <c r="Z17" s="727"/>
      <c r="AA17" s="727"/>
      <c r="AB17" s="727"/>
      <c r="AC17" s="727"/>
      <c r="AD17" s="727"/>
      <c r="AE17" s="727"/>
      <c r="AF17" s="727"/>
      <c r="AG17" s="727"/>
      <c r="AH17" s="727"/>
      <c r="AI17" s="727"/>
      <c r="AJ17" s="727"/>
      <c r="AK17" s="727"/>
      <c r="AL17" s="727"/>
      <c r="AM17" s="727"/>
      <c r="AN17" s="727"/>
    </row>
    <row r="18" spans="1:40" s="203" customFormat="1" ht="10.199999999999999" x14ac:dyDescent="0.35">
      <c r="A18" s="727"/>
      <c r="B18" s="738" t="s">
        <v>348</v>
      </c>
      <c r="C18" s="817">
        <f t="shared" si="0"/>
        <v>0</v>
      </c>
      <c r="D18" s="207">
        <f>IF(E4="Feet",TPOrder!AX9*3.2808399,TPOrder!AX9)</f>
        <v>0</v>
      </c>
      <c r="E18" s="727"/>
      <c r="F18" s="738"/>
      <c r="G18" s="700"/>
      <c r="H18" s="700"/>
      <c r="I18" s="701">
        <v>0</v>
      </c>
      <c r="J18" s="742">
        <v>0</v>
      </c>
      <c r="K18" s="727"/>
      <c r="L18" s="700"/>
      <c r="M18" s="771"/>
      <c r="N18" s="700"/>
      <c r="O18" s="727"/>
      <c r="P18" s="727"/>
      <c r="Q18" s="727"/>
      <c r="R18" s="727"/>
      <c r="S18" s="727"/>
      <c r="T18" s="727"/>
      <c r="U18" s="727"/>
      <c r="V18" s="727"/>
      <c r="W18" s="727"/>
      <c r="X18" s="727"/>
      <c r="Y18" s="727"/>
      <c r="Z18" s="727"/>
      <c r="AA18" s="727"/>
      <c r="AB18" s="727"/>
      <c r="AC18" s="727"/>
      <c r="AD18" s="727"/>
      <c r="AE18" s="727"/>
      <c r="AF18" s="727"/>
      <c r="AG18" s="727"/>
      <c r="AH18" s="727"/>
      <c r="AI18" s="727"/>
      <c r="AJ18" s="727"/>
      <c r="AK18" s="727"/>
      <c r="AL18" s="727"/>
      <c r="AM18" s="727"/>
      <c r="AN18" s="727"/>
    </row>
    <row r="19" spans="1:40" s="203" customFormat="1" ht="10.5" thickBot="1" x14ac:dyDescent="0.4">
      <c r="A19" s="700"/>
      <c r="B19" s="738" t="s">
        <v>347</v>
      </c>
      <c r="C19" s="817">
        <f t="shared" si="0"/>
        <v>0</v>
      </c>
      <c r="D19" s="207">
        <f>IF(E4="Feet",TPOrder!EW9*3.2808399,TPOrder!EW9)</f>
        <v>0</v>
      </c>
      <c r="E19" s="700"/>
      <c r="F19" s="739"/>
      <c r="G19" s="740"/>
      <c r="H19" s="740"/>
      <c r="I19" s="741">
        <v>0</v>
      </c>
      <c r="J19" s="743">
        <v>0</v>
      </c>
      <c r="K19" s="727"/>
      <c r="L19" s="727"/>
      <c r="M19" s="700"/>
      <c r="N19" s="700"/>
      <c r="O19" s="727"/>
      <c r="P19" s="727"/>
      <c r="Q19" s="727"/>
      <c r="R19" s="727"/>
      <c r="S19" s="727"/>
      <c r="T19" s="727"/>
      <c r="U19" s="727"/>
      <c r="V19" s="727"/>
      <c r="W19" s="727"/>
      <c r="X19" s="727"/>
      <c r="Y19" s="727"/>
      <c r="Z19" s="727"/>
      <c r="AA19" s="727"/>
      <c r="AB19" s="727"/>
      <c r="AC19" s="727"/>
      <c r="AD19" s="727"/>
      <c r="AE19" s="727"/>
      <c r="AF19" s="727"/>
      <c r="AG19" s="727"/>
      <c r="AH19" s="727"/>
      <c r="AI19" s="727"/>
      <c r="AJ19" s="727"/>
      <c r="AK19" s="727"/>
      <c r="AL19" s="727"/>
      <c r="AM19" s="727"/>
      <c r="AN19" s="727"/>
    </row>
    <row r="20" spans="1:40" s="203" customFormat="1" ht="10.199999999999999" x14ac:dyDescent="0.35">
      <c r="A20" s="700"/>
      <c r="B20" s="703" t="s">
        <v>56</v>
      </c>
      <c r="C20" s="817">
        <f t="shared" si="0"/>
        <v>0</v>
      </c>
      <c r="D20" s="207">
        <f>IF($D$2=3,B!J20,IF(E4="Feet",TPOrder!FU34*3.2808399,TPOrder!FU34))</f>
        <v>0</v>
      </c>
      <c r="E20" s="700"/>
      <c r="F20" s="700"/>
      <c r="G20" s="700"/>
      <c r="H20" s="700"/>
      <c r="I20" s="700"/>
      <c r="J20" s="727"/>
      <c r="K20" s="727"/>
      <c r="L20" s="727"/>
      <c r="M20" s="727"/>
      <c r="N20" s="727"/>
      <c r="O20" s="727"/>
      <c r="P20" s="727"/>
      <c r="Q20" s="727"/>
      <c r="R20" s="727"/>
      <c r="S20" s="727"/>
      <c r="T20" s="727"/>
      <c r="U20" s="727"/>
      <c r="V20" s="727"/>
      <c r="W20" s="727"/>
      <c r="X20" s="727"/>
      <c r="Y20" s="727"/>
      <c r="Z20" s="727"/>
      <c r="AA20" s="727"/>
      <c r="AB20" s="727"/>
      <c r="AC20" s="727"/>
      <c r="AD20" s="727"/>
      <c r="AE20" s="727"/>
      <c r="AF20" s="727"/>
      <c r="AG20" s="727"/>
      <c r="AH20" s="727"/>
      <c r="AI20" s="727"/>
      <c r="AJ20" s="727"/>
      <c r="AK20" s="727"/>
      <c r="AL20" s="727"/>
      <c r="AM20" s="727"/>
      <c r="AN20" s="727"/>
    </row>
    <row r="21" spans="1:40" ht="12.3" x14ac:dyDescent="0.4">
      <c r="A21" s="128"/>
      <c r="B21" s="703" t="s">
        <v>118</v>
      </c>
      <c r="C21" s="817">
        <f t="shared" si="0"/>
        <v>0</v>
      </c>
      <c r="D21" s="207">
        <f>IF($D$2=3,B!J28,IF(E4="Feet",TPOrder!FU50*3.2808399,TPOrder!FU50))</f>
        <v>0</v>
      </c>
      <c r="E21" s="128"/>
      <c r="F21" s="128"/>
      <c r="G21" s="128"/>
      <c r="H21" s="128"/>
      <c r="I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</row>
    <row r="22" spans="1:40" ht="12.3" x14ac:dyDescent="0.4">
      <c r="A22" s="128"/>
      <c r="B22" s="703" t="s">
        <v>346</v>
      </c>
      <c r="C22" s="817">
        <f t="shared" si="0"/>
        <v>0</v>
      </c>
      <c r="D22" s="207">
        <f>IF(MAX(TPOrder!AU10,TPOrder!FU66,TPOrder!FU82)=0,0,IF(AND(TPOrder!FU68&gt;0,E4="metres"),TPOrder!FU68,IF(AND(TPOrder!FU68&gt;0,E4="Feet"),TPOrder!FU68*3.2808399,IF(AND(TPOrder!FU66&gt;0,E4="metres"),MAX(TPOrder!FU66,TPOrder!FU82),IF(AND(TPOrder!FU66&gt;0,E4="Feet"),MAX(TPOrder!FU66,TPOrder!FU82)*3.2808399,IF(AND(TPOrder!AU10&gt;0,E4="Metres"),TPOrder!BS9,TPOrder!BS9*3.2808399))))))</f>
        <v>0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</row>
    <row r="23" spans="1:40" ht="12.3" x14ac:dyDescent="0.4">
      <c r="A23" s="128"/>
      <c r="B23" s="703" t="s">
        <v>345</v>
      </c>
      <c r="C23" s="817">
        <f t="shared" si="0"/>
        <v>0</v>
      </c>
      <c r="D23" s="207">
        <f>IF(MAX(TPOrder!EV9,TPOrder!GA66,TPOrder!GA82)=0,0,IF(AND(TPOrder!GA68&gt;0,E4="metres"),TPOrder!GA68,IF(AND(TPOrder!GA68&gt;0,E4="Feet"),TPOrder!GA68*3.2808399,IF(AND(TPOrder!GA82&gt;0,E4="metres"),MAX(TPOrder!GA66,TPOrder!GA82),IF(AND(TPOrder!GA66&gt;0,E4="feet"),MAX(TPOrder!GA66,TPOrder!GA82)*3.2808399,IF(AND(TPOrder!FR9&gt;0,E4="Metres"),TPOrder!FR9,TPOrder!FR9*3.2808399))))))</f>
        <v>0</v>
      </c>
      <c r="E23" s="128"/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</row>
    <row r="24" spans="1:40" ht="12.3" x14ac:dyDescent="0.4">
      <c r="A24" s="128"/>
      <c r="B24" s="703" t="s">
        <v>290</v>
      </c>
      <c r="C24" s="817">
        <f t="shared" si="0"/>
        <v>0</v>
      </c>
      <c r="D24" s="207">
        <f>IF(E4="Feet",SUMMARY!L23*3.2808399,SUMMARY!L23)</f>
        <v>0</v>
      </c>
      <c r="E24" s="74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8"/>
      <c r="AE24" s="128"/>
      <c r="AF24" s="128"/>
      <c r="AG24" s="128"/>
      <c r="AH24" s="128"/>
      <c r="AI24" s="128"/>
      <c r="AJ24" s="128"/>
      <c r="AK24" s="128"/>
      <c r="AL24" s="128"/>
      <c r="AM24" s="128"/>
      <c r="AN24" s="128"/>
    </row>
    <row r="25" spans="1:40" s="747" customFormat="1" ht="12.3" x14ac:dyDescent="0.4">
      <c r="A25" s="748"/>
      <c r="B25" s="703" t="s">
        <v>496</v>
      </c>
      <c r="C25" s="817">
        <f>IF(D25=MAX(A55:AN55),MIN(A55,C55,E55,G55,I55,K55,M55,O55,Q55,S55,U55,W55,Y55,AA55,AC55,AE55,AG55,AI55,AK55,AM55),MAX(A55:AN55))</f>
        <v>0</v>
      </c>
      <c r="D25" s="814">
        <f>IF(E4="Feet",TPOrder!AV9*3.2808399,TPOrder!AV9)</f>
        <v>0</v>
      </c>
      <c r="E25" s="748"/>
      <c r="F25" s="748"/>
      <c r="G25" s="748"/>
      <c r="H25" s="748"/>
      <c r="I25" s="748"/>
      <c r="J25" s="748"/>
      <c r="K25" s="748"/>
      <c r="L25" s="748"/>
      <c r="M25" s="748"/>
      <c r="N25" s="748"/>
      <c r="O25" s="748"/>
      <c r="P25" s="748"/>
      <c r="Q25" s="748"/>
      <c r="R25" s="748"/>
      <c r="S25" s="748"/>
      <c r="T25" s="748"/>
      <c r="U25" s="748"/>
      <c r="V25" s="748"/>
      <c r="W25" s="748"/>
      <c r="X25" s="748"/>
      <c r="Y25" s="748"/>
      <c r="Z25" s="748"/>
      <c r="AA25" s="748"/>
      <c r="AB25" s="748"/>
      <c r="AC25" s="748"/>
      <c r="AD25" s="748"/>
      <c r="AE25" s="748"/>
      <c r="AF25" s="748"/>
      <c r="AG25" s="748"/>
      <c r="AH25" s="748"/>
      <c r="AI25" s="748"/>
      <c r="AJ25" s="748"/>
      <c r="AK25" s="748"/>
      <c r="AL25" s="748"/>
      <c r="AM25" s="748"/>
      <c r="AN25" s="748"/>
    </row>
    <row r="26" spans="1:40" s="747" customFormat="1" ht="12.3" x14ac:dyDescent="0.4">
      <c r="A26" s="748"/>
      <c r="B26" s="703" t="s">
        <v>497</v>
      </c>
      <c r="C26" s="817">
        <f>IF(D26=MAX(A56:AN56),MIN(A56,C56,E56,G56,I56,K56,M56,O56,Q56,S56,U56,W56,Y56,AA56,AC56,AE56,AG56,AI56,AK56,AM56),MAX(A56:AN56))</f>
        <v>0</v>
      </c>
      <c r="D26" s="814">
        <f>IF(E$4="Feet",TPOrder!ES9*3.2808399,TPOrder!ES9)</f>
        <v>0</v>
      </c>
      <c r="E26" s="748"/>
      <c r="F26" s="748"/>
      <c r="G26" s="748"/>
      <c r="H26" s="748"/>
      <c r="I26" s="748"/>
      <c r="J26" s="748"/>
      <c r="K26" s="748"/>
      <c r="L26" s="748"/>
      <c r="M26" s="748"/>
      <c r="N26" s="748"/>
      <c r="O26" s="748"/>
      <c r="P26" s="748"/>
      <c r="Q26" s="748"/>
      <c r="R26" s="748"/>
      <c r="S26" s="748"/>
      <c r="T26" s="748"/>
      <c r="U26" s="748"/>
      <c r="V26" s="748"/>
      <c r="W26" s="748"/>
      <c r="X26" s="748"/>
      <c r="Y26" s="748"/>
      <c r="Z26" s="748"/>
      <c r="AA26" s="748"/>
      <c r="AB26" s="748"/>
      <c r="AC26" s="748"/>
      <c r="AD26" s="748"/>
      <c r="AE26" s="748"/>
      <c r="AF26" s="748"/>
      <c r="AG26" s="748"/>
      <c r="AH26" s="748"/>
      <c r="AI26" s="748"/>
      <c r="AJ26" s="748"/>
      <c r="AK26" s="748"/>
      <c r="AL26" s="748"/>
      <c r="AM26" s="748"/>
      <c r="AN26" s="748"/>
    </row>
    <row r="27" spans="1:40" s="747" customFormat="1" ht="12.6" thickBot="1" x14ac:dyDescent="0.45">
      <c r="A27" s="748"/>
      <c r="B27" s="816" t="s">
        <v>498</v>
      </c>
      <c r="C27" s="818">
        <f>IF(D27=MAX(A58:AN58),MIN(A58,C58,E58,G58,I58,K58,M58,O58,Q58,S58,U58,W58,Y58,AA58,AC58,AE58,AG58,AI58,AK58,AM58),MAX(A58:AN58))</f>
        <v>0</v>
      </c>
      <c r="D27" s="206">
        <f>IF(E4="Feet",SUMMARY!I20*3.2808399,SUMMARY!I20)</f>
        <v>0</v>
      </c>
      <c r="E27" s="748"/>
      <c r="F27" s="748"/>
      <c r="G27" s="748"/>
      <c r="H27" s="748"/>
      <c r="I27" s="748"/>
      <c r="J27" s="748"/>
      <c r="K27" s="748"/>
      <c r="L27" s="748"/>
      <c r="M27" s="748"/>
      <c r="N27" s="748"/>
      <c r="O27" s="748"/>
      <c r="P27" s="748"/>
      <c r="Q27" s="748"/>
      <c r="R27" s="748"/>
      <c r="S27" s="748"/>
      <c r="T27" s="748"/>
      <c r="U27" s="748"/>
      <c r="V27" s="748"/>
      <c r="W27" s="748"/>
      <c r="X27" s="748"/>
      <c r="Y27" s="748"/>
      <c r="Z27" s="748"/>
      <c r="AA27" s="748"/>
      <c r="AB27" s="748"/>
      <c r="AC27" s="748"/>
      <c r="AD27" s="748"/>
      <c r="AE27" s="748"/>
      <c r="AF27" s="748"/>
      <c r="AG27" s="748"/>
      <c r="AH27" s="748"/>
      <c r="AI27" s="748"/>
      <c r="AJ27" s="748"/>
      <c r="AK27" s="748"/>
      <c r="AL27" s="748"/>
      <c r="AM27" s="748"/>
      <c r="AN27" s="748"/>
    </row>
    <row r="28" spans="1:40" s="204" customFormat="1" ht="10.199999999999999" x14ac:dyDescent="0.35">
      <c r="A28" s="701">
        <f>F7</f>
        <v>0</v>
      </c>
      <c r="B28" s="701">
        <f>G7</f>
        <v>0</v>
      </c>
      <c r="C28" s="701">
        <f>F8</f>
        <v>0</v>
      </c>
      <c r="D28" s="701">
        <f>G8</f>
        <v>0</v>
      </c>
      <c r="E28" s="701">
        <f>F9</f>
        <v>0</v>
      </c>
      <c r="F28" s="701">
        <f>G9</f>
        <v>0</v>
      </c>
      <c r="G28" s="701">
        <f>F10</f>
        <v>0</v>
      </c>
      <c r="H28" s="701">
        <f>G10</f>
        <v>0</v>
      </c>
      <c r="I28" s="701">
        <f>F11</f>
        <v>0</v>
      </c>
      <c r="J28" s="701">
        <f>G11</f>
        <v>0</v>
      </c>
      <c r="K28" s="701">
        <f>F12</f>
        <v>0</v>
      </c>
      <c r="L28" s="701">
        <f>G12</f>
        <v>0</v>
      </c>
      <c r="M28" s="701">
        <f>F13</f>
        <v>0</v>
      </c>
      <c r="N28" s="701">
        <f>G13</f>
        <v>0</v>
      </c>
      <c r="O28" s="701">
        <f>F14</f>
        <v>0</v>
      </c>
      <c r="P28" s="701">
        <f>G14</f>
        <v>0</v>
      </c>
      <c r="Q28" s="701">
        <f>I7</f>
        <v>0</v>
      </c>
      <c r="R28" s="701">
        <f>J7</f>
        <v>0</v>
      </c>
      <c r="S28" s="701">
        <f>I8</f>
        <v>0</v>
      </c>
      <c r="T28" s="701">
        <f>J8</f>
        <v>0</v>
      </c>
      <c r="U28" s="701">
        <f>I9</f>
        <v>0</v>
      </c>
      <c r="V28" s="701">
        <f>J9</f>
        <v>0</v>
      </c>
      <c r="W28" s="701">
        <f>I10</f>
        <v>0</v>
      </c>
      <c r="X28" s="701">
        <f>J10</f>
        <v>0</v>
      </c>
      <c r="Y28" s="701">
        <f>I11</f>
        <v>0</v>
      </c>
      <c r="Z28" s="701">
        <f>J11</f>
        <v>0</v>
      </c>
      <c r="AA28" s="701">
        <f>I12</f>
        <v>0</v>
      </c>
      <c r="AB28" s="701">
        <f>J12</f>
        <v>0</v>
      </c>
      <c r="AC28" s="701">
        <f>I13</f>
        <v>0</v>
      </c>
      <c r="AD28" s="701">
        <f>J13</f>
        <v>0</v>
      </c>
      <c r="AE28" s="701">
        <f>I14</f>
        <v>0</v>
      </c>
      <c r="AF28" s="204">
        <f>J14</f>
        <v>0</v>
      </c>
      <c r="AG28" s="204">
        <f>I15</f>
        <v>0</v>
      </c>
      <c r="AH28" s="204">
        <f>J15</f>
        <v>0</v>
      </c>
      <c r="AI28" s="204">
        <f>I17</f>
        <v>0</v>
      </c>
      <c r="AJ28" s="204">
        <f>J17</f>
        <v>0</v>
      </c>
      <c r="AK28" s="204">
        <f>I18</f>
        <v>0</v>
      </c>
      <c r="AL28" s="204">
        <f>J18</f>
        <v>0</v>
      </c>
      <c r="AM28" s="204">
        <f>I19</f>
        <v>0</v>
      </c>
      <c r="AN28" s="204">
        <f>J19</f>
        <v>0</v>
      </c>
    </row>
    <row r="29" spans="1:40" s="205" customFormat="1" ht="10.199999999999999" x14ac:dyDescent="0.35">
      <c r="A29" s="702" t="str">
        <f>IF(B29&gt;0,-1*((B$58-B29)*(A$58-A$28)/(B$58-B$28)-A$58),"")</f>
        <v/>
      </c>
      <c r="B29" s="701">
        <f>IF(AND(D7&gt;G7,D7&lt;G8),D7,0)</f>
        <v>0</v>
      </c>
      <c r="C29" s="702" t="str">
        <f>IF(D29&gt;0,-1*((D58-D29)*(C58-C28)/(D58-D28)-C58),"")</f>
        <v/>
      </c>
      <c r="D29" s="701">
        <f>IF(AND(D7&gt;G8,D7&lt;G9),D7,0)</f>
        <v>0</v>
      </c>
      <c r="E29" s="702" t="str">
        <f>IF(F29&gt;0,-1*((F58-F29)*(E58-E28)/(F58-F28)-E58),"")</f>
        <v/>
      </c>
      <c r="F29" s="701">
        <f>IF(AND(D7&gt;G9,D7&lt;G10),D7,0)</f>
        <v>0</v>
      </c>
      <c r="G29" s="702" t="str">
        <f>IF(H29&gt;0,-1*((H58-H29)*(G58-G28)/(H58-H28)-G58),"")</f>
        <v/>
      </c>
      <c r="H29" s="701">
        <f>IF(AND(D7&gt;G10,D7&lt;G11),D7,0)</f>
        <v>0</v>
      </c>
      <c r="I29" s="702" t="str">
        <f>IF(J29&gt;0,-1*((J58-J29)*(I58-I28)/(J58-J28)-I58),"")</f>
        <v/>
      </c>
      <c r="J29" s="701">
        <f>IF(AND(D7&gt;G11,D7&lt;G12),D7,0)</f>
        <v>0</v>
      </c>
      <c r="K29" s="702" t="str">
        <f>IF(L29&gt;0,-1*((L58-L29)*(K58-K28)/(L58-L28)-K58),"")</f>
        <v/>
      </c>
      <c r="L29" s="701">
        <f>IF(AND(D7&gt;G12,D7&lt;G13),D7,0)</f>
        <v>0</v>
      </c>
      <c r="M29" s="702" t="str">
        <f>IF(N29&gt;0,-1*((N58-N29)*(M58-M28)/(N58-N28)-M58),"")</f>
        <v/>
      </c>
      <c r="N29" s="701">
        <f>IF(AND(D7&gt;G13,D7&lt;G14),D7,0)</f>
        <v>0</v>
      </c>
      <c r="O29" s="702" t="str">
        <f>IF(P29&gt;0,-1*((P58-P29)*(O58-O28)/(P58-P28)-O58),"")</f>
        <v/>
      </c>
      <c r="P29" s="701">
        <f>IF(AND(D7&gt;G14,D7&lt;J7),D7,0)</f>
        <v>0</v>
      </c>
      <c r="Q29" s="702" t="str">
        <f>IF(R29&gt;0,-1*((R58-R29)*(Q58-Q28)/(R58-R28)-Q58),"")</f>
        <v/>
      </c>
      <c r="R29" s="701">
        <f>IF(AND(D7&gt;J7,D7&lt;J8),D7,0)</f>
        <v>0</v>
      </c>
      <c r="S29" s="702" t="str">
        <f>IF(T29&gt;0,-1*((T58-T29)*(S58-S28)/(T58-T28)-S58),"")</f>
        <v/>
      </c>
      <c r="T29" s="701">
        <f>IF(AND(D7&gt;J8,D7&lt;J9),D7,0)</f>
        <v>0</v>
      </c>
      <c r="U29" s="702" t="str">
        <f>IF(V29&gt;0,-1*((V58-V29)*(U58-U28)/(V58-V28)-U58),"")</f>
        <v/>
      </c>
      <c r="V29" s="701">
        <f>IF(AND(D7&gt;J9,D7&lt;J10),D7,0)</f>
        <v>0</v>
      </c>
      <c r="W29" s="702" t="str">
        <f>IF(X29&gt;0,-1*((X58-X29)*(W58-W28)/(X58-X28)-W58),"")</f>
        <v/>
      </c>
      <c r="X29" s="701">
        <f>IF(AND(D7&gt;J10,D7&lt;J11),D7,0)</f>
        <v>0</v>
      </c>
      <c r="Y29" s="702" t="str">
        <f>IF(Z29&gt;0,-1*((Z58-Z29)*(Y58-Y28)/(Z58-Z28)-Y58),"")</f>
        <v/>
      </c>
      <c r="Z29" s="701">
        <f>IF(AND(D7&gt;J11,D7&lt;J12),D7,0)</f>
        <v>0</v>
      </c>
      <c r="AA29" s="702" t="str">
        <f>IF(AB29&gt;0,-1*((AB58-AB29)*(AA58-AA28)/(AB58-AB28)-AA58),"")</f>
        <v/>
      </c>
      <c r="AB29" s="701">
        <f>IF(AND(D7&gt;J12,D7&lt;J13),D7,0)</f>
        <v>0</v>
      </c>
      <c r="AC29" s="702" t="str">
        <f>IF(AD29&gt;0,-1*((AD58-AD29)*(AC58-AC28)/(AD58-AD28)-AC58),"")</f>
        <v/>
      </c>
      <c r="AD29" s="701">
        <f>IF(AND(D7&gt;J13,D7&lt;J14),D7,0)</f>
        <v>0</v>
      </c>
      <c r="AE29" s="701" t="str">
        <f t="shared" ref="AE29" si="2">IF(AF29&gt;0,-1*((AF58-AF29)*(AE58-AE28)/(AF58-AF28)-AE58),"")</f>
        <v/>
      </c>
      <c r="AF29" s="204">
        <f t="shared" ref="AF29:AF46" si="3">IF(AND($D7&gt;AF$28,$D7&lt;AF$58),$D7,0)</f>
        <v>0</v>
      </c>
      <c r="AG29" s="204" t="str">
        <f t="shared" ref="AG29" si="4">IF(AH29&gt;0,-1*((AH58-AH29)*(AG58-AG28)/(AH58-AH28)-AG58),"")</f>
        <v/>
      </c>
      <c r="AH29" s="204">
        <f t="shared" ref="AH29:AH46" si="5">IF(AND($D7&gt;AH$28,$D7&lt;AH$58),$D7,0)</f>
        <v>0</v>
      </c>
      <c r="AI29" s="204" t="str">
        <f t="shared" ref="AI29" si="6">IF(AJ29&gt;0,-1*((AJ58-AJ29)*(AI58-AI28)/(AJ58-AJ28)-AI58),"")</f>
        <v/>
      </c>
      <c r="AJ29" s="204">
        <f t="shared" ref="AJ29:AJ46" si="7">IF(AND($D7&gt;AJ$28,$D7&lt;AJ$58),$D7,0)</f>
        <v>0</v>
      </c>
      <c r="AK29" s="204" t="str">
        <f t="shared" ref="AK29" si="8">IF(AL29&gt;0,-1*((AL58-AL29)*(AK58-AK28)/(AL58-AL28)-AK58),"")</f>
        <v/>
      </c>
      <c r="AL29" s="204">
        <f t="shared" ref="AL29:AL46" si="9">IF(AND($D7&gt;AL$28,$D7&lt;AL$58),$D7,0)</f>
        <v>0</v>
      </c>
      <c r="AM29" s="204" t="str">
        <f t="shared" ref="AM29" si="10">IF(AN29&gt;0,-1*((AN58-AN29)*(AM58-AM28)/(AN58-AN28)-AM58),"")</f>
        <v/>
      </c>
      <c r="AN29" s="204">
        <f t="shared" ref="AN29:AN46" si="11">IF(AND($D7&gt;AN$28,$D7&lt;AN$58),$D7,0)</f>
        <v>0</v>
      </c>
    </row>
    <row r="30" spans="1:40" s="205" customFormat="1" ht="10.199999999999999" x14ac:dyDescent="0.35">
      <c r="A30" s="702" t="str">
        <f>IF(B30&gt;0,-1*((B$58-B30)*(A$58-A$28)/(B$58-B$28)-A$58),"")</f>
        <v/>
      </c>
      <c r="B30" s="701">
        <f>IF(AND(D8&gt;G7,D8&lt;G8),D8,0)</f>
        <v>0</v>
      </c>
      <c r="C30" s="702" t="str">
        <f>IF(D30&gt;0,-1*((D58-D30)*(C58-C28)/(D58-D28)-C58),"")</f>
        <v/>
      </c>
      <c r="D30" s="701">
        <f>IF(AND(D8&gt;G8,D8&lt;G9),D8,0)</f>
        <v>0</v>
      </c>
      <c r="E30" s="702" t="str">
        <f>IF(F30&gt;0,-1*((F58-F30)*(E58-E28)/(F58-F28)-E58),"")</f>
        <v/>
      </c>
      <c r="F30" s="701">
        <f>IF(AND(D8&gt;G9,D8&lt;G10),D8,0)</f>
        <v>0</v>
      </c>
      <c r="G30" s="702" t="str">
        <f>IF(H30&gt;0,-1*((H58-H30)*(G58-G28)/(H58-H28)-G58),"")</f>
        <v/>
      </c>
      <c r="H30" s="701">
        <f>IF(AND(D8&gt;G10,D8&lt;G11),D8,0)</f>
        <v>0</v>
      </c>
      <c r="I30" s="702" t="str">
        <f>IF(J30&gt;0,-1*((J58-J30)*(I58-I28)/(J58-J28)-I58),"")</f>
        <v/>
      </c>
      <c r="J30" s="701">
        <f>IF(AND(D8&gt;G11,D8&lt;G12),D8,0)</f>
        <v>0</v>
      </c>
      <c r="K30" s="702" t="str">
        <f>IF(L30&gt;0,-1*((L58-L30)*(K58-K28)/(L58-L28)-K58),"")</f>
        <v/>
      </c>
      <c r="L30" s="701">
        <f>IF(AND(D8&gt;G12,D8&lt;G13),D8,0)</f>
        <v>0</v>
      </c>
      <c r="M30" s="702" t="str">
        <f>IF(N30&gt;0,-1*((N58-N30)*(M58-M28)/(N58-N28)-M58),"")</f>
        <v/>
      </c>
      <c r="N30" s="701">
        <f>IF(AND(D8&gt;G13,D8&lt;G14),D8,0)</f>
        <v>0</v>
      </c>
      <c r="O30" s="702" t="str">
        <f>IF(P30&gt;0,-1*((P58-P30)*(O58-O28)/(P58-P28)-O58),"")</f>
        <v/>
      </c>
      <c r="P30" s="701">
        <f>IF(AND(D8&gt;G14,D8&lt;J7),D8,0)</f>
        <v>0</v>
      </c>
      <c r="Q30" s="702" t="str">
        <f>IF(R30&gt;0,-1*((R58-R30)*(Q58-Q28)/(R58-R28)-Q58),"")</f>
        <v/>
      </c>
      <c r="R30" s="701">
        <f>IF(AND(D8&gt;J7,D8&lt;J8),D8,0)</f>
        <v>0</v>
      </c>
      <c r="S30" s="702" t="str">
        <f>IF(T30&gt;0,-1*((T58-T30)*(S58-S28)/(T58-T28)-S58),"")</f>
        <v/>
      </c>
      <c r="T30" s="701">
        <f>IF(AND(D8&gt;J8,D8&lt;J9),D8,0)</f>
        <v>0</v>
      </c>
      <c r="U30" s="702" t="str">
        <f>IF(V30&gt;0,-1*((V58-V30)*(U58-U28)/(V58-V28)-U58),"")</f>
        <v/>
      </c>
      <c r="V30" s="701">
        <f>IF(AND(D8&gt;J9,D8&lt;J10),D8,0)</f>
        <v>0</v>
      </c>
      <c r="W30" s="702" t="str">
        <f>IF(X30&gt;0,-1*((X58-X30)*(W58-W28)/(X58-X28)-W58),"")</f>
        <v/>
      </c>
      <c r="X30" s="701">
        <f>IF(AND(D8&gt;J10,D8&lt;J11),D8,0)</f>
        <v>0</v>
      </c>
      <c r="Y30" s="702" t="str">
        <f>IF(Z30&gt;0,-1*((Z58-Z30)*(Y58-Y28)/(Z58-Z28)-Y58),"")</f>
        <v/>
      </c>
      <c r="Z30" s="701">
        <f>IF(AND(D8&gt;J11,D8&lt;J12),D8,0)</f>
        <v>0</v>
      </c>
      <c r="AA30" s="702" t="str">
        <f>IF(AB30&gt;0,-1*((AB58-AB30)*(AA58-AA28)/(AB58-AB28)-AA58),"")</f>
        <v/>
      </c>
      <c r="AB30" s="701">
        <f>IF(AND(D8&gt;J12,D8&lt;J13),D8,0)</f>
        <v>0</v>
      </c>
      <c r="AC30" s="702" t="str">
        <f>IF(AD30&gt;0,-1*((AD58-AD30)*(AC58-AC28)/(AD58-AD28)-AC58),"")</f>
        <v/>
      </c>
      <c r="AD30" s="701">
        <f>IF(AND(D8&gt;J13,D8&lt;J14),D8,0)</f>
        <v>0</v>
      </c>
      <c r="AE30" s="701" t="str">
        <f>IF(AF30&gt;0,-1*((#REF!-AF30)*(#REF!-AE29)/(#REF!-AF29)-#REF!),"")</f>
        <v/>
      </c>
      <c r="AF30" s="204">
        <f t="shared" si="3"/>
        <v>0</v>
      </c>
      <c r="AG30" s="204" t="str">
        <f>IF(AH30&gt;0,-1*((#REF!-AH30)*(#REF!-AG29)/(#REF!-AH29)-#REF!),"")</f>
        <v/>
      </c>
      <c r="AH30" s="204">
        <f t="shared" si="5"/>
        <v>0</v>
      </c>
      <c r="AI30" s="204" t="str">
        <f>IF(AJ30&gt;0,-1*((#REF!-AJ30)*(#REF!-AI29)/(#REF!-AJ29)-#REF!),"")</f>
        <v/>
      </c>
      <c r="AJ30" s="204">
        <f t="shared" si="7"/>
        <v>0</v>
      </c>
      <c r="AK30" s="204" t="str">
        <f>IF(AL30&gt;0,-1*((#REF!-AL30)*(#REF!-AK29)/(#REF!-AL29)-#REF!),"")</f>
        <v/>
      </c>
      <c r="AL30" s="204">
        <f t="shared" si="9"/>
        <v>0</v>
      </c>
      <c r="AM30" s="204" t="str">
        <f>IF(AN30&gt;0,-1*((#REF!-AN30)*(#REF!-AM29)/(#REF!-AN29)-#REF!),"")</f>
        <v/>
      </c>
      <c r="AN30" s="204">
        <f t="shared" si="11"/>
        <v>0</v>
      </c>
    </row>
    <row r="31" spans="1:40" s="205" customFormat="1" ht="10.199999999999999" x14ac:dyDescent="0.35">
      <c r="A31" s="702" t="str">
        <f t="shared" ref="A31:A57" si="12">IF(B31&gt;0,-1*((B$58-B31)*(A$58-A$28)/(B$58-B$28)-A$58),"")</f>
        <v/>
      </c>
      <c r="B31" s="701">
        <f>IF(AND(D9&gt;G7,D9&lt;G8),D9,0)</f>
        <v>0</v>
      </c>
      <c r="C31" s="702" t="str">
        <f>IF(D31&gt;0,-1*((D58-D31)*(C58-C28)/(D58-D28)-C58),"")</f>
        <v/>
      </c>
      <c r="D31" s="701">
        <f>IF(AND(D9&gt;G8,D9&lt;G9),D9,0)</f>
        <v>0</v>
      </c>
      <c r="E31" s="702" t="str">
        <f>IF(F31&gt;0,-1*((F58-F31)*(E58-E28)/(F58-F28)-E58),"")</f>
        <v/>
      </c>
      <c r="F31" s="701">
        <f>IF(AND(D9&gt;G9,D9&lt;G10),D9,0)</f>
        <v>0</v>
      </c>
      <c r="G31" s="702" t="str">
        <f>IF(H31&gt;0,-1*((H58-H31)*(G58-G28)/(H58-H28)-G58),"")</f>
        <v/>
      </c>
      <c r="H31" s="701">
        <f>IF(AND(D9&gt;G10,D9&lt;G11),D9,0)</f>
        <v>0</v>
      </c>
      <c r="I31" s="702" t="str">
        <f>IF(J31&gt;0,-1*((J58-J31)*(I58-I28)/(J58-J28)-I58),"")</f>
        <v/>
      </c>
      <c r="J31" s="701">
        <f>IF(AND(D9&gt;G11,D9&lt;G12),D9,0)</f>
        <v>0</v>
      </c>
      <c r="K31" s="702" t="str">
        <f>IF(L31&gt;0,-1*((L58-L31)*(K58-K28)/(L58-L28)-K58),"")</f>
        <v/>
      </c>
      <c r="L31" s="701">
        <f>IF(AND(D9&gt;G12,D9&lt;G13),D9,0)</f>
        <v>0</v>
      </c>
      <c r="M31" s="702" t="str">
        <f>IF(N31&gt;0,-1*((N58-N31)*(M58-M28)/(N58-N28)-M58),"")</f>
        <v/>
      </c>
      <c r="N31" s="701">
        <f>IF(AND(D9&gt;G13,D9&lt;G14),D9,0)</f>
        <v>0</v>
      </c>
      <c r="O31" s="702" t="str">
        <f>IF(P31&gt;0,-1*((P58-P31)*(O58-O28)/(P58-P28)-O58),"")</f>
        <v/>
      </c>
      <c r="P31" s="701">
        <f>IF(AND(D9&gt;G14,D9&lt;J7),D9,0)</f>
        <v>0</v>
      </c>
      <c r="Q31" s="702" t="str">
        <f>IF(R31&gt;0,-1*((R58-R31)*(Q58-Q28)/(R58-R28)-Q58),"")</f>
        <v/>
      </c>
      <c r="R31" s="701">
        <f>IF(AND(D9&gt;J7,D9&lt;J8),D9,0)</f>
        <v>0</v>
      </c>
      <c r="S31" s="702" t="str">
        <f>IF(T31&gt;0,-1*((T58-T31)*(S58-S28)/(T58-T28)-S58),"")</f>
        <v/>
      </c>
      <c r="T31" s="701">
        <f>IF(AND(D9&gt;J8,D9&lt;J9),D9,0)</f>
        <v>0</v>
      </c>
      <c r="U31" s="702" t="str">
        <f>IF(V31&gt;0,-1*((V58-V31)*(U58-U28)/(V58-V28)-U58),"")</f>
        <v/>
      </c>
      <c r="V31" s="701">
        <f>IF(AND(D9&gt;J9,D9&lt;J10),D9,0)</f>
        <v>0</v>
      </c>
      <c r="W31" s="702" t="str">
        <f>IF(X31&gt;0,-1*((X58-X31)*(W58-W28)/(X58-X28)-W58),"")</f>
        <v/>
      </c>
      <c r="X31" s="701">
        <f>IF(AND(D9&gt;J10,D9&lt;J11),D9,0)</f>
        <v>0</v>
      </c>
      <c r="Y31" s="702" t="str">
        <f>IF(Z31&gt;0,-1*((Z58-Z31)*(Y58-Y28)/(Z58-Z28)-Y58),"")</f>
        <v/>
      </c>
      <c r="Z31" s="701">
        <f>IF(AND(D9&gt;J11,D9&lt;J12),D9,0)</f>
        <v>0</v>
      </c>
      <c r="AA31" s="702" t="str">
        <f>IF(AB31&gt;0,-1*((AB58-AB31)*(AA58-AA28)/(AB58-AB28)-AA58),"")</f>
        <v/>
      </c>
      <c r="AB31" s="701">
        <f>IF(AND(D9&gt;J12,D9&lt;J13),D9,0)</f>
        <v>0</v>
      </c>
      <c r="AC31" s="702" t="str">
        <f>IF(AD31&gt;0,-1*((AD58-AD31)*(AC58-AC28)/(AD58-AD28)-AC58),"")</f>
        <v/>
      </c>
      <c r="AD31" s="701">
        <f>IF(AND(D9&gt;J13,D9&lt;J14),D9,0)</f>
        <v>0</v>
      </c>
      <c r="AE31" s="701" t="str">
        <f>IF(AF31&gt;0,-1*((#REF!-AF31)*(#REF!-AE30)/(#REF!-AF30)-#REF!),"")</f>
        <v/>
      </c>
      <c r="AF31" s="204">
        <f t="shared" si="3"/>
        <v>0</v>
      </c>
      <c r="AG31" s="204" t="str">
        <f>IF(AH31&gt;0,-1*((#REF!-AH31)*(#REF!-AG30)/(#REF!-AH30)-#REF!),"")</f>
        <v/>
      </c>
      <c r="AH31" s="204">
        <f t="shared" si="5"/>
        <v>0</v>
      </c>
      <c r="AI31" s="204" t="str">
        <f>IF(AJ31&gt;0,-1*((#REF!-AJ31)*(#REF!-AI30)/(#REF!-AJ30)-#REF!),"")</f>
        <v/>
      </c>
      <c r="AJ31" s="204">
        <f t="shared" si="7"/>
        <v>0</v>
      </c>
      <c r="AK31" s="204" t="str">
        <f>IF(AL31&gt;0,-1*((#REF!-AL31)*(#REF!-AK30)/(#REF!-AL30)-#REF!),"")</f>
        <v/>
      </c>
      <c r="AL31" s="204">
        <f t="shared" si="9"/>
        <v>0</v>
      </c>
      <c r="AM31" s="204" t="str">
        <f>IF(AN31&gt;0,-1*((#REF!-AN31)*(#REF!-AM30)/(#REF!-AN30)-#REF!),"")</f>
        <v/>
      </c>
      <c r="AN31" s="204">
        <f t="shared" si="11"/>
        <v>0</v>
      </c>
    </row>
    <row r="32" spans="1:40" s="205" customFormat="1" ht="10.199999999999999" x14ac:dyDescent="0.35">
      <c r="A32" s="702" t="str">
        <f t="shared" si="12"/>
        <v/>
      </c>
      <c r="B32" s="701">
        <f>IF(AND(D10&gt;G7,D10&lt;G8),D10,0)</f>
        <v>0</v>
      </c>
      <c r="C32" s="702" t="str">
        <f>IF(D32&gt;0,-1*((D58-D32)*(C58-C28)/(D58-D28)-C58),"")</f>
        <v/>
      </c>
      <c r="D32" s="701">
        <f>IF(AND(D10&gt;G8,D10&lt;G9),D10,0)</f>
        <v>0</v>
      </c>
      <c r="E32" s="702" t="str">
        <f>IF(F32&gt;0,-1*((F58-F32)*(E58-E28)/(F58-F28)-E58),"")</f>
        <v/>
      </c>
      <c r="F32" s="701">
        <f>IF(AND(D10&gt;G9,D10&lt;G10),D10,0)</f>
        <v>0</v>
      </c>
      <c r="G32" s="702" t="str">
        <f>IF(H32&gt;0,-1*((H58-H32)*(G58-G28)/(H58-H28)-G58),"")</f>
        <v/>
      </c>
      <c r="H32" s="701">
        <f>IF(AND(D10&gt;G10,D10&lt;G11),D10,0)</f>
        <v>0</v>
      </c>
      <c r="I32" s="702" t="str">
        <f>IF(J32&gt;0,-1*((J58-J32)*(I58-I28)/(J58-J28)-I58),"")</f>
        <v/>
      </c>
      <c r="J32" s="701">
        <f>IF(AND(D10&gt;G11,D10&lt;G12),D10,0)</f>
        <v>0</v>
      </c>
      <c r="K32" s="702" t="str">
        <f>IF(L32&gt;0,-1*((L58-L32)*(K58-K28)/(L58-L28)-K58),"")</f>
        <v/>
      </c>
      <c r="L32" s="701">
        <f>IF(AND(D10&gt;G12,D10&lt;G13),D10,0)</f>
        <v>0</v>
      </c>
      <c r="M32" s="702" t="str">
        <f>IF(N32&gt;0,-1*((N58-N32)*(M58-M28)/(N58-N28)-M58),"")</f>
        <v/>
      </c>
      <c r="N32" s="701">
        <f>IF(AND(D10&gt;G13,D10&lt;G14),D10,0)</f>
        <v>0</v>
      </c>
      <c r="O32" s="702" t="str">
        <f>IF(P32&gt;0,-1*((P58-P32)*(O58-O28)/(P58-P28)-O58),"")</f>
        <v/>
      </c>
      <c r="P32" s="701">
        <f>IF(AND(D10&gt;G14,D10&lt;J7),D10,0)</f>
        <v>0</v>
      </c>
      <c r="Q32" s="702" t="str">
        <f>IF(R32&gt;0,-1*((R58-R32)*(Q58-Q28)/(R58-R28)-Q58),"")</f>
        <v/>
      </c>
      <c r="R32" s="701">
        <f>IF(AND(D10&gt;J7,D10&lt;J8),D10,0)</f>
        <v>0</v>
      </c>
      <c r="S32" s="702" t="str">
        <f>IF(T32&gt;0,-1*((T58-T32)*(S58-S28)/(T58-T28)-S58),"")</f>
        <v/>
      </c>
      <c r="T32" s="701">
        <f>IF(AND(D10&gt;J8,D10&lt;J9),D10,0)</f>
        <v>0</v>
      </c>
      <c r="U32" s="702" t="str">
        <f>IF(V32&gt;0,-1*((V58-V32)*(U58-U28)/(V58-V28)-U58),"")</f>
        <v/>
      </c>
      <c r="V32" s="701">
        <f>IF(AND(D10&gt;J9,D10&lt;J10),D10,0)</f>
        <v>0</v>
      </c>
      <c r="W32" s="702" t="str">
        <f>IF(X32&gt;0,-1*((X58-X32)*(W58-W28)/(X58-X28)-W58),"")</f>
        <v/>
      </c>
      <c r="X32" s="701">
        <f>IF(AND(D10&gt;J10,D10&lt;J11),D10,0)</f>
        <v>0</v>
      </c>
      <c r="Y32" s="702" t="str">
        <f>IF(Z32&gt;0,-1*((Z58-Z32)*(Y58-Y28)/(Z58-Z28)-Y58),"")</f>
        <v/>
      </c>
      <c r="Z32" s="701">
        <f>IF(AND(D10&gt;J11,D10&lt;J12),D10,0)</f>
        <v>0</v>
      </c>
      <c r="AA32" s="702" t="str">
        <f>IF(AB32&gt;0,-1*((AB58-AB32)*(AA58-AA28)/(AB58-AB28)-AA58),"")</f>
        <v/>
      </c>
      <c r="AB32" s="701">
        <f>IF(AND(D10&gt;J12,D10&lt;J13),D10,0)</f>
        <v>0</v>
      </c>
      <c r="AC32" s="702" t="str">
        <f>IF(AD32&gt;0,-1*((AD58-AD32)*(AC58-AC28)/(AD58-AD28)-AC58),"")</f>
        <v/>
      </c>
      <c r="AD32" s="701">
        <f>IF(AND(D10&gt;J13,D10&lt;J14),D10,0)</f>
        <v>0</v>
      </c>
      <c r="AE32" s="701" t="str">
        <f>IF(AF32&gt;0,-1*((#REF!-AF32)*(#REF!-AE31)/(#REF!-AF31)-#REF!),"")</f>
        <v/>
      </c>
      <c r="AF32" s="204">
        <f t="shared" si="3"/>
        <v>0</v>
      </c>
      <c r="AG32" s="204" t="str">
        <f>IF(AH32&gt;0,-1*((#REF!-AH32)*(#REF!-AG31)/(#REF!-AH31)-#REF!),"")</f>
        <v/>
      </c>
      <c r="AH32" s="204">
        <f t="shared" si="5"/>
        <v>0</v>
      </c>
      <c r="AI32" s="204" t="str">
        <f>IF(AJ32&gt;0,-1*((#REF!-AJ32)*(#REF!-AI31)/(#REF!-AJ31)-#REF!),"")</f>
        <v/>
      </c>
      <c r="AJ32" s="204">
        <f t="shared" si="7"/>
        <v>0</v>
      </c>
      <c r="AK32" s="204" t="str">
        <f>IF(AL32&gt;0,-1*((#REF!-AL32)*(#REF!-AK31)/(#REF!-AL31)-#REF!),"")</f>
        <v/>
      </c>
      <c r="AL32" s="204">
        <f t="shared" si="9"/>
        <v>0</v>
      </c>
      <c r="AM32" s="204" t="str">
        <f>IF(AN32&gt;0,-1*((#REF!-AN32)*(#REF!-AM31)/(#REF!-AN31)-#REF!),"")</f>
        <v/>
      </c>
      <c r="AN32" s="204">
        <f t="shared" si="11"/>
        <v>0</v>
      </c>
    </row>
    <row r="33" spans="1:40" s="204" customFormat="1" ht="10.199999999999999" x14ac:dyDescent="0.35">
      <c r="A33" s="702" t="str">
        <f t="shared" si="12"/>
        <v/>
      </c>
      <c r="B33" s="701">
        <f>IF(AND(D11&gt;G7,D11&lt;G8),D11,0)</f>
        <v>0</v>
      </c>
      <c r="C33" s="702" t="str">
        <f>IF(D33&gt;0,-1*((D58-D33)*(C58-C28)/(D58-D28)-C58),"")</f>
        <v/>
      </c>
      <c r="D33" s="701">
        <f>IF(AND(D11&gt;G8,D11&lt;G9),D11,0)</f>
        <v>0</v>
      </c>
      <c r="E33" s="702" t="str">
        <f>IF(F33&gt;0,-1*((F58-F33)*(E58-E28)/(F58-F28)-E58),"")</f>
        <v/>
      </c>
      <c r="F33" s="701">
        <f>IF(AND(D11&gt;G9,D11&lt;G10),D11,0)</f>
        <v>0</v>
      </c>
      <c r="G33" s="702" t="str">
        <f>IF(H33&gt;0,-1*((H58-H33)*(G58-G28)/(H58-H28)-G58),"")</f>
        <v/>
      </c>
      <c r="H33" s="701">
        <f>IF(AND(D11&gt;G10,D11&lt;G11),D11,0)</f>
        <v>0</v>
      </c>
      <c r="I33" s="702" t="str">
        <f>IF(J33&gt;0,-1*((J58-J33)*(I58-I28)/(J58-J28)-I58),"")</f>
        <v/>
      </c>
      <c r="J33" s="701">
        <f>IF(AND(D11&gt;G11,D11&lt;G12),D11,0)</f>
        <v>0</v>
      </c>
      <c r="K33" s="702" t="str">
        <f>IF(L33&gt;0,-1*((L58-L33)*(K58-K28)/(L58-L28)-K58),"")</f>
        <v/>
      </c>
      <c r="L33" s="701">
        <f>IF(AND(D11&gt;G12,D11&lt;G13),D11,0)</f>
        <v>0</v>
      </c>
      <c r="M33" s="702" t="str">
        <f>IF(N33&gt;0,-1*((N58-N33)*(M58-M28)/(N58-N28)-M58),"")</f>
        <v/>
      </c>
      <c r="N33" s="701">
        <f>IF(AND(D11&gt;G13,D11&lt;G14),D11,0)</f>
        <v>0</v>
      </c>
      <c r="O33" s="702" t="str">
        <f>IF(P33&gt;0,-1*((P58-P33)*(O58-O28)/(P58-P28)-O58),"")</f>
        <v/>
      </c>
      <c r="P33" s="701">
        <f>IF(AND(D11&gt;G14,D11&lt;J7),D11,0)</f>
        <v>0</v>
      </c>
      <c r="Q33" s="702" t="str">
        <f>IF(R33&gt;0,-1*((R58-R33)*(Q58-Q28)/(R58-R28)-Q58),"")</f>
        <v/>
      </c>
      <c r="R33" s="701">
        <f>IF(AND(D11&gt;J7,D11&lt;J8),D11,0)</f>
        <v>0</v>
      </c>
      <c r="S33" s="702" t="str">
        <f>IF(T33&gt;0,-1*((T58-T33)*(S58-S28)/(T58-T28)-S58),"")</f>
        <v/>
      </c>
      <c r="T33" s="701">
        <f>IF(AND(D11&gt;J8,D11&lt;J9),D11,0)</f>
        <v>0</v>
      </c>
      <c r="U33" s="702" t="str">
        <f>IF(V33&gt;0,-1*((V58-V33)*(U58-U28)/(V58-V28)-U58),"")</f>
        <v/>
      </c>
      <c r="V33" s="701">
        <f>IF(AND(D11&gt;J9,D11&lt;J10),D11,0)</f>
        <v>0</v>
      </c>
      <c r="W33" s="702" t="str">
        <f>IF(X33&gt;0,-1*((X58-X33)*(W58-W28)/(X58-X28)-W58),"")</f>
        <v/>
      </c>
      <c r="X33" s="701">
        <f>IF(AND(D11&gt;J10,D11&lt;J11),D11,0)</f>
        <v>0</v>
      </c>
      <c r="Y33" s="702" t="str">
        <f>IF(Z33&gt;0,-1*((Z58-Z33)*(Y58-Y28)/(Z58-Z28)-Y58),"")</f>
        <v/>
      </c>
      <c r="Z33" s="701">
        <f>IF(AND(D11&gt;J11,D11&lt;J12),D11,0)</f>
        <v>0</v>
      </c>
      <c r="AA33" s="702" t="str">
        <f>IF(AB33&gt;0,-1*((AB58-AB33)*(AA58-AA28)/(AB58-AB28)-AA58),"")</f>
        <v/>
      </c>
      <c r="AB33" s="701">
        <f>IF(AND(D11&gt;J12,D11&lt;J13),D11,0)</f>
        <v>0</v>
      </c>
      <c r="AC33" s="702" t="str">
        <f>IF(AD33&gt;0,-1*((AD58-AD33)*(AC58-AC28)/(AD58-AD28)-AC58),"")</f>
        <v/>
      </c>
      <c r="AD33" s="701">
        <f>IF(AND(D11&gt;J13,D11&lt;J14),D11,0)</f>
        <v>0</v>
      </c>
      <c r="AE33" s="701" t="str">
        <f>IF(AF33&gt;0,-1*((#REF!-AF33)*(#REF!-AE32)/(#REF!-AF32)-#REF!),"")</f>
        <v/>
      </c>
      <c r="AF33" s="204">
        <f t="shared" si="3"/>
        <v>0</v>
      </c>
      <c r="AG33" s="204" t="str">
        <f>IF(AH33&gt;0,-1*((#REF!-AH33)*(#REF!-AG32)/(#REF!-AH32)-#REF!),"")</f>
        <v/>
      </c>
      <c r="AH33" s="204">
        <f t="shared" si="5"/>
        <v>0</v>
      </c>
      <c r="AI33" s="204" t="str">
        <f>IF(AJ33&gt;0,-1*((#REF!-AJ33)*(#REF!-AI32)/(#REF!-AJ32)-#REF!),"")</f>
        <v/>
      </c>
      <c r="AJ33" s="204">
        <f t="shared" si="7"/>
        <v>0</v>
      </c>
      <c r="AK33" s="204" t="str">
        <f>IF(AL33&gt;0,-1*((#REF!-AL33)*(#REF!-AK32)/(#REF!-AL32)-#REF!),"")</f>
        <v/>
      </c>
      <c r="AL33" s="204">
        <f t="shared" si="9"/>
        <v>0</v>
      </c>
      <c r="AM33" s="204" t="str">
        <f>IF(AN33&gt;0,-1*((#REF!-AN33)*(#REF!-AM32)/(#REF!-AN32)-#REF!),"")</f>
        <v/>
      </c>
      <c r="AN33" s="204">
        <f t="shared" si="11"/>
        <v>0</v>
      </c>
    </row>
    <row r="34" spans="1:40" s="204" customFormat="1" ht="10.199999999999999" x14ac:dyDescent="0.35">
      <c r="A34" s="702" t="str">
        <f t="shared" si="12"/>
        <v/>
      </c>
      <c r="B34" s="701">
        <f>IF(AND(D12&gt;G7,D12&lt;G8),D12,0)</f>
        <v>0</v>
      </c>
      <c r="C34" s="702" t="str">
        <f>IF(D34&gt;0,-1*((D58-D34)*(C58-C28)/(D58-D28)-C58),"")</f>
        <v/>
      </c>
      <c r="D34" s="701">
        <f>IF(AND(D12&gt;G8,D12&lt;G9),D12,0)</f>
        <v>0</v>
      </c>
      <c r="E34" s="702" t="str">
        <f>IF(F34&gt;0,-1*((F58-F34)*(E58-E28)/(F58-F28)-E58),"")</f>
        <v/>
      </c>
      <c r="F34" s="701">
        <f>IF(AND(D12&gt;G9,D12&lt;G10),D12,0)</f>
        <v>0</v>
      </c>
      <c r="G34" s="702" t="str">
        <f>IF(H34&gt;0,-1*((H58-H34)*(G58-G28)/(H58-H28)-G58),"")</f>
        <v/>
      </c>
      <c r="H34" s="701">
        <f>IF(AND(D12&gt;G10,D12&lt;G11),D12,0)</f>
        <v>0</v>
      </c>
      <c r="I34" s="702" t="str">
        <f>IF(J34&gt;0,-1*((J58-J34)*(I58-I28)/(J58-J28)-I58),"")</f>
        <v/>
      </c>
      <c r="J34" s="701">
        <f>IF(AND(D12&gt;G11,D12&lt;G12),D12,0)</f>
        <v>0</v>
      </c>
      <c r="K34" s="702" t="str">
        <f>IF(L34&gt;0,-1*((L58-L34)*(K58-K28)/(L58-L28)-K58),"")</f>
        <v/>
      </c>
      <c r="L34" s="701">
        <f>IF(AND(D12&gt;G12,D12&lt;G13),D12,0)</f>
        <v>0</v>
      </c>
      <c r="M34" s="702" t="str">
        <f>IF(N34&gt;0,-1*((N58-N34)*(M58-M28)/(N58-N28)-M58),"")</f>
        <v/>
      </c>
      <c r="N34" s="701">
        <f>IF(AND(D12&gt;G13,D12&lt;G14),D12,0)</f>
        <v>0</v>
      </c>
      <c r="O34" s="702" t="str">
        <f>IF(P34&gt;0,-1*((P58-P34)*(O58-O28)/(P58-P28)-O58),"")</f>
        <v/>
      </c>
      <c r="P34" s="701">
        <f>IF(AND(D12&gt;G14,D12&lt;J7),D12,0)</f>
        <v>0</v>
      </c>
      <c r="Q34" s="702" t="str">
        <f>IF(R34&gt;0,-1*((R58-R34)*(Q58-Q28)/(R58-R28)-Q58),"")</f>
        <v/>
      </c>
      <c r="R34" s="701">
        <f>IF(AND(D12&gt;J7,D12&lt;J8),D12,0)</f>
        <v>0</v>
      </c>
      <c r="S34" s="702" t="str">
        <f>IF(T34&gt;0,-1*((T58-T34)*(S58-S28)/(T58-T28)-S58),"")</f>
        <v/>
      </c>
      <c r="T34" s="701">
        <f>IF(AND(D12&gt;J8,D12&lt;J9),D12,0)</f>
        <v>0</v>
      </c>
      <c r="U34" s="702" t="str">
        <f>IF(V34&gt;0,-1*((V58-V34)*(U58-U28)/(V58-V28)-U58),"")</f>
        <v/>
      </c>
      <c r="V34" s="701">
        <f>IF(AND(D12&gt;J9,D12&lt;J10),D12,0)</f>
        <v>0</v>
      </c>
      <c r="W34" s="702" t="str">
        <f>IF(X34&gt;0,-1*((X58-X34)*(W58-W28)/(X58-X28)-W58),"")</f>
        <v/>
      </c>
      <c r="X34" s="701">
        <f>IF(AND(D12&gt;J10,D12&lt;J11),D12,0)</f>
        <v>0</v>
      </c>
      <c r="Y34" s="702" t="str">
        <f>IF(Z34&gt;0,-1*((Z58-Z34)*(Y58-Y28)/(Z58-Z28)-Y58),"")</f>
        <v/>
      </c>
      <c r="Z34" s="701">
        <f>IF(AND(D12&gt;J11,D12&lt;J12),D12,0)</f>
        <v>0</v>
      </c>
      <c r="AA34" s="702" t="str">
        <f>IF(AB34&gt;0,-1*((AB58-AB34)*(AA58-AA28)/(AB58-AB28)-AA58),"")</f>
        <v/>
      </c>
      <c r="AB34" s="701">
        <f>IF(AND(D12&gt;J12,D12&lt;J13),D12,0)</f>
        <v>0</v>
      </c>
      <c r="AC34" s="702" t="str">
        <f>IF(AD34&gt;0,-1*((AD58-AD34)*(AC58-AC28)/(AD58-AD28)-AC58),"")</f>
        <v/>
      </c>
      <c r="AD34" s="701">
        <f>IF(AND(D12&gt;J13,D12&lt;J14),D12,0)</f>
        <v>0</v>
      </c>
      <c r="AE34" s="701" t="str">
        <f>IF(AF34&gt;0,-1*((#REF!-AF34)*(#REF!-AE33)/(#REF!-AF33)-#REF!),"")</f>
        <v/>
      </c>
      <c r="AF34" s="204">
        <f t="shared" si="3"/>
        <v>0</v>
      </c>
      <c r="AG34" s="204" t="str">
        <f>IF(AH34&gt;0,-1*((#REF!-AH34)*(#REF!-AG33)/(#REF!-AH33)-#REF!),"")</f>
        <v/>
      </c>
      <c r="AH34" s="204">
        <f t="shared" si="5"/>
        <v>0</v>
      </c>
      <c r="AI34" s="204" t="str">
        <f>IF(AJ34&gt;0,-1*((#REF!-AJ34)*(#REF!-AI33)/(#REF!-AJ33)-#REF!),"")</f>
        <v/>
      </c>
      <c r="AJ34" s="204">
        <f t="shared" si="7"/>
        <v>0</v>
      </c>
      <c r="AK34" s="204" t="str">
        <f>IF(AL34&gt;0,-1*((#REF!-AL34)*(#REF!-AK33)/(#REF!-AL33)-#REF!),"")</f>
        <v/>
      </c>
      <c r="AL34" s="204">
        <f t="shared" si="9"/>
        <v>0</v>
      </c>
      <c r="AM34" s="204" t="str">
        <f>IF(AN34&gt;0,-1*((#REF!-AN34)*(#REF!-AM33)/(#REF!-AN33)-#REF!),"")</f>
        <v/>
      </c>
      <c r="AN34" s="204">
        <f t="shared" si="11"/>
        <v>0</v>
      </c>
    </row>
    <row r="35" spans="1:40" s="205" customFormat="1" ht="10.199999999999999" x14ac:dyDescent="0.35">
      <c r="A35" s="702" t="str">
        <f t="shared" si="12"/>
        <v/>
      </c>
      <c r="B35" s="701">
        <f>IF(AND(D13&gt;G7,D13&lt;G8),D13,0)</f>
        <v>0</v>
      </c>
      <c r="C35" s="702" t="str">
        <f>IF(D35&gt;0,-1*((D58-D35)*(C58-C28)/(D58-D28)-C58),"")</f>
        <v/>
      </c>
      <c r="D35" s="701">
        <f>IF(AND(D13&gt;G8,D13&lt;G9),D13,0)</f>
        <v>0</v>
      </c>
      <c r="E35" s="702" t="str">
        <f>IF(F35&gt;0,-1*((F58-F35)*(E58-E28)/(F58-F28)-E58),"")</f>
        <v/>
      </c>
      <c r="F35" s="701">
        <f>IF(AND(D13&gt;G9,D13&lt;G10),D13,0)</f>
        <v>0</v>
      </c>
      <c r="G35" s="702" t="str">
        <f>IF(H35&gt;0,-1*((H58-H35)*(G58-G28)/(H58-H28)-G58),"")</f>
        <v/>
      </c>
      <c r="H35" s="701">
        <f>IF(AND(D13&gt;G10,D13&lt;G11),D13,0)</f>
        <v>0</v>
      </c>
      <c r="I35" s="702" t="str">
        <f>IF(J35&gt;0,-1*((J58-J35)*(I58-I28)/(J58-J28)-I58),"")</f>
        <v/>
      </c>
      <c r="J35" s="701">
        <f>IF(AND(D13&gt;G11,D13&lt;G12),D13,0)</f>
        <v>0</v>
      </c>
      <c r="K35" s="702" t="str">
        <f>IF(L35&gt;0,-1*((L58-L35)*(K58-K28)/(L58-L28)-K58),"")</f>
        <v/>
      </c>
      <c r="L35" s="701">
        <f>IF(AND(D13&gt;G12,D13&lt;G13),D13,0)</f>
        <v>0</v>
      </c>
      <c r="M35" s="702" t="str">
        <f>IF(N35&gt;0,-1*((N58-N35)*(M58-M28)/(N58-N28)-M58),"")</f>
        <v/>
      </c>
      <c r="N35" s="701">
        <f>IF(AND(D13&gt;G13,D13&lt;G14),D13,0)</f>
        <v>0</v>
      </c>
      <c r="O35" s="702" t="str">
        <f>IF(P35&gt;0,-1*((P58-P35)*(O58-O28)/(P58-P28)-O58),"")</f>
        <v/>
      </c>
      <c r="P35" s="701">
        <f>IF(AND(D13&gt;G14,D13&lt;J7),D13,0)</f>
        <v>0</v>
      </c>
      <c r="Q35" s="702" t="str">
        <f>IF(R35&gt;0,-1*((R58-R35)*(Q58-Q28)/(R58-R28)-Q58),"")</f>
        <v/>
      </c>
      <c r="R35" s="701">
        <f>IF(AND(D13&gt;J7,D13&lt;J8),D13,0)</f>
        <v>0</v>
      </c>
      <c r="S35" s="702" t="str">
        <f>IF(T35&gt;0,-1*((T58-T35)*(S58-S28)/(T58-T28)-S58),"")</f>
        <v/>
      </c>
      <c r="T35" s="701">
        <f>IF(AND(D13&gt;J8,D13&lt;J9),D13,0)</f>
        <v>0</v>
      </c>
      <c r="U35" s="702" t="str">
        <f>IF(V35&gt;0,-1*((V58-V35)*(U58-U28)/(V58-V28)-U58),"")</f>
        <v/>
      </c>
      <c r="V35" s="701">
        <f>IF(AND(D13&gt;J9,D13&lt;J10),D13,0)</f>
        <v>0</v>
      </c>
      <c r="W35" s="702" t="str">
        <f>IF(X35&gt;0,-1*((X58-X35)*(W58-W28)/(X58-X28)-W58),"")</f>
        <v/>
      </c>
      <c r="X35" s="701">
        <f>IF(AND(D13&gt;J10,D13&lt;J11),D13,0)</f>
        <v>0</v>
      </c>
      <c r="Y35" s="702" t="str">
        <f>IF(Z35&gt;0,-1*((Z58-Z35)*(Y58-Y28)/(Z58-Z28)-Y58),"")</f>
        <v/>
      </c>
      <c r="Z35" s="701">
        <f>IF(AND(D13&gt;J11,D13&lt;J12),D13,0)</f>
        <v>0</v>
      </c>
      <c r="AA35" s="702" t="str">
        <f>IF(AB35&gt;0,-1*((AB58-AB35)*(AA58-AA28)/(AB58-AB28)-AA58),"")</f>
        <v/>
      </c>
      <c r="AB35" s="701">
        <f>IF(AND(D13&gt;J12,D13&lt;J13),D13,0)</f>
        <v>0</v>
      </c>
      <c r="AC35" s="702" t="str">
        <f>IF(AD35&gt;0,-1*((AD58-AD35)*(AC58-AC28)/(AD58-AD28)-AC58),"")</f>
        <v/>
      </c>
      <c r="AD35" s="701">
        <f>IF(AND(D13&gt;J13,D13&lt;J14),D13,0)</f>
        <v>0</v>
      </c>
      <c r="AE35" s="701" t="str">
        <f>IF(AF35&gt;0,-1*((#REF!-AF35)*(#REF!-AE34)/(#REF!-AF34)-#REF!),"")</f>
        <v/>
      </c>
      <c r="AF35" s="204">
        <f t="shared" si="3"/>
        <v>0</v>
      </c>
      <c r="AG35" s="204" t="str">
        <f>IF(AH35&gt;0,-1*((#REF!-AH35)*(#REF!-AG34)/(#REF!-AH34)-#REF!),"")</f>
        <v/>
      </c>
      <c r="AH35" s="204">
        <f t="shared" si="5"/>
        <v>0</v>
      </c>
      <c r="AI35" s="204" t="str">
        <f>IF(AJ35&gt;0,-1*((#REF!-AJ35)*(#REF!-AI34)/(#REF!-AJ34)-#REF!),"")</f>
        <v/>
      </c>
      <c r="AJ35" s="204">
        <f t="shared" si="7"/>
        <v>0</v>
      </c>
      <c r="AK35" s="204" t="str">
        <f>IF(AL35&gt;0,-1*((#REF!-AL35)*(#REF!-AK34)/(#REF!-AL34)-#REF!),"")</f>
        <v/>
      </c>
      <c r="AL35" s="204">
        <f t="shared" si="9"/>
        <v>0</v>
      </c>
      <c r="AM35" s="204" t="str">
        <f>IF(AN35&gt;0,-1*((#REF!-AN35)*(#REF!-AM34)/(#REF!-AN34)-#REF!),"")</f>
        <v/>
      </c>
      <c r="AN35" s="204">
        <f t="shared" si="11"/>
        <v>0</v>
      </c>
    </row>
    <row r="36" spans="1:40" s="205" customFormat="1" ht="10.199999999999999" x14ac:dyDescent="0.35">
      <c r="A36" s="702" t="str">
        <f t="shared" si="12"/>
        <v/>
      </c>
      <c r="B36" s="701">
        <f t="shared" ref="B36:B43" si="13">IF(AND(D14&gt;G$7,D14&lt;G$8),D14,0)</f>
        <v>0</v>
      </c>
      <c r="C36" s="702" t="str">
        <f>IF(D36&gt;0,-1*((D58-D36)*(C58-C28)/(D58-D28)-C58),"")</f>
        <v/>
      </c>
      <c r="D36" s="701">
        <f t="shared" ref="D36:D46" si="14">IF(AND(D14&gt;G$8,D14&lt;G$9),D14,0)</f>
        <v>0</v>
      </c>
      <c r="E36" s="702" t="str">
        <f>IF(F36&gt;0,-1*((F58-F36)*(E58-E28)/(F58-F28)-E58),"")</f>
        <v/>
      </c>
      <c r="F36" s="701">
        <f t="shared" ref="F36:F46" si="15">IF(AND(D14&gt;G$9,D14&lt;G$10),D14,0)</f>
        <v>0</v>
      </c>
      <c r="G36" s="702" t="str">
        <f>IF(H36&gt;0,-1*((H58-H36)*(G58-G28)/(H58-H28)-G58),"")</f>
        <v/>
      </c>
      <c r="H36" s="701">
        <f t="shared" ref="H36:H46" si="16">IF(AND(D14&gt;G$10,D14&lt;G$11),D14,0)</f>
        <v>0</v>
      </c>
      <c r="I36" s="702" t="str">
        <f>IF(J36&gt;0,-1*((J58-J36)*(I58-I28)/(J58-J28)-I58),"")</f>
        <v/>
      </c>
      <c r="J36" s="701">
        <f t="shared" ref="J36:J46" si="17">IF(AND(D14&gt;G$11,D14&lt;G$12),D14,0)</f>
        <v>0</v>
      </c>
      <c r="K36" s="702" t="str">
        <f>IF(L36&gt;0,-1*((L58-L36)*(K58-K28)/(L58-L28)-K58),"")</f>
        <v/>
      </c>
      <c r="L36" s="701">
        <f t="shared" ref="L36:L46" si="18">IF(AND(D14&gt;G$12,D14&lt;G$13),D14,0)</f>
        <v>0</v>
      </c>
      <c r="M36" s="702" t="str">
        <f>IF(N36&gt;0,-1*((N58-N36)*(M58-M28)/(N58-N28)-M58),"")</f>
        <v/>
      </c>
      <c r="N36" s="701">
        <f t="shared" ref="N36:N46" si="19">IF(AND(D14&gt;G$13,D14&lt;G$14),D14,0)</f>
        <v>0</v>
      </c>
      <c r="O36" s="702" t="str">
        <f>IF(P36&gt;0,-1*((P58-P36)*(O58-O28)/(P58-P28)-O58),"")</f>
        <v/>
      </c>
      <c r="P36" s="701">
        <f t="shared" ref="P36:P46" si="20">IF(AND(D14&gt;G$14,D14&lt;J$7),D14,0)</f>
        <v>0</v>
      </c>
      <c r="Q36" s="702" t="str">
        <f>IF(R36&gt;0,-1*((R58-R36)*(Q58-Q28)/(R58-R28)-Q58),"")</f>
        <v/>
      </c>
      <c r="R36" s="701">
        <f t="shared" ref="R36:R46" si="21">IF(AND(D14&gt;J$7,D14&lt;J$8),D14,0)</f>
        <v>0</v>
      </c>
      <c r="S36" s="702" t="str">
        <f>IF(T36&gt;0,-1*((T58-T36)*(S58-S28)/(T58-T28)-S58),"")</f>
        <v/>
      </c>
      <c r="T36" s="701">
        <f t="shared" ref="T36:T46" si="22">IF(AND(D14&gt;J$8,D14&lt;J$9),D14,0)</f>
        <v>0</v>
      </c>
      <c r="U36" s="702" t="str">
        <f>IF(V36&gt;0,-1*((V58-V36)*(U58-U28)/(V58-V28)-U58),"")</f>
        <v/>
      </c>
      <c r="V36" s="701">
        <f t="shared" ref="V36:V46" si="23">IF(AND(D14&gt;J$9,D14&lt;J$10),D14,0)</f>
        <v>0</v>
      </c>
      <c r="W36" s="702" t="str">
        <f>IF(X36&gt;0,-1*((X58-X36)*(W58-W28)/(X58-X28)-W58),"")</f>
        <v/>
      </c>
      <c r="X36" s="701">
        <f t="shared" ref="X36:X46" si="24">IF(AND(D14&gt;J$10,D14&lt;J$11),D14,0)</f>
        <v>0</v>
      </c>
      <c r="Y36" s="702" t="str">
        <f>IF(Z36&gt;0,-1*((Z58-Z36)*(Y58-Y28)/(Z58-Z28)-Y58),"")</f>
        <v/>
      </c>
      <c r="Z36" s="701">
        <f t="shared" ref="Z36:Z46" si="25">IF(AND(D14&gt;J$11,D14&lt;J$12),D14,0)</f>
        <v>0</v>
      </c>
      <c r="AA36" s="702" t="str">
        <f>IF(AB36&gt;0,-1*((AB58-AB36)*(AA58-AA28)/(AB58-AB28)-AA58),"")</f>
        <v/>
      </c>
      <c r="AB36" s="701">
        <f t="shared" ref="AB36:AB46" si="26">IF(AND(D14&gt;J$12,D14&lt;J$13),D14,0)</f>
        <v>0</v>
      </c>
      <c r="AC36" s="702" t="str">
        <f>IF(AD36&gt;0,-1*((AD58-AD36)*(AC58-AC28)/(AD58-AD28)-AC58),"")</f>
        <v/>
      </c>
      <c r="AD36" s="701">
        <f t="shared" ref="AD36:AD46" si="27">IF(AND(D14&gt;J$13,D14&lt;J$14),D14,0)</f>
        <v>0</v>
      </c>
      <c r="AE36" s="701" t="str">
        <f>IF(AF36&gt;0,-1*((#REF!-AF36)*(#REF!-AE35)/(#REF!-AF35)-#REF!),"")</f>
        <v/>
      </c>
      <c r="AF36" s="204">
        <f t="shared" si="3"/>
        <v>0</v>
      </c>
      <c r="AG36" s="204" t="str">
        <f>IF(AH36&gt;0,-1*((#REF!-AH36)*(#REF!-AG35)/(#REF!-AH35)-#REF!),"")</f>
        <v/>
      </c>
      <c r="AH36" s="204">
        <f t="shared" si="5"/>
        <v>0</v>
      </c>
      <c r="AI36" s="204" t="str">
        <f>IF(AJ36&gt;0,-1*((#REF!-AJ36)*(#REF!-AI35)/(#REF!-AJ35)-#REF!),"")</f>
        <v/>
      </c>
      <c r="AJ36" s="204">
        <f t="shared" si="7"/>
        <v>0</v>
      </c>
      <c r="AK36" s="204" t="str">
        <f>IF(AL36&gt;0,-1*((#REF!-AL36)*(#REF!-AK35)/(#REF!-AL35)-#REF!),"")</f>
        <v/>
      </c>
      <c r="AL36" s="204">
        <f t="shared" si="9"/>
        <v>0</v>
      </c>
      <c r="AM36" s="204" t="str">
        <f>IF(AN36&gt;0,-1*((#REF!-AN36)*(#REF!-AM35)/(#REF!-AN35)-#REF!),"")</f>
        <v/>
      </c>
      <c r="AN36" s="204">
        <f t="shared" si="11"/>
        <v>0</v>
      </c>
    </row>
    <row r="37" spans="1:40" s="205" customFormat="1" ht="10.199999999999999" x14ac:dyDescent="0.35">
      <c r="A37" s="702" t="str">
        <f t="shared" si="12"/>
        <v/>
      </c>
      <c r="B37" s="701">
        <f>IF(AND(D15&gt;G$7,D15&lt;G$8),D15,0)</f>
        <v>0</v>
      </c>
      <c r="C37" s="702" t="str">
        <f t="shared" ref="C37:C57" si="28">IF(D37&gt;0,-1*((D$58-D37)*(C$58-C$28)/(D$58-D$28)-C$58),"")</f>
        <v/>
      </c>
      <c r="D37" s="701">
        <f t="shared" si="14"/>
        <v>0</v>
      </c>
      <c r="E37" s="702" t="str">
        <f t="shared" ref="E37:E57" si="29">IF(F37&gt;0,-1*((F$58-F37)*(E$58-E$28)/(F$58-F$28)-E$58),"")</f>
        <v/>
      </c>
      <c r="F37" s="701">
        <f t="shared" si="15"/>
        <v>0</v>
      </c>
      <c r="G37" s="702" t="str">
        <f t="shared" ref="G37:G57" si="30">IF(H37&gt;0,-1*((H$58-H37)*(G$58-G$28)/(H$58-H$28)-G$58),"")</f>
        <v/>
      </c>
      <c r="H37" s="701">
        <f t="shared" si="16"/>
        <v>0</v>
      </c>
      <c r="I37" s="702" t="str">
        <f t="shared" ref="I37:I57" si="31">IF(J37&gt;0,-1*((J$58-J37)*(I$58-I$28)/(J$58-J$28)-I$58),"")</f>
        <v/>
      </c>
      <c r="J37" s="701">
        <f t="shared" si="17"/>
        <v>0</v>
      </c>
      <c r="K37" s="702" t="str">
        <f t="shared" ref="K37:K57" si="32">IF(L37&gt;0,-1*((L$58-L37)*(K$58-K$28)/(L$58-L$28)-K$58),"")</f>
        <v/>
      </c>
      <c r="L37" s="701">
        <f t="shared" si="18"/>
        <v>0</v>
      </c>
      <c r="M37" s="702" t="str">
        <f t="shared" ref="M37:M57" si="33">IF(N37&gt;0,-1*((N$58-N37)*(M$58-M$28)/(N$58-N$28)-M$58),"")</f>
        <v/>
      </c>
      <c r="N37" s="701">
        <f t="shared" si="19"/>
        <v>0</v>
      </c>
      <c r="O37" s="702" t="str">
        <f t="shared" ref="O37:O57" si="34">IF(P37&gt;0,-1*((P$58-P37)*(O$58-O$28)/(P$58-P$28)-O$58),"")</f>
        <v/>
      </c>
      <c r="P37" s="701">
        <f t="shared" si="20"/>
        <v>0</v>
      </c>
      <c r="Q37" s="702" t="str">
        <f t="shared" ref="Q37:Q57" si="35">IF(R37&gt;0,-1*((R$58-R37)*(Q$58-Q$28)/(R$58-R$28)-Q$58),"")</f>
        <v/>
      </c>
      <c r="R37" s="701">
        <f t="shared" si="21"/>
        <v>0</v>
      </c>
      <c r="S37" s="702" t="str">
        <f t="shared" ref="S37:S57" si="36">IF(T37&gt;0,-1*((T$58-T37)*(S$58-S$28)/(T$58-T$28)-S$58),"")</f>
        <v/>
      </c>
      <c r="T37" s="701">
        <f t="shared" si="22"/>
        <v>0</v>
      </c>
      <c r="U37" s="702" t="str">
        <f t="shared" ref="U37:U57" si="37">IF(V37&gt;0,-1*((V$58-V37)*(U$58-U$28)/(V$58-V$28)-U$58),"")</f>
        <v/>
      </c>
      <c r="V37" s="701">
        <f t="shared" si="23"/>
        <v>0</v>
      </c>
      <c r="W37" s="702" t="str">
        <f t="shared" ref="W37:W57" si="38">IF(X37&gt;0,-1*((X$58-X37)*(W$58-W$28)/(X$58-X$28)-W$58),"")</f>
        <v/>
      </c>
      <c r="X37" s="701">
        <f t="shared" si="24"/>
        <v>0</v>
      </c>
      <c r="Y37" s="702" t="str">
        <f t="shared" ref="Y37:Y57" si="39">IF(Z37&gt;0,-1*((Z$58-Z37)*(Y$58-Y$28)/(Z$58-Z$28)-Y$58),"")</f>
        <v/>
      </c>
      <c r="Z37" s="701">
        <f t="shared" si="25"/>
        <v>0</v>
      </c>
      <c r="AA37" s="702" t="str">
        <f t="shared" ref="AA37:AA57" si="40">IF(AB37&gt;0,-1*((AB$58-AB37)*(AA$58-AA$28)/(AB$58-AB$28)-AA$58),"")</f>
        <v/>
      </c>
      <c r="AB37" s="701">
        <f t="shared" si="26"/>
        <v>0</v>
      </c>
      <c r="AC37" s="702" t="str">
        <f t="shared" ref="AC37:AC57" si="41">IF(AD37&gt;0,-1*((AD$58-AD37)*(AC$58-AC$28)/(AD$58-AD$28)-AC$58),"")</f>
        <v/>
      </c>
      <c r="AD37" s="701">
        <f t="shared" si="27"/>
        <v>0</v>
      </c>
      <c r="AE37" s="701" t="str">
        <f>IF(AF37&gt;0,-1*((#REF!-AF37)*(#REF!-AE36)/(#REF!-AF36)-#REF!),"")</f>
        <v/>
      </c>
      <c r="AF37" s="204">
        <f t="shared" si="3"/>
        <v>0</v>
      </c>
      <c r="AG37" s="204" t="str">
        <f>IF(AH37&gt;0,-1*((#REF!-AH37)*(#REF!-AG36)/(#REF!-AH36)-#REF!),"")</f>
        <v/>
      </c>
      <c r="AH37" s="204">
        <f t="shared" si="5"/>
        <v>0</v>
      </c>
      <c r="AI37" s="204" t="str">
        <f>IF(AJ37&gt;0,-1*((#REF!-AJ37)*(#REF!-AI36)/(#REF!-AJ36)-#REF!),"")</f>
        <v/>
      </c>
      <c r="AJ37" s="204">
        <f t="shared" si="7"/>
        <v>0</v>
      </c>
      <c r="AK37" s="204" t="str">
        <f>IF(AL37&gt;0,-1*((#REF!-AL37)*(#REF!-AK36)/(#REF!-AL36)-#REF!),"")</f>
        <v/>
      </c>
      <c r="AL37" s="204">
        <f t="shared" si="9"/>
        <v>0</v>
      </c>
      <c r="AM37" s="204" t="str">
        <f>IF(AN37&gt;0,-1*((#REF!-AN37)*(#REF!-AM36)/(#REF!-AN36)-#REF!),"")</f>
        <v/>
      </c>
      <c r="AN37" s="204">
        <f t="shared" si="11"/>
        <v>0</v>
      </c>
    </row>
    <row r="38" spans="1:40" s="205" customFormat="1" ht="10.199999999999999" x14ac:dyDescent="0.35">
      <c r="A38" s="702" t="str">
        <f t="shared" si="12"/>
        <v/>
      </c>
      <c r="B38" s="701">
        <f t="shared" si="13"/>
        <v>0</v>
      </c>
      <c r="C38" s="702" t="str">
        <f t="shared" si="28"/>
        <v/>
      </c>
      <c r="D38" s="701">
        <f t="shared" si="14"/>
        <v>0</v>
      </c>
      <c r="E38" s="702" t="str">
        <f t="shared" si="29"/>
        <v/>
      </c>
      <c r="F38" s="701">
        <f t="shared" si="15"/>
        <v>0</v>
      </c>
      <c r="G38" s="702" t="str">
        <f t="shared" si="30"/>
        <v/>
      </c>
      <c r="H38" s="701">
        <f t="shared" si="16"/>
        <v>0</v>
      </c>
      <c r="I38" s="702" t="str">
        <f t="shared" si="31"/>
        <v/>
      </c>
      <c r="J38" s="701">
        <f t="shared" si="17"/>
        <v>0</v>
      </c>
      <c r="K38" s="702" t="str">
        <f t="shared" si="32"/>
        <v/>
      </c>
      <c r="L38" s="701">
        <f t="shared" si="18"/>
        <v>0</v>
      </c>
      <c r="M38" s="702" t="str">
        <f t="shared" si="33"/>
        <v/>
      </c>
      <c r="N38" s="701">
        <f t="shared" si="19"/>
        <v>0</v>
      </c>
      <c r="O38" s="702" t="str">
        <f t="shared" si="34"/>
        <v/>
      </c>
      <c r="P38" s="701">
        <f t="shared" si="20"/>
        <v>0</v>
      </c>
      <c r="Q38" s="702" t="str">
        <f t="shared" si="35"/>
        <v/>
      </c>
      <c r="R38" s="701">
        <f t="shared" si="21"/>
        <v>0</v>
      </c>
      <c r="S38" s="702" t="str">
        <f t="shared" si="36"/>
        <v/>
      </c>
      <c r="T38" s="701">
        <f t="shared" si="22"/>
        <v>0</v>
      </c>
      <c r="U38" s="702" t="str">
        <f t="shared" si="37"/>
        <v/>
      </c>
      <c r="V38" s="701">
        <f t="shared" si="23"/>
        <v>0</v>
      </c>
      <c r="W38" s="702" t="str">
        <f t="shared" si="38"/>
        <v/>
      </c>
      <c r="X38" s="701">
        <f t="shared" si="24"/>
        <v>0</v>
      </c>
      <c r="Y38" s="702" t="str">
        <f t="shared" si="39"/>
        <v/>
      </c>
      <c r="Z38" s="701">
        <f t="shared" si="25"/>
        <v>0</v>
      </c>
      <c r="AA38" s="702" t="str">
        <f t="shared" si="40"/>
        <v/>
      </c>
      <c r="AB38" s="701">
        <f t="shared" si="26"/>
        <v>0</v>
      </c>
      <c r="AC38" s="702" t="str">
        <f t="shared" si="41"/>
        <v/>
      </c>
      <c r="AD38" s="701">
        <f t="shared" si="27"/>
        <v>0</v>
      </c>
      <c r="AE38" s="701" t="str">
        <f>IF(AF38&gt;0,-1*((#REF!-AF38)*(#REF!-AE37)/(#REF!-AF37)-#REF!),"")</f>
        <v/>
      </c>
      <c r="AF38" s="204">
        <f t="shared" si="3"/>
        <v>0</v>
      </c>
      <c r="AG38" s="204" t="str">
        <f>IF(AH38&gt;0,-1*((#REF!-AH38)*(#REF!-AG37)/(#REF!-AH37)-#REF!),"")</f>
        <v/>
      </c>
      <c r="AH38" s="204">
        <f t="shared" si="5"/>
        <v>0</v>
      </c>
      <c r="AI38" s="204" t="str">
        <f>IF(AJ38&gt;0,-1*((#REF!-AJ38)*(#REF!-AI37)/(#REF!-AJ37)-#REF!),"")</f>
        <v/>
      </c>
      <c r="AJ38" s="204">
        <f t="shared" si="7"/>
        <v>0</v>
      </c>
      <c r="AK38" s="204" t="str">
        <f>IF(AL38&gt;0,-1*((#REF!-AL38)*(#REF!-AK37)/(#REF!-AL37)-#REF!),"")</f>
        <v/>
      </c>
      <c r="AL38" s="204">
        <f t="shared" si="9"/>
        <v>0</v>
      </c>
      <c r="AM38" s="204" t="str">
        <f>IF(AN38&gt;0,-1*((#REF!-AN38)*(#REF!-AM37)/(#REF!-AN37)-#REF!),"")</f>
        <v/>
      </c>
      <c r="AN38" s="204">
        <f t="shared" si="11"/>
        <v>0</v>
      </c>
    </row>
    <row r="39" spans="1:40" s="205" customFormat="1" ht="10.199999999999999" x14ac:dyDescent="0.35">
      <c r="A39" s="702" t="str">
        <f t="shared" si="12"/>
        <v/>
      </c>
      <c r="B39" s="701">
        <f t="shared" si="13"/>
        <v>0</v>
      </c>
      <c r="C39" s="702" t="str">
        <f t="shared" si="28"/>
        <v/>
      </c>
      <c r="D39" s="701">
        <f t="shared" si="14"/>
        <v>0</v>
      </c>
      <c r="E39" s="702" t="str">
        <f t="shared" si="29"/>
        <v/>
      </c>
      <c r="F39" s="701">
        <f t="shared" si="15"/>
        <v>0</v>
      </c>
      <c r="G39" s="702" t="str">
        <f t="shared" si="30"/>
        <v/>
      </c>
      <c r="H39" s="701">
        <f t="shared" si="16"/>
        <v>0</v>
      </c>
      <c r="I39" s="702" t="str">
        <f t="shared" si="31"/>
        <v/>
      </c>
      <c r="J39" s="701">
        <f t="shared" si="17"/>
        <v>0</v>
      </c>
      <c r="K39" s="702" t="str">
        <f t="shared" si="32"/>
        <v/>
      </c>
      <c r="L39" s="701">
        <f t="shared" si="18"/>
        <v>0</v>
      </c>
      <c r="M39" s="702" t="str">
        <f t="shared" si="33"/>
        <v/>
      </c>
      <c r="N39" s="701">
        <f t="shared" si="19"/>
        <v>0</v>
      </c>
      <c r="O39" s="702" t="str">
        <f t="shared" si="34"/>
        <v/>
      </c>
      <c r="P39" s="701">
        <f t="shared" si="20"/>
        <v>0</v>
      </c>
      <c r="Q39" s="702" t="str">
        <f t="shared" si="35"/>
        <v/>
      </c>
      <c r="R39" s="701">
        <f t="shared" si="21"/>
        <v>0</v>
      </c>
      <c r="S39" s="702" t="str">
        <f t="shared" si="36"/>
        <v/>
      </c>
      <c r="T39" s="701">
        <f t="shared" si="22"/>
        <v>0</v>
      </c>
      <c r="U39" s="702" t="str">
        <f t="shared" si="37"/>
        <v/>
      </c>
      <c r="V39" s="701">
        <f t="shared" si="23"/>
        <v>0</v>
      </c>
      <c r="W39" s="702" t="str">
        <f t="shared" si="38"/>
        <v/>
      </c>
      <c r="X39" s="701">
        <f t="shared" si="24"/>
        <v>0</v>
      </c>
      <c r="Y39" s="702" t="str">
        <f t="shared" si="39"/>
        <v/>
      </c>
      <c r="Z39" s="701">
        <f t="shared" si="25"/>
        <v>0</v>
      </c>
      <c r="AA39" s="702" t="str">
        <f t="shared" si="40"/>
        <v/>
      </c>
      <c r="AB39" s="701">
        <f t="shared" si="26"/>
        <v>0</v>
      </c>
      <c r="AC39" s="702" t="str">
        <f t="shared" si="41"/>
        <v/>
      </c>
      <c r="AD39" s="701">
        <f t="shared" si="27"/>
        <v>0</v>
      </c>
      <c r="AE39" s="701" t="str">
        <f>IF(AF39&gt;0,-1*((#REF!-AF39)*(#REF!-AE38)/(#REF!-AF38)-#REF!),"")</f>
        <v/>
      </c>
      <c r="AF39" s="204">
        <f t="shared" si="3"/>
        <v>0</v>
      </c>
      <c r="AG39" s="204" t="str">
        <f>IF(AH39&gt;0,-1*((#REF!-AH39)*(#REF!-AG38)/(#REF!-AH38)-#REF!),"")</f>
        <v/>
      </c>
      <c r="AH39" s="204">
        <f t="shared" si="5"/>
        <v>0</v>
      </c>
      <c r="AI39" s="204" t="str">
        <f>IF(AJ39&gt;0,-1*((#REF!-AJ39)*(#REF!-AI38)/(#REF!-AJ38)-#REF!),"")</f>
        <v/>
      </c>
      <c r="AJ39" s="204">
        <f t="shared" si="7"/>
        <v>0</v>
      </c>
      <c r="AK39" s="204" t="str">
        <f>IF(AL39&gt;0,-1*((#REF!-AL39)*(#REF!-AK38)/(#REF!-AL38)-#REF!),"")</f>
        <v/>
      </c>
      <c r="AL39" s="204">
        <f t="shared" si="9"/>
        <v>0</v>
      </c>
      <c r="AM39" s="204" t="str">
        <f>IF(AN39&gt;0,-1*((#REF!-AN39)*(#REF!-AM38)/(#REF!-AN38)-#REF!),"")</f>
        <v/>
      </c>
      <c r="AN39" s="204">
        <f t="shared" si="11"/>
        <v>0</v>
      </c>
    </row>
    <row r="40" spans="1:40" s="205" customFormat="1" ht="10.199999999999999" x14ac:dyDescent="0.35">
      <c r="A40" s="702" t="str">
        <f t="shared" si="12"/>
        <v/>
      </c>
      <c r="B40" s="701">
        <f t="shared" si="13"/>
        <v>0</v>
      </c>
      <c r="C40" s="702" t="str">
        <f t="shared" si="28"/>
        <v/>
      </c>
      <c r="D40" s="701">
        <f t="shared" si="14"/>
        <v>0</v>
      </c>
      <c r="E40" s="702" t="str">
        <f t="shared" si="29"/>
        <v/>
      </c>
      <c r="F40" s="701">
        <f t="shared" si="15"/>
        <v>0</v>
      </c>
      <c r="G40" s="702" t="str">
        <f t="shared" si="30"/>
        <v/>
      </c>
      <c r="H40" s="701">
        <f t="shared" si="16"/>
        <v>0</v>
      </c>
      <c r="I40" s="702" t="str">
        <f t="shared" si="31"/>
        <v/>
      </c>
      <c r="J40" s="701">
        <f t="shared" si="17"/>
        <v>0</v>
      </c>
      <c r="K40" s="702" t="str">
        <f t="shared" si="32"/>
        <v/>
      </c>
      <c r="L40" s="701">
        <f t="shared" si="18"/>
        <v>0</v>
      </c>
      <c r="M40" s="702" t="str">
        <f t="shared" si="33"/>
        <v/>
      </c>
      <c r="N40" s="701">
        <f t="shared" si="19"/>
        <v>0</v>
      </c>
      <c r="O40" s="702" t="str">
        <f t="shared" si="34"/>
        <v/>
      </c>
      <c r="P40" s="701">
        <f t="shared" si="20"/>
        <v>0</v>
      </c>
      <c r="Q40" s="702" t="str">
        <f t="shared" si="35"/>
        <v/>
      </c>
      <c r="R40" s="701">
        <f t="shared" si="21"/>
        <v>0</v>
      </c>
      <c r="S40" s="702" t="str">
        <f t="shared" si="36"/>
        <v/>
      </c>
      <c r="T40" s="701">
        <f t="shared" si="22"/>
        <v>0</v>
      </c>
      <c r="U40" s="702" t="str">
        <f t="shared" si="37"/>
        <v/>
      </c>
      <c r="V40" s="701">
        <f t="shared" si="23"/>
        <v>0</v>
      </c>
      <c r="W40" s="702" t="str">
        <f t="shared" si="38"/>
        <v/>
      </c>
      <c r="X40" s="701">
        <f t="shared" si="24"/>
        <v>0</v>
      </c>
      <c r="Y40" s="702" t="str">
        <f t="shared" si="39"/>
        <v/>
      </c>
      <c r="Z40" s="701">
        <f t="shared" si="25"/>
        <v>0</v>
      </c>
      <c r="AA40" s="702" t="str">
        <f t="shared" si="40"/>
        <v/>
      </c>
      <c r="AB40" s="701">
        <f t="shared" si="26"/>
        <v>0</v>
      </c>
      <c r="AC40" s="702" t="str">
        <f t="shared" si="41"/>
        <v/>
      </c>
      <c r="AD40" s="701">
        <f t="shared" si="27"/>
        <v>0</v>
      </c>
      <c r="AE40" s="701" t="str">
        <f>IF(AF40&gt;0,-1*((#REF!-AF40)*(#REF!-AE39)/(#REF!-AF39)-#REF!),"")</f>
        <v/>
      </c>
      <c r="AF40" s="204">
        <f t="shared" si="3"/>
        <v>0</v>
      </c>
      <c r="AG40" s="204" t="str">
        <f>IF(AH40&gt;0,-1*((#REF!-AH40)*(#REF!-AG39)/(#REF!-AH39)-#REF!),"")</f>
        <v/>
      </c>
      <c r="AH40" s="204">
        <f t="shared" si="5"/>
        <v>0</v>
      </c>
      <c r="AI40" s="204" t="str">
        <f>IF(AJ40&gt;0,-1*((#REF!-AJ40)*(#REF!-AI39)/(#REF!-AJ39)-#REF!),"")</f>
        <v/>
      </c>
      <c r="AJ40" s="204">
        <f t="shared" si="7"/>
        <v>0</v>
      </c>
      <c r="AK40" s="204" t="str">
        <f>IF(AL40&gt;0,-1*((#REF!-AL40)*(#REF!-AK39)/(#REF!-AL39)-#REF!),"")</f>
        <v/>
      </c>
      <c r="AL40" s="204">
        <f t="shared" si="9"/>
        <v>0</v>
      </c>
      <c r="AM40" s="204" t="str">
        <f>IF(AN40&gt;0,-1*((#REF!-AN40)*(#REF!-AM39)/(#REF!-AN39)-#REF!),"")</f>
        <v/>
      </c>
      <c r="AN40" s="204">
        <f t="shared" si="11"/>
        <v>0</v>
      </c>
    </row>
    <row r="41" spans="1:40" s="205" customFormat="1" ht="10.199999999999999" x14ac:dyDescent="0.35">
      <c r="A41" s="702" t="str">
        <f t="shared" si="12"/>
        <v/>
      </c>
      <c r="B41" s="701">
        <f t="shared" si="13"/>
        <v>0</v>
      </c>
      <c r="C41" s="702" t="str">
        <f t="shared" si="28"/>
        <v/>
      </c>
      <c r="D41" s="701">
        <f t="shared" si="14"/>
        <v>0</v>
      </c>
      <c r="E41" s="702" t="str">
        <f t="shared" si="29"/>
        <v/>
      </c>
      <c r="F41" s="701">
        <f t="shared" si="15"/>
        <v>0</v>
      </c>
      <c r="G41" s="702" t="str">
        <f t="shared" si="30"/>
        <v/>
      </c>
      <c r="H41" s="701">
        <f t="shared" si="16"/>
        <v>0</v>
      </c>
      <c r="I41" s="702" t="str">
        <f t="shared" si="31"/>
        <v/>
      </c>
      <c r="J41" s="701">
        <f t="shared" si="17"/>
        <v>0</v>
      </c>
      <c r="K41" s="702" t="str">
        <f t="shared" si="32"/>
        <v/>
      </c>
      <c r="L41" s="701">
        <f t="shared" si="18"/>
        <v>0</v>
      </c>
      <c r="M41" s="702" t="str">
        <f t="shared" si="33"/>
        <v/>
      </c>
      <c r="N41" s="701">
        <f t="shared" si="19"/>
        <v>0</v>
      </c>
      <c r="O41" s="702" t="str">
        <f t="shared" si="34"/>
        <v/>
      </c>
      <c r="P41" s="701">
        <f t="shared" si="20"/>
        <v>0</v>
      </c>
      <c r="Q41" s="702" t="str">
        <f t="shared" si="35"/>
        <v/>
      </c>
      <c r="R41" s="701">
        <f t="shared" si="21"/>
        <v>0</v>
      </c>
      <c r="S41" s="702" t="str">
        <f t="shared" si="36"/>
        <v/>
      </c>
      <c r="T41" s="701">
        <f t="shared" si="22"/>
        <v>0</v>
      </c>
      <c r="U41" s="702" t="str">
        <f t="shared" si="37"/>
        <v/>
      </c>
      <c r="V41" s="701">
        <f t="shared" si="23"/>
        <v>0</v>
      </c>
      <c r="W41" s="702" t="str">
        <f t="shared" si="38"/>
        <v/>
      </c>
      <c r="X41" s="701">
        <f t="shared" si="24"/>
        <v>0</v>
      </c>
      <c r="Y41" s="702" t="str">
        <f t="shared" si="39"/>
        <v/>
      </c>
      <c r="Z41" s="701">
        <f t="shared" si="25"/>
        <v>0</v>
      </c>
      <c r="AA41" s="702" t="str">
        <f t="shared" si="40"/>
        <v/>
      </c>
      <c r="AB41" s="701">
        <f t="shared" si="26"/>
        <v>0</v>
      </c>
      <c r="AC41" s="702" t="str">
        <f t="shared" si="41"/>
        <v/>
      </c>
      <c r="AD41" s="701">
        <f t="shared" si="27"/>
        <v>0</v>
      </c>
      <c r="AE41" s="701" t="str">
        <f>IF(AF41&gt;0,-1*((#REF!-AF41)*(#REF!-AE40)/(#REF!-AF40)-#REF!),"")</f>
        <v/>
      </c>
      <c r="AF41" s="204">
        <f t="shared" si="3"/>
        <v>0</v>
      </c>
      <c r="AG41" s="204" t="str">
        <f>IF(AH41&gt;0,-1*((#REF!-AH41)*(#REF!-AG40)/(#REF!-AH40)-#REF!),"")</f>
        <v/>
      </c>
      <c r="AH41" s="204">
        <f t="shared" si="5"/>
        <v>0</v>
      </c>
      <c r="AI41" s="204" t="str">
        <f>IF(AJ41&gt;0,-1*((#REF!-AJ41)*(#REF!-AI40)/(#REF!-AJ40)-#REF!),"")</f>
        <v/>
      </c>
      <c r="AJ41" s="204">
        <f t="shared" si="7"/>
        <v>0</v>
      </c>
      <c r="AK41" s="204" t="str">
        <f>IF(AL41&gt;0,-1*((#REF!-AL41)*(#REF!-AK40)/(#REF!-AL40)-#REF!),"")</f>
        <v/>
      </c>
      <c r="AL41" s="204">
        <f t="shared" si="9"/>
        <v>0</v>
      </c>
      <c r="AM41" s="204" t="str">
        <f>IF(AN41&gt;0,-1*((#REF!-AN41)*(#REF!-AM40)/(#REF!-AN40)-#REF!),"")</f>
        <v/>
      </c>
      <c r="AN41" s="204">
        <f t="shared" si="11"/>
        <v>0</v>
      </c>
    </row>
    <row r="42" spans="1:40" s="205" customFormat="1" ht="10.199999999999999" x14ac:dyDescent="0.35">
      <c r="A42" s="702" t="str">
        <f>IF(B42&gt;0,-1*((B$58-B42)*(A$58-A$28)/(B$58-B$28)-A$58),"")</f>
        <v/>
      </c>
      <c r="B42" s="701">
        <f t="shared" si="13"/>
        <v>0</v>
      </c>
      <c r="C42" s="702" t="str">
        <f t="shared" si="28"/>
        <v/>
      </c>
      <c r="D42" s="701">
        <f t="shared" si="14"/>
        <v>0</v>
      </c>
      <c r="E42" s="702" t="str">
        <f t="shared" si="29"/>
        <v/>
      </c>
      <c r="F42" s="701">
        <f t="shared" si="15"/>
        <v>0</v>
      </c>
      <c r="G42" s="702" t="str">
        <f t="shared" si="30"/>
        <v/>
      </c>
      <c r="H42" s="701">
        <f t="shared" si="16"/>
        <v>0</v>
      </c>
      <c r="I42" s="702" t="str">
        <f t="shared" si="31"/>
        <v/>
      </c>
      <c r="J42" s="701">
        <f t="shared" si="17"/>
        <v>0</v>
      </c>
      <c r="K42" s="702" t="str">
        <f t="shared" si="32"/>
        <v/>
      </c>
      <c r="L42" s="701">
        <f t="shared" si="18"/>
        <v>0</v>
      </c>
      <c r="M42" s="702" t="str">
        <f t="shared" si="33"/>
        <v/>
      </c>
      <c r="N42" s="701">
        <f t="shared" si="19"/>
        <v>0</v>
      </c>
      <c r="O42" s="702" t="str">
        <f t="shared" si="34"/>
        <v/>
      </c>
      <c r="P42" s="701">
        <f t="shared" si="20"/>
        <v>0</v>
      </c>
      <c r="Q42" s="702" t="str">
        <f t="shared" si="35"/>
        <v/>
      </c>
      <c r="R42" s="701">
        <f t="shared" si="21"/>
        <v>0</v>
      </c>
      <c r="S42" s="702" t="str">
        <f t="shared" si="36"/>
        <v/>
      </c>
      <c r="T42" s="701">
        <f t="shared" si="22"/>
        <v>0</v>
      </c>
      <c r="U42" s="702" t="str">
        <f t="shared" si="37"/>
        <v/>
      </c>
      <c r="V42" s="701">
        <f t="shared" si="23"/>
        <v>0</v>
      </c>
      <c r="W42" s="702" t="str">
        <f t="shared" si="38"/>
        <v/>
      </c>
      <c r="X42" s="701">
        <f t="shared" si="24"/>
        <v>0</v>
      </c>
      <c r="Y42" s="702" t="str">
        <f t="shared" si="39"/>
        <v/>
      </c>
      <c r="Z42" s="701">
        <f t="shared" si="25"/>
        <v>0</v>
      </c>
      <c r="AA42" s="702" t="str">
        <f t="shared" si="40"/>
        <v/>
      </c>
      <c r="AB42" s="701">
        <f t="shared" si="26"/>
        <v>0</v>
      </c>
      <c r="AC42" s="702" t="str">
        <f t="shared" si="41"/>
        <v/>
      </c>
      <c r="AD42" s="701">
        <f t="shared" si="27"/>
        <v>0</v>
      </c>
      <c r="AE42" s="701" t="str">
        <f>IF(AF42&gt;0,-1*((#REF!-AF42)*(#REF!-AE41)/(#REF!-AF41)-#REF!),"")</f>
        <v/>
      </c>
      <c r="AF42" s="204">
        <f t="shared" si="3"/>
        <v>0</v>
      </c>
      <c r="AG42" s="204" t="str">
        <f>IF(AH42&gt;0,-1*((#REF!-AH42)*(#REF!-AG41)/(#REF!-AH41)-#REF!),"")</f>
        <v/>
      </c>
      <c r="AH42" s="204">
        <f t="shared" si="5"/>
        <v>0</v>
      </c>
      <c r="AI42" s="204" t="str">
        <f>IF(AJ42&gt;0,-1*((#REF!-AJ42)*(#REF!-AI41)/(#REF!-AJ41)-#REF!),"")</f>
        <v/>
      </c>
      <c r="AJ42" s="204">
        <f t="shared" si="7"/>
        <v>0</v>
      </c>
      <c r="AK42" s="204" t="str">
        <f>IF(AL42&gt;0,-1*((#REF!-AL42)*(#REF!-AK41)/(#REF!-AL41)-#REF!),"")</f>
        <v/>
      </c>
      <c r="AL42" s="204">
        <f t="shared" si="9"/>
        <v>0</v>
      </c>
      <c r="AM42" s="204" t="str">
        <f>IF(AN42&gt;0,-1*((#REF!-AN42)*(#REF!-AM41)/(#REF!-AN41)-#REF!),"")</f>
        <v/>
      </c>
      <c r="AN42" s="204">
        <f t="shared" si="11"/>
        <v>0</v>
      </c>
    </row>
    <row r="43" spans="1:40" s="205" customFormat="1" ht="10.199999999999999" x14ac:dyDescent="0.35">
      <c r="A43" s="702" t="str">
        <f t="shared" si="12"/>
        <v/>
      </c>
      <c r="B43" s="701">
        <f t="shared" si="13"/>
        <v>0</v>
      </c>
      <c r="C43" s="702" t="str">
        <f t="shared" si="28"/>
        <v/>
      </c>
      <c r="D43" s="701">
        <f t="shared" si="14"/>
        <v>0</v>
      </c>
      <c r="E43" s="702" t="str">
        <f t="shared" si="29"/>
        <v/>
      </c>
      <c r="F43" s="701">
        <f t="shared" si="15"/>
        <v>0</v>
      </c>
      <c r="G43" s="702" t="str">
        <f t="shared" si="30"/>
        <v/>
      </c>
      <c r="H43" s="701">
        <f t="shared" si="16"/>
        <v>0</v>
      </c>
      <c r="I43" s="702" t="str">
        <f t="shared" si="31"/>
        <v/>
      </c>
      <c r="J43" s="701">
        <f t="shared" si="17"/>
        <v>0</v>
      </c>
      <c r="K43" s="702" t="str">
        <f t="shared" si="32"/>
        <v/>
      </c>
      <c r="L43" s="701">
        <f t="shared" si="18"/>
        <v>0</v>
      </c>
      <c r="M43" s="702" t="str">
        <f t="shared" si="33"/>
        <v/>
      </c>
      <c r="N43" s="701">
        <f t="shared" si="19"/>
        <v>0</v>
      </c>
      <c r="O43" s="702" t="str">
        <f t="shared" si="34"/>
        <v/>
      </c>
      <c r="P43" s="701">
        <f t="shared" si="20"/>
        <v>0</v>
      </c>
      <c r="Q43" s="702" t="str">
        <f t="shared" si="35"/>
        <v/>
      </c>
      <c r="R43" s="701">
        <f t="shared" si="21"/>
        <v>0</v>
      </c>
      <c r="S43" s="702" t="str">
        <f t="shared" si="36"/>
        <v/>
      </c>
      <c r="T43" s="701">
        <f t="shared" si="22"/>
        <v>0</v>
      </c>
      <c r="U43" s="702" t="str">
        <f t="shared" si="37"/>
        <v/>
      </c>
      <c r="V43" s="701">
        <f t="shared" si="23"/>
        <v>0</v>
      </c>
      <c r="W43" s="702" t="str">
        <f t="shared" si="38"/>
        <v/>
      </c>
      <c r="X43" s="701">
        <f t="shared" si="24"/>
        <v>0</v>
      </c>
      <c r="Y43" s="702" t="str">
        <f t="shared" si="39"/>
        <v/>
      </c>
      <c r="Z43" s="701">
        <f t="shared" si="25"/>
        <v>0</v>
      </c>
      <c r="AA43" s="702" t="str">
        <f t="shared" si="40"/>
        <v/>
      </c>
      <c r="AB43" s="701">
        <f t="shared" si="26"/>
        <v>0</v>
      </c>
      <c r="AC43" s="702" t="str">
        <f t="shared" si="41"/>
        <v/>
      </c>
      <c r="AD43" s="701">
        <f t="shared" si="27"/>
        <v>0</v>
      </c>
      <c r="AE43" s="701" t="str">
        <f>IF(AF43&gt;0,-1*((#REF!-AF43)*(#REF!-AE42)/(#REF!-AF42)-#REF!),"")</f>
        <v/>
      </c>
      <c r="AF43" s="204">
        <f t="shared" si="3"/>
        <v>0</v>
      </c>
      <c r="AG43" s="204" t="str">
        <f>IF(AH43&gt;0,-1*((#REF!-AH43)*(#REF!-AG42)/(#REF!-AH42)-#REF!),"")</f>
        <v/>
      </c>
      <c r="AH43" s="204">
        <f t="shared" si="5"/>
        <v>0</v>
      </c>
      <c r="AI43" s="204" t="str">
        <f>IF(AJ43&gt;0,-1*((#REF!-AJ43)*(#REF!-AI42)/(#REF!-AJ42)-#REF!),"")</f>
        <v/>
      </c>
      <c r="AJ43" s="204">
        <f t="shared" si="7"/>
        <v>0</v>
      </c>
      <c r="AK43" s="204" t="str">
        <f>IF(AL43&gt;0,-1*((#REF!-AL43)*(#REF!-AK42)/(#REF!-AL42)-#REF!),"")</f>
        <v/>
      </c>
      <c r="AL43" s="204">
        <f t="shared" si="9"/>
        <v>0</v>
      </c>
      <c r="AM43" s="204" t="str">
        <f>IF(AN43&gt;0,-1*((#REF!-AN43)*(#REF!-AM42)/(#REF!-AN42)-#REF!),"")</f>
        <v/>
      </c>
      <c r="AN43" s="204">
        <f t="shared" si="11"/>
        <v>0</v>
      </c>
    </row>
    <row r="44" spans="1:40" s="205" customFormat="1" ht="10.199999999999999" x14ac:dyDescent="0.35">
      <c r="A44" s="702" t="str">
        <f t="shared" si="12"/>
        <v/>
      </c>
      <c r="B44" s="701">
        <f t="shared" ref="B44:B46" si="42">IF(AND(D22&gt;G$7,D22&lt;G$8),D22,0)</f>
        <v>0</v>
      </c>
      <c r="C44" s="702" t="str">
        <f t="shared" si="28"/>
        <v/>
      </c>
      <c r="D44" s="701">
        <f t="shared" si="14"/>
        <v>0</v>
      </c>
      <c r="E44" s="702" t="str">
        <f t="shared" si="29"/>
        <v/>
      </c>
      <c r="F44" s="701">
        <f t="shared" si="15"/>
        <v>0</v>
      </c>
      <c r="G44" s="702" t="str">
        <f t="shared" si="30"/>
        <v/>
      </c>
      <c r="H44" s="701">
        <f t="shared" si="16"/>
        <v>0</v>
      </c>
      <c r="I44" s="702" t="str">
        <f t="shared" si="31"/>
        <v/>
      </c>
      <c r="J44" s="701">
        <f t="shared" si="17"/>
        <v>0</v>
      </c>
      <c r="K44" s="702" t="str">
        <f t="shared" si="32"/>
        <v/>
      </c>
      <c r="L44" s="701">
        <f t="shared" si="18"/>
        <v>0</v>
      </c>
      <c r="M44" s="702" t="str">
        <f t="shared" si="33"/>
        <v/>
      </c>
      <c r="N44" s="701">
        <f t="shared" si="19"/>
        <v>0</v>
      </c>
      <c r="O44" s="702" t="str">
        <f t="shared" si="34"/>
        <v/>
      </c>
      <c r="P44" s="701">
        <f t="shared" si="20"/>
        <v>0</v>
      </c>
      <c r="Q44" s="702" t="str">
        <f t="shared" si="35"/>
        <v/>
      </c>
      <c r="R44" s="701">
        <f t="shared" si="21"/>
        <v>0</v>
      </c>
      <c r="S44" s="702" t="str">
        <f t="shared" si="36"/>
        <v/>
      </c>
      <c r="T44" s="701">
        <f t="shared" si="22"/>
        <v>0</v>
      </c>
      <c r="U44" s="702" t="str">
        <f t="shared" si="37"/>
        <v/>
      </c>
      <c r="V44" s="701">
        <f t="shared" si="23"/>
        <v>0</v>
      </c>
      <c r="W44" s="702" t="str">
        <f t="shared" si="38"/>
        <v/>
      </c>
      <c r="X44" s="701">
        <f t="shared" si="24"/>
        <v>0</v>
      </c>
      <c r="Y44" s="702" t="str">
        <f t="shared" si="39"/>
        <v/>
      </c>
      <c r="Z44" s="701">
        <f t="shared" si="25"/>
        <v>0</v>
      </c>
      <c r="AA44" s="702" t="str">
        <f t="shared" si="40"/>
        <v/>
      </c>
      <c r="AB44" s="701">
        <f t="shared" si="26"/>
        <v>0</v>
      </c>
      <c r="AC44" s="702" t="str">
        <f t="shared" si="41"/>
        <v/>
      </c>
      <c r="AD44" s="701">
        <f t="shared" si="27"/>
        <v>0</v>
      </c>
      <c r="AE44" s="701" t="str">
        <f>IF(AF44&gt;0,-1*((#REF!-AF44)*(#REF!-AE43)/(#REF!-AF43)-#REF!),"")</f>
        <v/>
      </c>
      <c r="AF44" s="204">
        <f t="shared" si="3"/>
        <v>0</v>
      </c>
      <c r="AG44" s="204" t="str">
        <f>IF(AH44&gt;0,-1*((#REF!-AH44)*(#REF!-AG43)/(#REF!-AH43)-#REF!),"")</f>
        <v/>
      </c>
      <c r="AH44" s="204">
        <f t="shared" si="5"/>
        <v>0</v>
      </c>
      <c r="AI44" s="204" t="str">
        <f>IF(AJ44&gt;0,-1*((#REF!-AJ44)*(#REF!-AI43)/(#REF!-AJ43)-#REF!),"")</f>
        <v/>
      </c>
      <c r="AJ44" s="204">
        <f t="shared" si="7"/>
        <v>0</v>
      </c>
      <c r="AK44" s="204" t="str">
        <f>IF(AL44&gt;0,-1*((#REF!-AL44)*(#REF!-AK43)/(#REF!-AL43)-#REF!),"")</f>
        <v/>
      </c>
      <c r="AL44" s="204">
        <f t="shared" si="9"/>
        <v>0</v>
      </c>
      <c r="AM44" s="204" t="str">
        <f>IF(AN44&gt;0,-1*((#REF!-AN44)*(#REF!-AM43)/(#REF!-AN43)-#REF!),"")</f>
        <v/>
      </c>
      <c r="AN44" s="204">
        <f t="shared" si="11"/>
        <v>0</v>
      </c>
    </row>
    <row r="45" spans="1:40" s="205" customFormat="1" ht="10.199999999999999" x14ac:dyDescent="0.35">
      <c r="A45" s="702" t="str">
        <f t="shared" si="12"/>
        <v/>
      </c>
      <c r="B45" s="701">
        <f t="shared" si="42"/>
        <v>0</v>
      </c>
      <c r="C45" s="702" t="str">
        <f t="shared" si="28"/>
        <v/>
      </c>
      <c r="D45" s="701">
        <f t="shared" si="14"/>
        <v>0</v>
      </c>
      <c r="E45" s="702" t="str">
        <f t="shared" si="29"/>
        <v/>
      </c>
      <c r="F45" s="701">
        <f t="shared" si="15"/>
        <v>0</v>
      </c>
      <c r="G45" s="702" t="str">
        <f t="shared" si="30"/>
        <v/>
      </c>
      <c r="H45" s="701">
        <f t="shared" si="16"/>
        <v>0</v>
      </c>
      <c r="I45" s="702" t="str">
        <f t="shared" si="31"/>
        <v/>
      </c>
      <c r="J45" s="701">
        <f t="shared" si="17"/>
        <v>0</v>
      </c>
      <c r="K45" s="702" t="str">
        <f t="shared" si="32"/>
        <v/>
      </c>
      <c r="L45" s="701">
        <f t="shared" si="18"/>
        <v>0</v>
      </c>
      <c r="M45" s="702" t="str">
        <f t="shared" si="33"/>
        <v/>
      </c>
      <c r="N45" s="701">
        <f t="shared" si="19"/>
        <v>0</v>
      </c>
      <c r="O45" s="702" t="str">
        <f t="shared" si="34"/>
        <v/>
      </c>
      <c r="P45" s="701">
        <f t="shared" si="20"/>
        <v>0</v>
      </c>
      <c r="Q45" s="702" t="str">
        <f t="shared" si="35"/>
        <v/>
      </c>
      <c r="R45" s="701">
        <f t="shared" si="21"/>
        <v>0</v>
      </c>
      <c r="S45" s="702" t="str">
        <f t="shared" si="36"/>
        <v/>
      </c>
      <c r="T45" s="701">
        <f t="shared" si="22"/>
        <v>0</v>
      </c>
      <c r="U45" s="702" t="str">
        <f t="shared" si="37"/>
        <v/>
      </c>
      <c r="V45" s="701">
        <f t="shared" si="23"/>
        <v>0</v>
      </c>
      <c r="W45" s="702" t="str">
        <f t="shared" si="38"/>
        <v/>
      </c>
      <c r="X45" s="701">
        <f t="shared" si="24"/>
        <v>0</v>
      </c>
      <c r="Y45" s="702" t="str">
        <f t="shared" si="39"/>
        <v/>
      </c>
      <c r="Z45" s="701">
        <f t="shared" si="25"/>
        <v>0</v>
      </c>
      <c r="AA45" s="702" t="str">
        <f t="shared" si="40"/>
        <v/>
      </c>
      <c r="AB45" s="701">
        <f t="shared" si="26"/>
        <v>0</v>
      </c>
      <c r="AC45" s="702" t="str">
        <f t="shared" si="41"/>
        <v/>
      </c>
      <c r="AD45" s="701">
        <f t="shared" si="27"/>
        <v>0</v>
      </c>
      <c r="AE45" s="701" t="str">
        <f>IF(AF45&gt;0,-1*((#REF!-AF45)*(#REF!-AE44)/(#REF!-AF44)-#REF!),"")</f>
        <v/>
      </c>
      <c r="AF45" s="204">
        <f t="shared" si="3"/>
        <v>0</v>
      </c>
      <c r="AG45" s="204" t="str">
        <f>IF(AH45&gt;0,-1*((#REF!-AH45)*(#REF!-AG44)/(#REF!-AH44)-#REF!),"")</f>
        <v/>
      </c>
      <c r="AH45" s="204">
        <f t="shared" si="5"/>
        <v>0</v>
      </c>
      <c r="AI45" s="204" t="str">
        <f>IF(AJ45&gt;0,-1*((#REF!-AJ45)*(#REF!-AI44)/(#REF!-AJ44)-#REF!),"")</f>
        <v/>
      </c>
      <c r="AJ45" s="204">
        <f t="shared" si="7"/>
        <v>0</v>
      </c>
      <c r="AK45" s="204" t="str">
        <f>IF(AL45&gt;0,-1*((#REF!-AL45)*(#REF!-AK44)/(#REF!-AL44)-#REF!),"")</f>
        <v/>
      </c>
      <c r="AL45" s="204">
        <f t="shared" si="9"/>
        <v>0</v>
      </c>
      <c r="AM45" s="204" t="str">
        <f>IF(AN45&gt;0,-1*((#REF!-AN45)*(#REF!-AM44)/(#REF!-AN44)-#REF!),"")</f>
        <v/>
      </c>
      <c r="AN45" s="204">
        <f t="shared" si="11"/>
        <v>0</v>
      </c>
    </row>
    <row r="46" spans="1:40" s="205" customFormat="1" ht="10.199999999999999" x14ac:dyDescent="0.35">
      <c r="A46" s="702" t="str">
        <f t="shared" si="12"/>
        <v/>
      </c>
      <c r="B46" s="701">
        <f t="shared" si="42"/>
        <v>0</v>
      </c>
      <c r="C46" s="702" t="str">
        <f t="shared" si="28"/>
        <v/>
      </c>
      <c r="D46" s="701">
        <f t="shared" si="14"/>
        <v>0</v>
      </c>
      <c r="E46" s="702" t="str">
        <f t="shared" si="29"/>
        <v/>
      </c>
      <c r="F46" s="701">
        <f t="shared" si="15"/>
        <v>0</v>
      </c>
      <c r="G46" s="702" t="str">
        <f t="shared" si="30"/>
        <v/>
      </c>
      <c r="H46" s="701">
        <f t="shared" si="16"/>
        <v>0</v>
      </c>
      <c r="I46" s="702" t="str">
        <f t="shared" si="31"/>
        <v/>
      </c>
      <c r="J46" s="701">
        <f t="shared" si="17"/>
        <v>0</v>
      </c>
      <c r="K46" s="702" t="str">
        <f t="shared" si="32"/>
        <v/>
      </c>
      <c r="L46" s="701">
        <f t="shared" si="18"/>
        <v>0</v>
      </c>
      <c r="M46" s="702" t="str">
        <f t="shared" si="33"/>
        <v/>
      </c>
      <c r="N46" s="701">
        <f t="shared" si="19"/>
        <v>0</v>
      </c>
      <c r="O46" s="702" t="str">
        <f t="shared" si="34"/>
        <v/>
      </c>
      <c r="P46" s="701">
        <f t="shared" si="20"/>
        <v>0</v>
      </c>
      <c r="Q46" s="702" t="str">
        <f t="shared" si="35"/>
        <v/>
      </c>
      <c r="R46" s="701">
        <f t="shared" si="21"/>
        <v>0</v>
      </c>
      <c r="S46" s="702" t="str">
        <f t="shared" si="36"/>
        <v/>
      </c>
      <c r="T46" s="701">
        <f t="shared" si="22"/>
        <v>0</v>
      </c>
      <c r="U46" s="702" t="str">
        <f t="shared" si="37"/>
        <v/>
      </c>
      <c r="V46" s="701">
        <f t="shared" si="23"/>
        <v>0</v>
      </c>
      <c r="W46" s="702" t="str">
        <f t="shared" si="38"/>
        <v/>
      </c>
      <c r="X46" s="701">
        <f t="shared" si="24"/>
        <v>0</v>
      </c>
      <c r="Y46" s="702" t="str">
        <f t="shared" si="39"/>
        <v/>
      </c>
      <c r="Z46" s="701">
        <f t="shared" si="25"/>
        <v>0</v>
      </c>
      <c r="AA46" s="702" t="str">
        <f t="shared" si="40"/>
        <v/>
      </c>
      <c r="AB46" s="701">
        <f t="shared" si="26"/>
        <v>0</v>
      </c>
      <c r="AC46" s="702" t="str">
        <f t="shared" si="41"/>
        <v/>
      </c>
      <c r="AD46" s="701">
        <f t="shared" si="27"/>
        <v>0</v>
      </c>
      <c r="AE46" s="701" t="str">
        <f>IF(AF46&gt;0,-1*((#REF!-AF46)*(#REF!-AE45)/(#REF!-AF45)-#REF!),"")</f>
        <v/>
      </c>
      <c r="AF46" s="204">
        <f t="shared" si="3"/>
        <v>0</v>
      </c>
      <c r="AG46" s="204" t="str">
        <f>IF(AH46&gt;0,-1*((#REF!-AH46)*(#REF!-AG45)/(#REF!-AH45)-#REF!),"")</f>
        <v/>
      </c>
      <c r="AH46" s="204">
        <f t="shared" si="5"/>
        <v>0</v>
      </c>
      <c r="AI46" s="204" t="str">
        <f>IF(AJ46&gt;0,-1*((#REF!-AJ46)*(#REF!-AI45)/(#REF!-AJ45)-#REF!),"")</f>
        <v/>
      </c>
      <c r="AJ46" s="204">
        <f t="shared" si="7"/>
        <v>0</v>
      </c>
      <c r="AK46" s="204" t="str">
        <f>IF(AL46&gt;0,-1*((#REF!-AL46)*(#REF!-AK45)/(#REF!-AL45)-#REF!),"")</f>
        <v/>
      </c>
      <c r="AL46" s="204">
        <f t="shared" si="9"/>
        <v>0</v>
      </c>
      <c r="AM46" s="204" t="str">
        <f>IF(AN46&gt;0,-1*((#REF!-AN46)*(#REF!-AM45)/(#REF!-AN45)-#REF!),"")</f>
        <v/>
      </c>
      <c r="AN46" s="204">
        <f t="shared" si="11"/>
        <v>0</v>
      </c>
    </row>
    <row r="47" spans="1:40" s="204" customFormat="1" ht="12.3" x14ac:dyDescent="0.4">
      <c r="A47" t="str">
        <f t="shared" si="12"/>
        <v/>
      </c>
      <c r="B47" s="701">
        <f t="shared" ref="B47:B54" si="43">IF(AND(N7&gt;G$7,N7&lt;G$8),N7,0)</f>
        <v>0</v>
      </c>
      <c r="C47" s="702" t="str">
        <f t="shared" si="28"/>
        <v/>
      </c>
      <c r="D47" s="701">
        <f t="shared" ref="D47:D54" si="44">IF(AND(N7&gt;G$8,N7&lt;G$9),N7,0)</f>
        <v>0</v>
      </c>
      <c r="E47" s="702" t="str">
        <f t="shared" si="29"/>
        <v/>
      </c>
      <c r="F47" s="701">
        <f t="shared" ref="F47:F54" si="45">IF(AND(N7&gt;G$9,N7&lt;G$10),N7,0)</f>
        <v>0</v>
      </c>
      <c r="G47" s="702" t="str">
        <f t="shared" si="30"/>
        <v/>
      </c>
      <c r="H47" s="701">
        <f t="shared" ref="H47:H54" si="46">IF(AND(N7&gt;G$10,N7&lt;G$11),N7,0)</f>
        <v>0</v>
      </c>
      <c r="I47" s="702" t="str">
        <f t="shared" si="31"/>
        <v/>
      </c>
      <c r="J47" s="701">
        <f t="shared" ref="J47:J54" si="47">IF(AND(N7&gt;G$11,N7&lt;G$12),N7,0)</f>
        <v>0</v>
      </c>
      <c r="K47" s="702" t="str">
        <f t="shared" si="32"/>
        <v/>
      </c>
      <c r="L47" s="701">
        <f t="shared" ref="L47:L54" si="48">IF(AND(N7&gt;G$12,N7&lt;G$13),N7,0)</f>
        <v>0</v>
      </c>
      <c r="M47" s="702" t="str">
        <f t="shared" si="33"/>
        <v/>
      </c>
      <c r="N47" s="701">
        <f t="shared" ref="N47:N54" si="49">IF(AND(N7&gt;G$13,N7&lt;G$14),N7,0)</f>
        <v>0</v>
      </c>
      <c r="O47" s="702" t="str">
        <f t="shared" si="34"/>
        <v/>
      </c>
      <c r="P47" s="701">
        <f t="shared" ref="P47:P54" si="50">IF(AND(N7&gt;G$14,N7&lt;J$7),N7,0)</f>
        <v>0</v>
      </c>
      <c r="Q47" s="702" t="str">
        <f t="shared" si="35"/>
        <v/>
      </c>
      <c r="R47" s="701">
        <f t="shared" ref="R47:R54" si="51">IF(AND(N7&gt;J$7,N7&lt;J$8),N7,0)</f>
        <v>0</v>
      </c>
      <c r="S47" s="702" t="str">
        <f t="shared" si="36"/>
        <v/>
      </c>
      <c r="T47" s="701">
        <f t="shared" ref="T47:T54" si="52">IF(AND(N7&gt;J$8,N7&lt;J$9),N7,0)</f>
        <v>0</v>
      </c>
      <c r="U47" s="702" t="str">
        <f t="shared" si="37"/>
        <v/>
      </c>
      <c r="V47" s="701">
        <f t="shared" ref="V47:V54" si="53">IF(AND(N7&gt;J$9,N7&lt;J$10),N7,0)</f>
        <v>0</v>
      </c>
      <c r="W47" s="702" t="str">
        <f t="shared" si="38"/>
        <v/>
      </c>
      <c r="X47" s="701">
        <f t="shared" ref="X47:X54" si="54">IF(AND(N7&gt;J$10,N7&lt;J$11),N7,0)</f>
        <v>0</v>
      </c>
      <c r="Y47" s="702" t="str">
        <f t="shared" si="39"/>
        <v/>
      </c>
      <c r="Z47" s="701">
        <f t="shared" ref="Z47:Z54" si="55">IF(AND(N7&gt;J$11,N7&lt;J$12),N7,0)</f>
        <v>0</v>
      </c>
      <c r="AA47" s="702" t="str">
        <f t="shared" si="40"/>
        <v/>
      </c>
      <c r="AB47" s="701">
        <f t="shared" ref="AB47:AB54" si="56">IF(AND(N7&gt;J$12,N7&lt;J$13),N7,0)</f>
        <v>0</v>
      </c>
      <c r="AC47" s="702" t="str">
        <f t="shared" si="41"/>
        <v/>
      </c>
      <c r="AD47" s="701">
        <f t="shared" ref="AD47:AD54" si="57">IF(AND(N7&gt;J$13,N7&lt;J$14),N7,0)</f>
        <v>0</v>
      </c>
      <c r="AE47" s="701" t="str">
        <f>IF(AF47&gt;0,-1*((#REF!-AF47)*(#REF!-AE46)/(#REF!-AF46)-#REF!),"")</f>
        <v/>
      </c>
      <c r="AF47" s="204">
        <f t="shared" ref="AF47:AF54" si="58">IF(AND(N7&gt;AF$28,N7&lt;AF$58),N7,0)</f>
        <v>0</v>
      </c>
      <c r="AG47" s="204" t="str">
        <f>IF(AH47&gt;0,-1*((#REF!-AH47)*(#REF!-AG46)/(#REF!-AH46)-#REF!),"")</f>
        <v/>
      </c>
      <c r="AH47" s="204">
        <f t="shared" ref="AH47:AH54" si="59">IF(AND(N7&gt;AH$28,N7&lt;AH$58),N7,0)</f>
        <v>0</v>
      </c>
      <c r="AI47" s="204" t="str">
        <f>IF(AJ47&gt;0,-1*((#REF!-AJ47)*(#REF!-AI46)/(#REF!-AJ46)-#REF!),"")</f>
        <v/>
      </c>
      <c r="AJ47" s="204">
        <f t="shared" ref="AJ47:AJ54" si="60">IF(AND(N7&gt;AJ$28,N7&lt;AJ$58),N7,0)</f>
        <v>0</v>
      </c>
      <c r="AK47" s="204" t="str">
        <f>IF(AL47&gt;0,-1*((#REF!-AL47)*(#REF!-AK46)/(#REF!-AL46)-#REF!),"")</f>
        <v/>
      </c>
      <c r="AL47" s="204">
        <f t="shared" ref="AL47:AL54" si="61">IF(AND(N7&gt;AL$28,N7&lt;AL$58),N7,0)</f>
        <v>0</v>
      </c>
      <c r="AM47" s="204" t="str">
        <f>IF(AN47&gt;0,-1*((#REF!-AN47)*(#REF!-AM46)/(#REF!-AN46)-#REF!),"")</f>
        <v/>
      </c>
      <c r="AN47" s="204">
        <f t="shared" ref="AN47:AN54" si="62">IF(AND(N7&gt;AN$28,N7&lt;AN$58),N7,0)</f>
        <v>0</v>
      </c>
    </row>
    <row r="48" spans="1:40" s="205" customFormat="1" ht="12.3" x14ac:dyDescent="0.4">
      <c r="A48" t="str">
        <f t="shared" si="12"/>
        <v/>
      </c>
      <c r="B48" s="701">
        <f t="shared" si="43"/>
        <v>0</v>
      </c>
      <c r="C48" s="702" t="str">
        <f t="shared" si="28"/>
        <v/>
      </c>
      <c r="D48" s="701">
        <f t="shared" si="44"/>
        <v>0</v>
      </c>
      <c r="E48" s="702" t="str">
        <f t="shared" si="29"/>
        <v/>
      </c>
      <c r="F48" s="701">
        <f t="shared" si="45"/>
        <v>0</v>
      </c>
      <c r="G48" s="702" t="str">
        <f t="shared" si="30"/>
        <v/>
      </c>
      <c r="H48" s="701">
        <f t="shared" si="46"/>
        <v>0</v>
      </c>
      <c r="I48" s="702" t="str">
        <f t="shared" si="31"/>
        <v/>
      </c>
      <c r="J48" s="701">
        <f t="shared" si="47"/>
        <v>0</v>
      </c>
      <c r="K48" s="702" t="str">
        <f t="shared" si="32"/>
        <v/>
      </c>
      <c r="L48" s="701">
        <f t="shared" si="48"/>
        <v>0</v>
      </c>
      <c r="M48" s="702" t="str">
        <f t="shared" si="33"/>
        <v/>
      </c>
      <c r="N48" s="701">
        <f t="shared" si="49"/>
        <v>0</v>
      </c>
      <c r="O48" s="702" t="str">
        <f t="shared" si="34"/>
        <v/>
      </c>
      <c r="P48" s="701">
        <f t="shared" si="50"/>
        <v>0</v>
      </c>
      <c r="Q48" s="702" t="str">
        <f t="shared" si="35"/>
        <v/>
      </c>
      <c r="R48" s="701">
        <f t="shared" si="51"/>
        <v>0</v>
      </c>
      <c r="S48" s="702" t="str">
        <f t="shared" si="36"/>
        <v/>
      </c>
      <c r="T48" s="701">
        <f t="shared" si="52"/>
        <v>0</v>
      </c>
      <c r="U48" s="702" t="str">
        <f t="shared" si="37"/>
        <v/>
      </c>
      <c r="V48" s="701">
        <f t="shared" si="53"/>
        <v>0</v>
      </c>
      <c r="W48" s="702" t="str">
        <f t="shared" si="38"/>
        <v/>
      </c>
      <c r="X48" s="701">
        <f t="shared" si="54"/>
        <v>0</v>
      </c>
      <c r="Y48" s="702" t="str">
        <f t="shared" si="39"/>
        <v/>
      </c>
      <c r="Z48" s="701">
        <f t="shared" si="55"/>
        <v>0</v>
      </c>
      <c r="AA48" s="702" t="str">
        <f t="shared" si="40"/>
        <v/>
      </c>
      <c r="AB48" s="701">
        <f t="shared" si="56"/>
        <v>0</v>
      </c>
      <c r="AC48" s="702" t="str">
        <f t="shared" si="41"/>
        <v/>
      </c>
      <c r="AD48" s="701">
        <f t="shared" si="57"/>
        <v>0</v>
      </c>
      <c r="AE48" s="701" t="str">
        <f>IF(AF48&gt;0,-1*((#REF!-AF48)*(#REF!-AE47)/(#REF!-AF47)-#REF!),"")</f>
        <v/>
      </c>
      <c r="AF48" s="204">
        <f t="shared" si="58"/>
        <v>0</v>
      </c>
      <c r="AG48" s="204" t="str">
        <f>IF(AH48&gt;0,-1*((#REF!-AH48)*(#REF!-AG47)/(#REF!-AH47)-#REF!),"")</f>
        <v/>
      </c>
      <c r="AH48" s="204">
        <f t="shared" si="59"/>
        <v>0</v>
      </c>
      <c r="AI48" s="204" t="str">
        <f>IF(AJ48&gt;0,-1*((#REF!-AJ48)*(#REF!-AI47)/(#REF!-AJ47)-#REF!),"")</f>
        <v/>
      </c>
      <c r="AJ48" s="204">
        <f t="shared" si="60"/>
        <v>0</v>
      </c>
      <c r="AK48" s="204" t="str">
        <f>IF(AL48&gt;0,-1*((#REF!-AL48)*(#REF!-AK47)/(#REF!-AL47)-#REF!),"")</f>
        <v/>
      </c>
      <c r="AL48" s="204">
        <f t="shared" si="61"/>
        <v>0</v>
      </c>
      <c r="AM48" s="204" t="str">
        <f>IF(AN48&gt;0,-1*((#REF!-AN48)*(#REF!-AM47)/(#REF!-AN47)-#REF!),"")</f>
        <v/>
      </c>
      <c r="AN48" s="204">
        <f t="shared" si="62"/>
        <v>0</v>
      </c>
    </row>
    <row r="49" spans="1:40" s="205" customFormat="1" ht="12.3" x14ac:dyDescent="0.4">
      <c r="A49" t="str">
        <f t="shared" si="12"/>
        <v/>
      </c>
      <c r="B49" s="701">
        <f t="shared" si="43"/>
        <v>0</v>
      </c>
      <c r="C49" s="702" t="str">
        <f t="shared" si="28"/>
        <v/>
      </c>
      <c r="D49" s="701">
        <f t="shared" si="44"/>
        <v>0</v>
      </c>
      <c r="E49" s="702" t="str">
        <f t="shared" si="29"/>
        <v/>
      </c>
      <c r="F49" s="701">
        <f t="shared" si="45"/>
        <v>0</v>
      </c>
      <c r="G49" s="702" t="str">
        <f t="shared" si="30"/>
        <v/>
      </c>
      <c r="H49" s="701">
        <f t="shared" si="46"/>
        <v>0</v>
      </c>
      <c r="I49" s="702" t="str">
        <f t="shared" si="31"/>
        <v/>
      </c>
      <c r="J49" s="701">
        <f t="shared" si="47"/>
        <v>0</v>
      </c>
      <c r="K49" s="702" t="str">
        <f t="shared" si="32"/>
        <v/>
      </c>
      <c r="L49" s="701">
        <f t="shared" si="48"/>
        <v>0</v>
      </c>
      <c r="M49" s="702" t="str">
        <f t="shared" si="33"/>
        <v/>
      </c>
      <c r="N49" s="701">
        <f t="shared" si="49"/>
        <v>0</v>
      </c>
      <c r="O49" s="702" t="str">
        <f t="shared" si="34"/>
        <v/>
      </c>
      <c r="P49" s="701">
        <f t="shared" si="50"/>
        <v>0</v>
      </c>
      <c r="Q49" s="702" t="str">
        <f t="shared" si="35"/>
        <v/>
      </c>
      <c r="R49" s="701">
        <f t="shared" si="51"/>
        <v>0</v>
      </c>
      <c r="S49" s="702" t="str">
        <f t="shared" si="36"/>
        <v/>
      </c>
      <c r="T49" s="701">
        <f t="shared" si="52"/>
        <v>0</v>
      </c>
      <c r="U49" s="702" t="str">
        <f t="shared" si="37"/>
        <v/>
      </c>
      <c r="V49" s="701">
        <f t="shared" si="53"/>
        <v>0</v>
      </c>
      <c r="W49" s="702" t="str">
        <f t="shared" si="38"/>
        <v/>
      </c>
      <c r="X49" s="701">
        <f t="shared" si="54"/>
        <v>0</v>
      </c>
      <c r="Y49" s="702" t="str">
        <f t="shared" si="39"/>
        <v/>
      </c>
      <c r="Z49" s="701">
        <f t="shared" si="55"/>
        <v>0</v>
      </c>
      <c r="AA49" s="702" t="str">
        <f t="shared" si="40"/>
        <v/>
      </c>
      <c r="AB49" s="701">
        <f t="shared" si="56"/>
        <v>0</v>
      </c>
      <c r="AC49" s="702" t="str">
        <f t="shared" si="41"/>
        <v/>
      </c>
      <c r="AD49" s="701">
        <f t="shared" si="57"/>
        <v>0</v>
      </c>
      <c r="AE49" s="701" t="str">
        <f>IF(AF49&gt;0,-1*((#REF!-AF49)*(#REF!-AE48)/(#REF!-AF48)-#REF!),"")</f>
        <v/>
      </c>
      <c r="AF49" s="204">
        <f t="shared" si="58"/>
        <v>0</v>
      </c>
      <c r="AG49" s="204" t="str">
        <f>IF(AH49&gt;0,-1*((#REF!-AH49)*(#REF!-AG48)/(#REF!-AH48)-#REF!),"")</f>
        <v/>
      </c>
      <c r="AH49" s="204">
        <f t="shared" si="59"/>
        <v>0</v>
      </c>
      <c r="AI49" s="204" t="str">
        <f>IF(AJ49&gt;0,-1*((#REF!-AJ49)*(#REF!-AI48)/(#REF!-AJ48)-#REF!),"")</f>
        <v/>
      </c>
      <c r="AJ49" s="204">
        <f t="shared" si="60"/>
        <v>0</v>
      </c>
      <c r="AK49" s="204" t="str">
        <f>IF(AL49&gt;0,-1*((#REF!-AL49)*(#REF!-AK48)/(#REF!-AL48)-#REF!),"")</f>
        <v/>
      </c>
      <c r="AL49" s="204">
        <f t="shared" si="61"/>
        <v>0</v>
      </c>
      <c r="AM49" s="204" t="str">
        <f>IF(AN49&gt;0,-1*((#REF!-AN49)*(#REF!-AM48)/(#REF!-AN48)-#REF!),"")</f>
        <v/>
      </c>
      <c r="AN49" s="204">
        <f t="shared" si="62"/>
        <v>0</v>
      </c>
    </row>
    <row r="50" spans="1:40" s="205" customFormat="1" ht="12.3" x14ac:dyDescent="0.4">
      <c r="A50" t="str">
        <f t="shared" si="12"/>
        <v/>
      </c>
      <c r="B50" s="701">
        <f t="shared" si="43"/>
        <v>0</v>
      </c>
      <c r="C50" s="702" t="str">
        <f t="shared" si="28"/>
        <v/>
      </c>
      <c r="D50" s="701">
        <f t="shared" si="44"/>
        <v>0</v>
      </c>
      <c r="E50" s="702" t="str">
        <f t="shared" si="29"/>
        <v/>
      </c>
      <c r="F50" s="701">
        <f t="shared" si="45"/>
        <v>0</v>
      </c>
      <c r="G50" s="702" t="str">
        <f t="shared" si="30"/>
        <v/>
      </c>
      <c r="H50" s="701">
        <f t="shared" si="46"/>
        <v>0</v>
      </c>
      <c r="I50" s="702" t="str">
        <f t="shared" si="31"/>
        <v/>
      </c>
      <c r="J50" s="701">
        <f t="shared" si="47"/>
        <v>0</v>
      </c>
      <c r="K50" s="702" t="str">
        <f t="shared" si="32"/>
        <v/>
      </c>
      <c r="L50" s="701">
        <f t="shared" si="48"/>
        <v>0</v>
      </c>
      <c r="M50" s="702" t="str">
        <f t="shared" si="33"/>
        <v/>
      </c>
      <c r="N50" s="701">
        <f t="shared" si="49"/>
        <v>0</v>
      </c>
      <c r="O50" s="702" t="str">
        <f t="shared" si="34"/>
        <v/>
      </c>
      <c r="P50" s="701">
        <f t="shared" si="50"/>
        <v>0</v>
      </c>
      <c r="Q50" s="702" t="str">
        <f t="shared" si="35"/>
        <v/>
      </c>
      <c r="R50" s="701">
        <f t="shared" si="51"/>
        <v>0</v>
      </c>
      <c r="S50" s="702" t="str">
        <f t="shared" si="36"/>
        <v/>
      </c>
      <c r="T50" s="701">
        <f t="shared" si="52"/>
        <v>0</v>
      </c>
      <c r="U50" s="702" t="str">
        <f t="shared" si="37"/>
        <v/>
      </c>
      <c r="V50" s="701">
        <f t="shared" si="53"/>
        <v>0</v>
      </c>
      <c r="W50" s="702" t="str">
        <f t="shared" si="38"/>
        <v/>
      </c>
      <c r="X50" s="701">
        <f t="shared" si="54"/>
        <v>0</v>
      </c>
      <c r="Y50" s="702" t="str">
        <f t="shared" si="39"/>
        <v/>
      </c>
      <c r="Z50" s="701">
        <f t="shared" si="55"/>
        <v>0</v>
      </c>
      <c r="AA50" s="702" t="str">
        <f t="shared" si="40"/>
        <v/>
      </c>
      <c r="AB50" s="701">
        <f t="shared" si="56"/>
        <v>0</v>
      </c>
      <c r="AC50" s="702" t="str">
        <f t="shared" si="41"/>
        <v/>
      </c>
      <c r="AD50" s="701">
        <f t="shared" si="57"/>
        <v>0</v>
      </c>
      <c r="AE50" s="701" t="str">
        <f>IF(AF50&gt;0,-1*((#REF!-AF50)*(#REF!-AE49)/(#REF!-AF49)-#REF!),"")</f>
        <v/>
      </c>
      <c r="AF50" s="204">
        <f t="shared" si="58"/>
        <v>0</v>
      </c>
      <c r="AG50" s="204" t="str">
        <f>IF(AH50&gt;0,-1*((#REF!-AH50)*(#REF!-AG49)/(#REF!-AH49)-#REF!),"")</f>
        <v/>
      </c>
      <c r="AH50" s="204">
        <f t="shared" si="59"/>
        <v>0</v>
      </c>
      <c r="AI50" s="204" t="str">
        <f>IF(AJ50&gt;0,-1*((#REF!-AJ50)*(#REF!-AI49)/(#REF!-AJ49)-#REF!),"")</f>
        <v/>
      </c>
      <c r="AJ50" s="204">
        <f t="shared" si="60"/>
        <v>0</v>
      </c>
      <c r="AK50" s="204" t="str">
        <f>IF(AL50&gt;0,-1*((#REF!-AL50)*(#REF!-AK49)/(#REF!-AL49)-#REF!),"")</f>
        <v/>
      </c>
      <c r="AL50" s="204">
        <f t="shared" si="61"/>
        <v>0</v>
      </c>
      <c r="AM50" s="204" t="str">
        <f>IF(AN50&gt;0,-1*((#REF!-AN50)*(#REF!-AM49)/(#REF!-AN49)-#REF!),"")</f>
        <v/>
      </c>
      <c r="AN50" s="204">
        <f t="shared" si="62"/>
        <v>0</v>
      </c>
    </row>
    <row r="51" spans="1:40" s="205" customFormat="1" ht="12.3" x14ac:dyDescent="0.4">
      <c r="A51" t="str">
        <f t="shared" si="12"/>
        <v/>
      </c>
      <c r="B51" s="701">
        <f t="shared" si="43"/>
        <v>0</v>
      </c>
      <c r="C51" s="702" t="str">
        <f t="shared" si="28"/>
        <v/>
      </c>
      <c r="D51" s="701">
        <f t="shared" si="44"/>
        <v>0</v>
      </c>
      <c r="E51" s="702" t="str">
        <f t="shared" si="29"/>
        <v/>
      </c>
      <c r="F51" s="701">
        <f t="shared" si="45"/>
        <v>0</v>
      </c>
      <c r="G51" s="702" t="str">
        <f t="shared" si="30"/>
        <v/>
      </c>
      <c r="H51" s="701">
        <f t="shared" si="46"/>
        <v>0</v>
      </c>
      <c r="I51" s="702" t="str">
        <f t="shared" si="31"/>
        <v/>
      </c>
      <c r="J51" s="701">
        <f t="shared" si="47"/>
        <v>0</v>
      </c>
      <c r="K51" s="702" t="str">
        <f t="shared" si="32"/>
        <v/>
      </c>
      <c r="L51" s="701">
        <f t="shared" si="48"/>
        <v>0</v>
      </c>
      <c r="M51" s="702" t="str">
        <f t="shared" si="33"/>
        <v/>
      </c>
      <c r="N51" s="701">
        <f t="shared" si="49"/>
        <v>0</v>
      </c>
      <c r="O51" s="702" t="str">
        <f t="shared" si="34"/>
        <v/>
      </c>
      <c r="P51" s="701">
        <f t="shared" si="50"/>
        <v>0</v>
      </c>
      <c r="Q51" s="702" t="str">
        <f t="shared" si="35"/>
        <v/>
      </c>
      <c r="R51" s="701">
        <f t="shared" si="51"/>
        <v>0</v>
      </c>
      <c r="S51" s="702" t="str">
        <f t="shared" si="36"/>
        <v/>
      </c>
      <c r="T51" s="701">
        <f t="shared" si="52"/>
        <v>0</v>
      </c>
      <c r="U51" s="702" t="str">
        <f t="shared" si="37"/>
        <v/>
      </c>
      <c r="V51" s="701">
        <f t="shared" si="53"/>
        <v>0</v>
      </c>
      <c r="W51" s="702" t="str">
        <f t="shared" si="38"/>
        <v/>
      </c>
      <c r="X51" s="701">
        <f t="shared" si="54"/>
        <v>0</v>
      </c>
      <c r="Y51" s="702" t="str">
        <f t="shared" si="39"/>
        <v/>
      </c>
      <c r="Z51" s="701">
        <f t="shared" si="55"/>
        <v>0</v>
      </c>
      <c r="AA51" s="702" t="str">
        <f t="shared" si="40"/>
        <v/>
      </c>
      <c r="AB51" s="701">
        <f t="shared" si="56"/>
        <v>0</v>
      </c>
      <c r="AC51" s="702" t="str">
        <f t="shared" si="41"/>
        <v/>
      </c>
      <c r="AD51" s="701">
        <f t="shared" si="57"/>
        <v>0</v>
      </c>
      <c r="AE51" s="701" t="str">
        <f>IF(AF51&gt;0,-1*((#REF!-AF51)*(#REF!-AE50)/(#REF!-AF50)-#REF!),"")</f>
        <v/>
      </c>
      <c r="AF51" s="204">
        <f t="shared" si="58"/>
        <v>0</v>
      </c>
      <c r="AG51" s="204" t="str">
        <f>IF(AH51&gt;0,-1*((#REF!-AH51)*(#REF!-AG50)/(#REF!-AH50)-#REF!),"")</f>
        <v/>
      </c>
      <c r="AH51" s="204">
        <f t="shared" si="59"/>
        <v>0</v>
      </c>
      <c r="AI51" s="204" t="str">
        <f>IF(AJ51&gt;0,-1*((#REF!-AJ51)*(#REF!-AI50)/(#REF!-AJ50)-#REF!),"")</f>
        <v/>
      </c>
      <c r="AJ51" s="204">
        <f t="shared" si="60"/>
        <v>0</v>
      </c>
      <c r="AK51" s="204" t="str">
        <f>IF(AL51&gt;0,-1*((#REF!-AL51)*(#REF!-AK50)/(#REF!-AL50)-#REF!),"")</f>
        <v/>
      </c>
      <c r="AL51" s="204">
        <f t="shared" si="61"/>
        <v>0</v>
      </c>
      <c r="AM51" s="204" t="str">
        <f>IF(AN51&gt;0,-1*((#REF!-AN51)*(#REF!-AM50)/(#REF!-AN50)-#REF!),"")</f>
        <v/>
      </c>
      <c r="AN51" s="204">
        <f t="shared" si="62"/>
        <v>0</v>
      </c>
    </row>
    <row r="52" spans="1:40" s="205" customFormat="1" ht="12.3" x14ac:dyDescent="0.4">
      <c r="A52" t="str">
        <f t="shared" si="12"/>
        <v/>
      </c>
      <c r="B52" s="701">
        <f t="shared" si="43"/>
        <v>0</v>
      </c>
      <c r="C52" s="702" t="str">
        <f t="shared" si="28"/>
        <v/>
      </c>
      <c r="D52" s="701">
        <f t="shared" si="44"/>
        <v>0</v>
      </c>
      <c r="E52" s="702" t="str">
        <f t="shared" si="29"/>
        <v/>
      </c>
      <c r="F52" s="701">
        <f t="shared" si="45"/>
        <v>0</v>
      </c>
      <c r="G52" s="702" t="str">
        <f t="shared" si="30"/>
        <v/>
      </c>
      <c r="H52" s="701">
        <f t="shared" si="46"/>
        <v>0</v>
      </c>
      <c r="I52" s="702" t="str">
        <f t="shared" si="31"/>
        <v/>
      </c>
      <c r="J52" s="701">
        <f t="shared" si="47"/>
        <v>0</v>
      </c>
      <c r="K52" s="702" t="str">
        <f t="shared" si="32"/>
        <v/>
      </c>
      <c r="L52" s="701">
        <f t="shared" si="48"/>
        <v>0</v>
      </c>
      <c r="M52" s="702" t="str">
        <f t="shared" si="33"/>
        <v/>
      </c>
      <c r="N52" s="701">
        <f t="shared" si="49"/>
        <v>0</v>
      </c>
      <c r="O52" s="702" t="str">
        <f t="shared" si="34"/>
        <v/>
      </c>
      <c r="P52" s="701">
        <f t="shared" si="50"/>
        <v>0</v>
      </c>
      <c r="Q52" s="702" t="str">
        <f t="shared" si="35"/>
        <v/>
      </c>
      <c r="R52" s="701">
        <f t="shared" si="51"/>
        <v>0</v>
      </c>
      <c r="S52" s="702" t="str">
        <f t="shared" si="36"/>
        <v/>
      </c>
      <c r="T52" s="701">
        <f t="shared" si="52"/>
        <v>0</v>
      </c>
      <c r="U52" s="702" t="str">
        <f t="shared" si="37"/>
        <v/>
      </c>
      <c r="V52" s="701">
        <f t="shared" si="53"/>
        <v>0</v>
      </c>
      <c r="W52" s="702" t="str">
        <f t="shared" si="38"/>
        <v/>
      </c>
      <c r="X52" s="701">
        <f t="shared" si="54"/>
        <v>0</v>
      </c>
      <c r="Y52" s="702" t="str">
        <f t="shared" si="39"/>
        <v/>
      </c>
      <c r="Z52" s="701">
        <f t="shared" si="55"/>
        <v>0</v>
      </c>
      <c r="AA52" s="702" t="str">
        <f t="shared" si="40"/>
        <v/>
      </c>
      <c r="AB52" s="701">
        <f t="shared" si="56"/>
        <v>0</v>
      </c>
      <c r="AC52" s="702" t="str">
        <f t="shared" si="41"/>
        <v/>
      </c>
      <c r="AD52" s="701">
        <f t="shared" si="57"/>
        <v>0</v>
      </c>
      <c r="AE52" s="701" t="str">
        <f>IF(AF52&gt;0,-1*((#REF!-AF52)*(#REF!-AE51)/(#REF!-AF51)-#REF!),"")</f>
        <v/>
      </c>
      <c r="AF52" s="204">
        <f t="shared" si="58"/>
        <v>0</v>
      </c>
      <c r="AG52" s="204" t="str">
        <f>IF(AH52&gt;0,-1*((#REF!-AH52)*(#REF!-AG51)/(#REF!-AH51)-#REF!),"")</f>
        <v/>
      </c>
      <c r="AH52" s="204">
        <f t="shared" si="59"/>
        <v>0</v>
      </c>
      <c r="AI52" s="204" t="str">
        <f>IF(AJ52&gt;0,-1*((#REF!-AJ52)*(#REF!-AI51)/(#REF!-AJ51)-#REF!),"")</f>
        <v/>
      </c>
      <c r="AJ52" s="204">
        <f t="shared" si="60"/>
        <v>0</v>
      </c>
      <c r="AK52" s="204" t="str">
        <f>IF(AL52&gt;0,-1*((#REF!-AL52)*(#REF!-AK51)/(#REF!-AL51)-#REF!),"")</f>
        <v/>
      </c>
      <c r="AL52" s="204">
        <f t="shared" si="61"/>
        <v>0</v>
      </c>
      <c r="AM52" s="204" t="str">
        <f>IF(AN52&gt;0,-1*((#REF!-AN52)*(#REF!-AM51)/(#REF!-AN51)-#REF!),"")</f>
        <v/>
      </c>
      <c r="AN52" s="204">
        <f t="shared" si="62"/>
        <v>0</v>
      </c>
    </row>
    <row r="53" spans="1:40" s="205" customFormat="1" ht="12.3" x14ac:dyDescent="0.4">
      <c r="A53" t="str">
        <f t="shared" si="12"/>
        <v/>
      </c>
      <c r="B53" s="701">
        <f t="shared" si="43"/>
        <v>0</v>
      </c>
      <c r="C53" s="702" t="str">
        <f t="shared" si="28"/>
        <v/>
      </c>
      <c r="D53" s="701">
        <f t="shared" si="44"/>
        <v>0</v>
      </c>
      <c r="E53" s="702" t="str">
        <f t="shared" si="29"/>
        <v/>
      </c>
      <c r="F53" s="701">
        <f t="shared" si="45"/>
        <v>0</v>
      </c>
      <c r="G53" s="702" t="str">
        <f t="shared" si="30"/>
        <v/>
      </c>
      <c r="H53" s="701">
        <f t="shared" si="46"/>
        <v>0</v>
      </c>
      <c r="I53" s="702" t="str">
        <f t="shared" si="31"/>
        <v/>
      </c>
      <c r="J53" s="701">
        <f t="shared" si="47"/>
        <v>0</v>
      </c>
      <c r="K53" s="702" t="str">
        <f t="shared" si="32"/>
        <v/>
      </c>
      <c r="L53" s="701">
        <f t="shared" si="48"/>
        <v>0</v>
      </c>
      <c r="M53" s="702" t="str">
        <f t="shared" si="33"/>
        <v/>
      </c>
      <c r="N53" s="701">
        <f t="shared" si="49"/>
        <v>0</v>
      </c>
      <c r="O53" s="702" t="str">
        <f t="shared" si="34"/>
        <v/>
      </c>
      <c r="P53" s="701">
        <f t="shared" si="50"/>
        <v>0</v>
      </c>
      <c r="Q53" s="702" t="str">
        <f t="shared" si="35"/>
        <v/>
      </c>
      <c r="R53" s="701">
        <f t="shared" si="51"/>
        <v>0</v>
      </c>
      <c r="S53" s="702" t="str">
        <f t="shared" si="36"/>
        <v/>
      </c>
      <c r="T53" s="701">
        <f t="shared" si="52"/>
        <v>0</v>
      </c>
      <c r="U53" s="702" t="str">
        <f t="shared" si="37"/>
        <v/>
      </c>
      <c r="V53" s="701">
        <f t="shared" si="53"/>
        <v>0</v>
      </c>
      <c r="W53" s="702" t="str">
        <f t="shared" si="38"/>
        <v/>
      </c>
      <c r="X53" s="701">
        <f t="shared" si="54"/>
        <v>0</v>
      </c>
      <c r="Y53" s="702" t="str">
        <f t="shared" si="39"/>
        <v/>
      </c>
      <c r="Z53" s="701">
        <f t="shared" si="55"/>
        <v>0</v>
      </c>
      <c r="AA53" s="702" t="str">
        <f t="shared" si="40"/>
        <v/>
      </c>
      <c r="AB53" s="701">
        <f t="shared" si="56"/>
        <v>0</v>
      </c>
      <c r="AC53" s="702" t="str">
        <f t="shared" si="41"/>
        <v/>
      </c>
      <c r="AD53" s="701">
        <f t="shared" si="57"/>
        <v>0</v>
      </c>
      <c r="AE53" s="701" t="str">
        <f>IF(AF53&gt;0,-1*((#REF!-AF53)*(#REF!-AE52)/(#REF!-AF52)-#REF!),"")</f>
        <v/>
      </c>
      <c r="AF53" s="204">
        <f t="shared" si="58"/>
        <v>0</v>
      </c>
      <c r="AG53" s="204" t="str">
        <f>IF(AH53&gt;0,-1*((#REF!-AH53)*(#REF!-AG52)/(#REF!-AH52)-#REF!),"")</f>
        <v/>
      </c>
      <c r="AH53" s="204">
        <f t="shared" si="59"/>
        <v>0</v>
      </c>
      <c r="AI53" s="204" t="str">
        <f>IF(AJ53&gt;0,-1*((#REF!-AJ53)*(#REF!-AI52)/(#REF!-AJ52)-#REF!),"")</f>
        <v/>
      </c>
      <c r="AJ53" s="204">
        <f t="shared" si="60"/>
        <v>0</v>
      </c>
      <c r="AK53" s="204" t="str">
        <f>IF(AL53&gt;0,-1*((#REF!-AL53)*(#REF!-AK52)/(#REF!-AL52)-#REF!),"")</f>
        <v/>
      </c>
      <c r="AL53" s="204">
        <f t="shared" si="61"/>
        <v>0</v>
      </c>
      <c r="AM53" s="204" t="str">
        <f>IF(AN53&gt;0,-1*((#REF!-AN53)*(#REF!-AM52)/(#REF!-AN52)-#REF!),"")</f>
        <v/>
      </c>
      <c r="AN53" s="204">
        <f t="shared" si="62"/>
        <v>0</v>
      </c>
    </row>
    <row r="54" spans="1:40" s="205" customFormat="1" ht="12.3" x14ac:dyDescent="0.4">
      <c r="A54" t="str">
        <f t="shared" si="12"/>
        <v/>
      </c>
      <c r="B54" s="701">
        <f t="shared" si="43"/>
        <v>0</v>
      </c>
      <c r="C54" s="702" t="str">
        <f t="shared" si="28"/>
        <v/>
      </c>
      <c r="D54" s="701">
        <f t="shared" si="44"/>
        <v>0</v>
      </c>
      <c r="E54" s="702" t="str">
        <f t="shared" si="29"/>
        <v/>
      </c>
      <c r="F54" s="701">
        <f t="shared" si="45"/>
        <v>0</v>
      </c>
      <c r="G54" s="702" t="str">
        <f t="shared" si="30"/>
        <v/>
      </c>
      <c r="H54" s="701">
        <f t="shared" si="46"/>
        <v>0</v>
      </c>
      <c r="I54" s="702" t="str">
        <f t="shared" si="31"/>
        <v/>
      </c>
      <c r="J54" s="701">
        <f t="shared" si="47"/>
        <v>0</v>
      </c>
      <c r="K54" s="702" t="str">
        <f t="shared" si="32"/>
        <v/>
      </c>
      <c r="L54" s="701">
        <f t="shared" si="48"/>
        <v>0</v>
      </c>
      <c r="M54" s="702" t="str">
        <f t="shared" si="33"/>
        <v/>
      </c>
      <c r="N54" s="701">
        <f t="shared" si="49"/>
        <v>0</v>
      </c>
      <c r="O54" s="702" t="str">
        <f t="shared" si="34"/>
        <v/>
      </c>
      <c r="P54" s="701">
        <f t="shared" si="50"/>
        <v>0</v>
      </c>
      <c r="Q54" s="702" t="str">
        <f t="shared" si="35"/>
        <v/>
      </c>
      <c r="R54" s="701">
        <f t="shared" si="51"/>
        <v>0</v>
      </c>
      <c r="S54" s="702" t="str">
        <f t="shared" si="36"/>
        <v/>
      </c>
      <c r="T54" s="701">
        <f t="shared" si="52"/>
        <v>0</v>
      </c>
      <c r="U54" s="702" t="str">
        <f t="shared" si="37"/>
        <v/>
      </c>
      <c r="V54" s="701">
        <f t="shared" si="53"/>
        <v>0</v>
      </c>
      <c r="W54" s="702" t="str">
        <f t="shared" si="38"/>
        <v/>
      </c>
      <c r="X54" s="701">
        <f t="shared" si="54"/>
        <v>0</v>
      </c>
      <c r="Y54" s="702" t="str">
        <f t="shared" si="39"/>
        <v/>
      </c>
      <c r="Z54" s="701">
        <f t="shared" si="55"/>
        <v>0</v>
      </c>
      <c r="AA54" s="702" t="str">
        <f t="shared" si="40"/>
        <v/>
      </c>
      <c r="AB54" s="701">
        <f t="shared" si="56"/>
        <v>0</v>
      </c>
      <c r="AC54" s="702" t="str">
        <f t="shared" si="41"/>
        <v/>
      </c>
      <c r="AD54" s="701">
        <f t="shared" si="57"/>
        <v>0</v>
      </c>
      <c r="AE54" s="701" t="str">
        <f>IF(AF54&gt;0,-1*((#REF!-AF54)*(#REF!-AE53)/(#REF!-AF53)-#REF!),"")</f>
        <v/>
      </c>
      <c r="AF54" s="204">
        <f t="shared" si="58"/>
        <v>0</v>
      </c>
      <c r="AG54" s="204" t="str">
        <f>IF(AH54&gt;0,-1*((#REF!-AH54)*(#REF!-AG53)/(#REF!-AH53)-#REF!),"")</f>
        <v/>
      </c>
      <c r="AH54" s="204">
        <f t="shared" si="59"/>
        <v>0</v>
      </c>
      <c r="AI54" s="204" t="str">
        <f>IF(AJ54&gt;0,-1*((#REF!-AJ54)*(#REF!-AI53)/(#REF!-AJ53)-#REF!),"")</f>
        <v/>
      </c>
      <c r="AJ54" s="204">
        <f t="shared" si="60"/>
        <v>0</v>
      </c>
      <c r="AK54" s="204" t="str">
        <f>IF(AL54&gt;0,-1*((#REF!-AL54)*(#REF!-AK53)/(#REF!-AL53)-#REF!),"")</f>
        <v/>
      </c>
      <c r="AL54" s="204">
        <f t="shared" si="61"/>
        <v>0</v>
      </c>
      <c r="AM54" s="204" t="str">
        <f>IF(AN54&gt;0,-1*((#REF!-AN54)*(#REF!-AM53)/(#REF!-AN53)-#REF!),"")</f>
        <v/>
      </c>
      <c r="AN54" s="204">
        <f t="shared" si="62"/>
        <v>0</v>
      </c>
    </row>
    <row r="55" spans="1:40" s="205" customFormat="1" ht="12.3" x14ac:dyDescent="0.4">
      <c r="A55" s="747" t="str">
        <f t="shared" si="12"/>
        <v/>
      </c>
      <c r="B55" s="701">
        <f>IF(AND(D25&gt;G$7,D25&lt;G$8),D25,0)</f>
        <v>0</v>
      </c>
      <c r="C55" s="702" t="str">
        <f t="shared" si="28"/>
        <v/>
      </c>
      <c r="D55" s="701">
        <f>IF(AND(D25&gt;G$8,D25&lt;G$9),D25,0)</f>
        <v>0</v>
      </c>
      <c r="E55" s="702" t="str">
        <f t="shared" si="29"/>
        <v/>
      </c>
      <c r="F55" s="701">
        <f>IF(AND(D25&gt;G$9,D25&lt;G$10),D25,0)</f>
        <v>0</v>
      </c>
      <c r="G55" s="702" t="str">
        <f t="shared" si="30"/>
        <v/>
      </c>
      <c r="H55" s="701">
        <f>IF(AND(D25&gt;G$10,D25&lt;G$11),D25,0)</f>
        <v>0</v>
      </c>
      <c r="I55" s="702" t="str">
        <f t="shared" si="31"/>
        <v/>
      </c>
      <c r="J55" s="701">
        <f>IF(AND(D25&gt;G$11,D25&lt;G$12),D25,0)</f>
        <v>0</v>
      </c>
      <c r="K55" s="702" t="str">
        <f t="shared" si="32"/>
        <v/>
      </c>
      <c r="L55" s="701">
        <f>IF(AND(D25&gt;G$12,D25&lt;G$13),D25,0)</f>
        <v>0</v>
      </c>
      <c r="M55" s="702" t="str">
        <f t="shared" si="33"/>
        <v/>
      </c>
      <c r="N55" s="701">
        <f>IF(AND(D25&gt;G$13,D25&lt;G$14),D25,0)</f>
        <v>0</v>
      </c>
      <c r="O55" s="702" t="str">
        <f t="shared" si="34"/>
        <v/>
      </c>
      <c r="P55" s="701">
        <f>IF(AND(D25&gt;G$14,D25&lt;J$7),D25,0)</f>
        <v>0</v>
      </c>
      <c r="Q55" s="702" t="str">
        <f t="shared" si="35"/>
        <v/>
      </c>
      <c r="R55" s="701">
        <f>IF(AND(D25&gt;J$7,D25&lt;J$8),D25,0)</f>
        <v>0</v>
      </c>
      <c r="S55" s="702" t="str">
        <f t="shared" si="36"/>
        <v/>
      </c>
      <c r="T55" s="701">
        <f>IF(AND(D25&gt;J$8,D25&lt;J$9),D25,0)</f>
        <v>0</v>
      </c>
      <c r="U55" s="702" t="str">
        <f t="shared" si="37"/>
        <v/>
      </c>
      <c r="V55" s="701">
        <f>IF(AND(D25&gt;J$9,D25&lt;J$10),D25,0)</f>
        <v>0</v>
      </c>
      <c r="W55" s="702" t="str">
        <f t="shared" si="38"/>
        <v/>
      </c>
      <c r="X55" s="701">
        <f>IF(AND(D25&gt;J$10,D25&lt;J$11),D25,0)</f>
        <v>0</v>
      </c>
      <c r="Y55" s="702" t="str">
        <f t="shared" si="39"/>
        <v/>
      </c>
      <c r="Z55" s="701">
        <f>IF(AND(D25&gt;J$11,D25&lt;J$12),D25,0)</f>
        <v>0</v>
      </c>
      <c r="AA55" s="702" t="str">
        <f t="shared" si="40"/>
        <v/>
      </c>
      <c r="AB55" s="701">
        <f>IF(AND(D25&gt;J$12,D25&lt;J$13),D25,0)</f>
        <v>0</v>
      </c>
      <c r="AC55" s="702" t="str">
        <f t="shared" si="41"/>
        <v/>
      </c>
      <c r="AD55" s="701">
        <f>IF(AND(D25&gt;J$13,D25&lt;J$14),D25,0)</f>
        <v>0</v>
      </c>
      <c r="AE55" s="701" t="str">
        <f>IF(AF55&gt;0,-1*((#REF!-AF55)*(#REF!-AE54)/(#REF!-AF54)-#REF!),"")</f>
        <v/>
      </c>
      <c r="AF55" s="204">
        <f>IF(AND($D25&gt;AF$28,$D25&lt;AF$58),$D25,0)</f>
        <v>0</v>
      </c>
      <c r="AG55" s="204" t="str">
        <f>IF(AH55&gt;0,-1*((#REF!-AH55)*(#REF!-AG54)/(#REF!-AH54)-#REF!),"")</f>
        <v/>
      </c>
      <c r="AH55" s="204">
        <f>IF(AND($D25&gt;AH$28,$D25&lt;AH$58),$D25,0)</f>
        <v>0</v>
      </c>
      <c r="AI55" s="204" t="str">
        <f>IF(AJ55&gt;0,-1*((#REF!-AJ55)*(#REF!-AI54)/(#REF!-AJ54)-#REF!),"")</f>
        <v/>
      </c>
      <c r="AJ55" s="204">
        <f>IF(AND($D25&gt;AJ$28,$D25&lt;AJ$58),$D25,0)</f>
        <v>0</v>
      </c>
      <c r="AK55" s="204" t="str">
        <f>IF(AL55&gt;0,-1*((#REF!-AL55)*(#REF!-AK54)/(#REF!-AL54)-#REF!),"")</f>
        <v/>
      </c>
      <c r="AL55" s="204">
        <f>IF(AND($D25&gt;AL$28,$D25&lt;AL$58),$D25,0)</f>
        <v>0</v>
      </c>
      <c r="AM55" s="204" t="str">
        <f>IF(AN55&gt;0,-1*((#REF!-AN55)*(#REF!-AM54)/(#REF!-AN54)-#REF!),"")</f>
        <v/>
      </c>
      <c r="AN55" s="204">
        <f>IF(AND($D25&gt;AN$28,$D25&lt;AN$58),$D25,0)</f>
        <v>0</v>
      </c>
    </row>
    <row r="56" spans="1:40" s="205" customFormat="1" ht="12.3" x14ac:dyDescent="0.4">
      <c r="A56" s="747" t="str">
        <f t="shared" si="12"/>
        <v/>
      </c>
      <c r="B56" s="701">
        <f>IF(AND(D26&gt;G$7,D26&lt;G$8),D26,0)</f>
        <v>0</v>
      </c>
      <c r="C56" s="702" t="str">
        <f t="shared" si="28"/>
        <v/>
      </c>
      <c r="D56" s="701">
        <f>IF(AND(D26&gt;G$8,D26&lt;G$9),D26,0)</f>
        <v>0</v>
      </c>
      <c r="E56" s="702" t="str">
        <f t="shared" si="29"/>
        <v/>
      </c>
      <c r="F56" s="701">
        <f>IF(AND(D26&gt;G$9,D26&lt;G$10),D26,0)</f>
        <v>0</v>
      </c>
      <c r="G56" s="702" t="str">
        <f t="shared" si="30"/>
        <v/>
      </c>
      <c r="H56" s="701">
        <f>IF(AND(D26&gt;G$10,D26&lt;G$11),D26,0)</f>
        <v>0</v>
      </c>
      <c r="I56" s="702" t="str">
        <f t="shared" si="31"/>
        <v/>
      </c>
      <c r="J56" s="701">
        <f>IF(AND(D26&gt;G$11,D26&lt;G$12),D26,0)</f>
        <v>0</v>
      </c>
      <c r="K56" s="702" t="str">
        <f t="shared" si="32"/>
        <v/>
      </c>
      <c r="L56" s="701">
        <f>IF(AND(D26&gt;G$12,D26&lt;G$13),D26,0)</f>
        <v>0</v>
      </c>
      <c r="M56" s="702" t="str">
        <f t="shared" si="33"/>
        <v/>
      </c>
      <c r="N56" s="701">
        <f>IF(AND(D26&gt;G$13,D26&lt;G$14),D26,0)</f>
        <v>0</v>
      </c>
      <c r="O56" s="702" t="str">
        <f t="shared" si="34"/>
        <v/>
      </c>
      <c r="P56" s="701">
        <f>IF(AND(D26&gt;G$14,D26&lt;J$7),D26,0)</f>
        <v>0</v>
      </c>
      <c r="Q56" s="702" t="str">
        <f t="shared" si="35"/>
        <v/>
      </c>
      <c r="R56" s="701">
        <f>IF(AND(D26&gt;J$7,D26&lt;J$8),D26,0)</f>
        <v>0</v>
      </c>
      <c r="S56" s="702" t="str">
        <f t="shared" si="36"/>
        <v/>
      </c>
      <c r="T56" s="701">
        <f>IF(AND(D26&gt;J$8,D26&lt;J$9),D26,0)</f>
        <v>0</v>
      </c>
      <c r="U56" s="702" t="str">
        <f t="shared" si="37"/>
        <v/>
      </c>
      <c r="V56" s="701">
        <f>IF(AND(D26&gt;J$9,D26&lt;J$10),D26,0)</f>
        <v>0</v>
      </c>
      <c r="W56" s="702" t="str">
        <f t="shared" si="38"/>
        <v/>
      </c>
      <c r="X56" s="701">
        <f>IF(AND(D26&gt;J$10,D26&lt;J$11),D26,0)</f>
        <v>0</v>
      </c>
      <c r="Y56" s="702" t="str">
        <f t="shared" si="39"/>
        <v/>
      </c>
      <c r="Z56" s="701">
        <f>IF(AND(D26&gt;J$11,D26&lt;J$12),D26,0)</f>
        <v>0</v>
      </c>
      <c r="AA56" s="702" t="str">
        <f t="shared" si="40"/>
        <v/>
      </c>
      <c r="AB56" s="701">
        <f>IF(AND(D26&gt;J$12,D26&lt;J$13),D26,0)</f>
        <v>0</v>
      </c>
      <c r="AC56" s="702" t="str">
        <f t="shared" si="41"/>
        <v/>
      </c>
      <c r="AD56" s="701">
        <f>IF(AND(D26&gt;J$13,D26&lt;J$14),D26,0)</f>
        <v>0</v>
      </c>
      <c r="AE56" s="701" t="str">
        <f>IF(AF56&gt;0,-1*((#REF!-AF56)*(#REF!-AE55)/(#REF!-AF55)-#REF!),"")</f>
        <v/>
      </c>
      <c r="AF56" s="204">
        <f>IF(AND($D26&gt;AF$28,$D26&lt;AF$58),$D26,0)</f>
        <v>0</v>
      </c>
      <c r="AG56" s="204" t="str">
        <f>IF(AH56&gt;0,-1*((#REF!-AH56)*(#REF!-AG55)/(#REF!-AH55)-#REF!),"")</f>
        <v/>
      </c>
      <c r="AH56" s="204">
        <f>IF(AND($D26&gt;AH$28,$D26&lt;AH$58),$D26,0)</f>
        <v>0</v>
      </c>
      <c r="AI56" s="204" t="str">
        <f>IF(AJ56&gt;0,-1*((#REF!-AJ56)*(#REF!-AI55)/(#REF!-AJ55)-#REF!),"")</f>
        <v/>
      </c>
      <c r="AJ56" s="204">
        <f>IF(AND($D26&gt;AJ$28,$D26&lt;AJ$58),$D26,0)</f>
        <v>0</v>
      </c>
      <c r="AK56" s="204" t="str">
        <f>IF(AL56&gt;0,-1*((#REF!-AL56)*(#REF!-AK55)/(#REF!-AL55)-#REF!),"")</f>
        <v/>
      </c>
      <c r="AL56" s="204">
        <f>IF(AND($D26&gt;AL$28,$D26&lt;AL$58),$D26,0)</f>
        <v>0</v>
      </c>
      <c r="AM56" s="204" t="str">
        <f>IF(AN56&gt;0,-1*((#REF!-AN56)*(#REF!-AM55)/(#REF!-AN55)-#REF!),"")</f>
        <v/>
      </c>
      <c r="AN56" s="204">
        <f>IF(AND($D26&gt;AN$28,$D26&lt;AN$58),$D26,0)</f>
        <v>0</v>
      </c>
    </row>
    <row r="57" spans="1:40" s="205" customFormat="1" ht="12.3" x14ac:dyDescent="0.4">
      <c r="A57" s="747" t="str">
        <f t="shared" si="12"/>
        <v/>
      </c>
      <c r="B57" s="701">
        <f>IF(AND(D27&gt;G$7,D27&lt;G$8),D27,0)</f>
        <v>0</v>
      </c>
      <c r="C57" s="702" t="str">
        <f t="shared" si="28"/>
        <v/>
      </c>
      <c r="D57" s="701">
        <f>IF(AND(D27&gt;G$8,D27&lt;G$9),D27,0)</f>
        <v>0</v>
      </c>
      <c r="E57" s="702" t="str">
        <f t="shared" si="29"/>
        <v/>
      </c>
      <c r="F57" s="701">
        <f>IF(AND(D27&gt;G$9,D27&lt;G$10),D27,0)</f>
        <v>0</v>
      </c>
      <c r="G57" s="702" t="str">
        <f t="shared" si="30"/>
        <v/>
      </c>
      <c r="H57" s="701">
        <f>IF(AND(D27&gt;G$10,D27&lt;G$11),D27,0)</f>
        <v>0</v>
      </c>
      <c r="I57" s="702" t="str">
        <f t="shared" si="31"/>
        <v/>
      </c>
      <c r="J57" s="701">
        <f>IF(AND(D27&gt;G$11,D27&lt;G$12),D27,0)</f>
        <v>0</v>
      </c>
      <c r="K57" s="702" t="str">
        <f t="shared" si="32"/>
        <v/>
      </c>
      <c r="L57" s="701">
        <f>IF(AND(D27&gt;G$12,D27&lt;G$13),D27,0)</f>
        <v>0</v>
      </c>
      <c r="M57" s="702" t="str">
        <f t="shared" si="33"/>
        <v/>
      </c>
      <c r="N57" s="701">
        <f>IF(AND(D27&gt;G$13,D27&lt;G$14),D27,0)</f>
        <v>0</v>
      </c>
      <c r="O57" s="702" t="str">
        <f t="shared" si="34"/>
        <v/>
      </c>
      <c r="P57" s="701">
        <f>IF(AND(D27&gt;G$14,D27&lt;J$7),D27,0)</f>
        <v>0</v>
      </c>
      <c r="Q57" s="702" t="str">
        <f t="shared" si="35"/>
        <v/>
      </c>
      <c r="R57" s="701">
        <f>IF(AND(D27&gt;J$7,D27&lt;J$8),D27,0)</f>
        <v>0</v>
      </c>
      <c r="S57" s="702" t="str">
        <f t="shared" si="36"/>
        <v/>
      </c>
      <c r="T57" s="701">
        <f>IF(AND(D27&gt;J$8,D27&lt;J$9),D27,0)</f>
        <v>0</v>
      </c>
      <c r="U57" s="702" t="str">
        <f t="shared" si="37"/>
        <v/>
      </c>
      <c r="V57" s="701">
        <f>IF(AND(D27&gt;J$9,D27&lt;J$10),D27,0)</f>
        <v>0</v>
      </c>
      <c r="W57" s="702" t="str">
        <f t="shared" si="38"/>
        <v/>
      </c>
      <c r="X57" s="701">
        <f>IF(AND(D27&gt;J$10,D27&lt;J$11),D27,0)</f>
        <v>0</v>
      </c>
      <c r="Y57" s="702" t="str">
        <f t="shared" si="39"/>
        <v/>
      </c>
      <c r="Z57" s="701">
        <f>IF(AND(D27&gt;J$11,D27&lt;J$12),D27,0)</f>
        <v>0</v>
      </c>
      <c r="AA57" s="702" t="str">
        <f t="shared" si="40"/>
        <v/>
      </c>
      <c r="AB57" s="701">
        <f>IF(AND(D27&gt;J$12,D27&lt;J$13),D27,0)</f>
        <v>0</v>
      </c>
      <c r="AC57" s="702" t="str">
        <f t="shared" si="41"/>
        <v/>
      </c>
      <c r="AD57" s="701">
        <f>IF(AND(D27&gt;J$13,D27&lt;J$14),D27,0)</f>
        <v>0</v>
      </c>
      <c r="AE57" s="701" t="str">
        <f>IF(AF57&gt;0,-1*((#REF!-AF57)*(#REF!-AE56)/(#REF!-AF56)-#REF!),"")</f>
        <v/>
      </c>
      <c r="AF57" s="204">
        <f>IF(AND($D27&gt;AF$28,$D27&lt;AF$58),$D27,0)</f>
        <v>0</v>
      </c>
      <c r="AG57" s="204" t="str">
        <f>IF(AH57&gt;0,-1*((#REF!-AH57)*(#REF!-AG56)/(#REF!-AH56)-#REF!),"")</f>
        <v/>
      </c>
      <c r="AH57" s="204">
        <f>IF(AND($D27&gt;AH$28,$D27&lt;AH$58),$D27,0)</f>
        <v>0</v>
      </c>
      <c r="AI57" s="204" t="str">
        <f>IF(AJ57&gt;0,-1*((#REF!-AJ57)*(#REF!-AI56)/(#REF!-AJ56)-#REF!),"")</f>
        <v/>
      </c>
      <c r="AJ57" s="204">
        <f>IF(AND($D27&gt;AJ$28,$D27&lt;AJ$58),$D27,0)</f>
        <v>0</v>
      </c>
      <c r="AK57" s="204" t="str">
        <f>IF(AL57&gt;0,-1*((#REF!-AL57)*(#REF!-AK56)/(#REF!-AL56)-#REF!),"")</f>
        <v/>
      </c>
      <c r="AL57" s="204">
        <f>IF(AND($D27&gt;AL$28,$D27&lt;AL$58),$D27,0)</f>
        <v>0</v>
      </c>
      <c r="AM57" s="204" t="str">
        <f>IF(AN57&gt;0,-1*((#REF!-AN57)*(#REF!-AM56)/(#REF!-AN56)-#REF!),"")</f>
        <v/>
      </c>
      <c r="AN57" s="204">
        <f>IF(AND($D27&gt;AN$28,$D27&lt;AN$58),$D27,0)</f>
        <v>0</v>
      </c>
    </row>
    <row r="58" spans="1:40" s="204" customFormat="1" ht="10.199999999999999" x14ac:dyDescent="0.35">
      <c r="A58" s="701">
        <f>$F$8</f>
        <v>0</v>
      </c>
      <c r="B58" s="701">
        <f>$G$8</f>
        <v>0</v>
      </c>
      <c r="C58" s="701">
        <f>$F$9</f>
        <v>0</v>
      </c>
      <c r="D58" s="701">
        <f>$G$9</f>
        <v>0</v>
      </c>
      <c r="E58" s="701">
        <f>$F$10</f>
        <v>0</v>
      </c>
      <c r="F58" s="701">
        <f>$G$10</f>
        <v>0</v>
      </c>
      <c r="G58" s="701">
        <f>$F$11</f>
        <v>0</v>
      </c>
      <c r="H58" s="701">
        <f>$G$11</f>
        <v>0</v>
      </c>
      <c r="I58" s="701">
        <f>$F$12</f>
        <v>0</v>
      </c>
      <c r="J58" s="701">
        <f>$G$12</f>
        <v>0</v>
      </c>
      <c r="K58" s="701">
        <f>$F$13</f>
        <v>0</v>
      </c>
      <c r="L58" s="701">
        <f>$G$13</f>
        <v>0</v>
      </c>
      <c r="M58" s="701">
        <f>$F$14</f>
        <v>0</v>
      </c>
      <c r="N58" s="701">
        <f>$G$14</f>
        <v>0</v>
      </c>
      <c r="O58" s="701">
        <f>$I$7</f>
        <v>0</v>
      </c>
      <c r="P58" s="701">
        <f>$J$7</f>
        <v>0</v>
      </c>
      <c r="Q58" s="701">
        <f>$I$8</f>
        <v>0</v>
      </c>
      <c r="R58" s="701">
        <f>$J$8</f>
        <v>0</v>
      </c>
      <c r="S58" s="701">
        <f>$I$9</f>
        <v>0</v>
      </c>
      <c r="T58" s="701">
        <f>$J$9</f>
        <v>0</v>
      </c>
      <c r="U58" s="701">
        <f>$I$10</f>
        <v>0</v>
      </c>
      <c r="V58" s="701">
        <f>$J$10</f>
        <v>0</v>
      </c>
      <c r="W58" s="701">
        <f>$I$11</f>
        <v>0</v>
      </c>
      <c r="X58" s="701">
        <f>$J$11</f>
        <v>0</v>
      </c>
      <c r="Y58" s="701">
        <f>$I$12</f>
        <v>0</v>
      </c>
      <c r="Z58" s="701">
        <f>$J$12</f>
        <v>0</v>
      </c>
      <c r="AA58" s="701">
        <f>$I$13</f>
        <v>0</v>
      </c>
      <c r="AB58" s="701">
        <f>$J$13</f>
        <v>0</v>
      </c>
      <c r="AC58" s="701">
        <f>$I$14</f>
        <v>0</v>
      </c>
      <c r="AD58" s="701">
        <f>$J$14</f>
        <v>0</v>
      </c>
      <c r="AE58" s="701">
        <f>$I$15</f>
        <v>0</v>
      </c>
      <c r="AF58" s="204">
        <f>$J$15</f>
        <v>0</v>
      </c>
      <c r="AG58" s="204">
        <f>$I$16</f>
        <v>0</v>
      </c>
      <c r="AH58" s="204">
        <f>$J$16</f>
        <v>0</v>
      </c>
      <c r="AI58" s="204">
        <f>$I$18</f>
        <v>0</v>
      </c>
      <c r="AJ58" s="204">
        <f>$J$18</f>
        <v>0</v>
      </c>
      <c r="AK58" s="204">
        <f>$I$19</f>
        <v>0</v>
      </c>
      <c r="AL58" s="204">
        <f>$J$19</f>
        <v>0</v>
      </c>
      <c r="AM58" s="204">
        <f>$I$20</f>
        <v>0</v>
      </c>
      <c r="AN58" s="204">
        <f>$J$20</f>
        <v>0</v>
      </c>
    </row>
  </sheetData>
  <sheetProtection password="C630" sheet="1" objects="1" scenarios="1" selectLockedCells="1" selectUnlockedCells="1"/>
  <mergeCells count="4">
    <mergeCell ref="A2:C2"/>
    <mergeCell ref="B4:D4"/>
    <mergeCell ref="F4:J4"/>
    <mergeCell ref="L4:N4"/>
  </mergeCells>
  <pageMargins left="0.75" right="0.75" top="1" bottom="1" header="0.5" footer="0.5"/>
  <pageSetup scale="36" orientation="landscape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indexed="13"/>
    <pageSetUpPr autoPageBreaks="0" fitToPage="1"/>
  </sheetPr>
  <dimension ref="A1:M60"/>
  <sheetViews>
    <sheetView showGridLines="0" showRowColHeaders="0" showZeros="0" showOutlineSymbols="0" zoomScale="129" zoomScaleNormal="129" zoomScaleSheetLayoutView="75" workbookViewId="0">
      <selection activeCell="G16" sqref="G16:H16"/>
    </sheetView>
  </sheetViews>
  <sheetFormatPr defaultColWidth="18.71875" defaultRowHeight="13" customHeight="1" x14ac:dyDescent="0.4"/>
  <cols>
    <col min="1" max="1" width="19.71875" customWidth="1"/>
    <col min="2" max="2" width="5.71875" customWidth="1"/>
    <col min="3" max="3" width="16.71875" customWidth="1"/>
    <col min="4" max="4" width="9.71875" customWidth="1"/>
    <col min="5" max="5" width="14.27734375" customWidth="1"/>
    <col min="6" max="6" width="11.71875" customWidth="1"/>
    <col min="7" max="7" width="10.5546875" customWidth="1"/>
    <col min="8" max="10" width="11.71875" customWidth="1"/>
    <col min="11" max="11" width="6.5546875" customWidth="1"/>
    <col min="12" max="13" width="15.71875" customWidth="1"/>
  </cols>
  <sheetData>
    <row r="1" spans="1:13" s="662" customFormat="1" ht="12" customHeight="1" x14ac:dyDescent="0.4">
      <c r="A1" s="661"/>
    </row>
    <row r="2" spans="1:13" s="284" customFormat="1" ht="18" customHeight="1" thickBot="1" x14ac:dyDescent="0.45">
      <c r="A2" s="287"/>
      <c r="B2" s="1189" t="s">
        <v>421</v>
      </c>
      <c r="C2" s="1189"/>
      <c r="D2" s="1189"/>
      <c r="E2" s="1189"/>
      <c r="F2" s="1189"/>
      <c r="G2" s="1189"/>
      <c r="H2" s="1189"/>
      <c r="I2" s="1189"/>
      <c r="J2" s="1189"/>
      <c r="K2" s="1189"/>
      <c r="L2" s="661"/>
      <c r="M2" s="662"/>
    </row>
    <row r="3" spans="1:13" s="284" customFormat="1" ht="20.100000000000001" customHeight="1" thickBot="1" x14ac:dyDescent="0.45">
      <c r="B3" s="1190" t="s">
        <v>599</v>
      </c>
      <c r="C3" s="1191"/>
      <c r="D3" s="1191"/>
      <c r="E3" s="1191"/>
      <c r="F3" s="1191"/>
      <c r="G3" s="1191"/>
      <c r="H3" s="1191"/>
      <c r="I3" s="1191"/>
      <c r="J3" s="1191"/>
      <c r="K3" s="1192"/>
      <c r="L3" s="663"/>
      <c r="M3" s="662"/>
    </row>
    <row r="4" spans="1:13" s="284" customFormat="1" ht="7" customHeight="1" x14ac:dyDescent="0.4">
      <c r="A4" s="288"/>
      <c r="B4" s="1193"/>
      <c r="C4" s="1194"/>
      <c r="D4" s="1194"/>
      <c r="E4" s="1194"/>
      <c r="F4" s="1194"/>
      <c r="G4" s="1194"/>
      <c r="H4" s="1194"/>
      <c r="I4" s="1194"/>
      <c r="J4" s="1194"/>
      <c r="K4" s="1195"/>
      <c r="L4" s="664"/>
      <c r="M4" s="662"/>
    </row>
    <row r="5" spans="1:13" s="284" customFormat="1" ht="15" customHeight="1" x14ac:dyDescent="0.45">
      <c r="A5" s="287"/>
      <c r="B5" s="289"/>
      <c r="C5" s="665" t="s">
        <v>446</v>
      </c>
      <c r="D5" s="666"/>
      <c r="E5" s="666"/>
      <c r="F5" s="666"/>
      <c r="G5" s="666"/>
      <c r="H5" s="666"/>
      <c r="I5" s="666"/>
      <c r="J5" s="666"/>
      <c r="K5" s="667"/>
      <c r="L5" s="668"/>
      <c r="M5" s="662"/>
    </row>
    <row r="6" spans="1:13" s="284" customFormat="1" ht="15" customHeight="1" x14ac:dyDescent="0.45">
      <c r="A6" s="287"/>
      <c r="B6" s="289"/>
      <c r="C6" s="669" t="s">
        <v>422</v>
      </c>
      <c r="D6" s="670"/>
      <c r="E6" s="670"/>
      <c r="F6" s="670"/>
      <c r="G6" s="670"/>
      <c r="H6" s="670"/>
      <c r="I6" s="670"/>
      <c r="J6" s="670"/>
      <c r="K6" s="671"/>
      <c r="L6" s="657"/>
      <c r="M6" s="662"/>
    </row>
    <row r="7" spans="1:13" s="284" customFormat="1" ht="15" customHeight="1" x14ac:dyDescent="0.45">
      <c r="A7" s="287"/>
      <c r="B7" s="289"/>
      <c r="C7" s="672" t="str">
        <f>IF(AND(B!A10&lt;&gt;"PR",'VERIFY TASK'!G2&lt;&gt;3),"3.  The certificates required by SC3 4.4.2, including a current barograph calibration certificate dated between",IF(AND(B!A10="PR",B!A2&lt;41183),"3.  The certificates required by SC3 4.4.2, including a current barograph calibration. (For details, please","3.  Calibration is not required for Silver or Gold claims based on GPS altitudes (For details, please "))</f>
        <v>3.  The certificates required by SC3 4.4.2, including a current barograph calibration certificate dated between</v>
      </c>
      <c r="D7" s="669"/>
      <c r="E7" s="669"/>
      <c r="F7" s="669"/>
      <c r="G7" s="672"/>
      <c r="H7" s="669"/>
      <c r="J7" s="672"/>
      <c r="K7" s="673"/>
      <c r="L7" s="657"/>
      <c r="M7" s="662"/>
    </row>
    <row r="8" spans="1:13" s="284" customFormat="1" ht="15" customHeight="1" x14ac:dyDescent="0.45">
      <c r="A8" s="287"/>
      <c r="B8" s="289"/>
      <c r="C8" s="674">
        <f>IF(AND(B!A10="",'VERIFY TASK'!G2&lt;&gt;3),B!A12,CONCATENATE("see SC3 2.4.3",")"))</f>
        <v>0</v>
      </c>
      <c r="D8" s="675" t="str">
        <f>IF(C8=B!A12," and ","")</f>
        <v xml:space="preserve"> and </v>
      </c>
      <c r="E8" s="676">
        <f>IF(AND(B!A10="",'VERIFY TASK'!G2&lt;&gt;3),B!B12,"")</f>
        <v>0</v>
      </c>
      <c r="F8" s="677"/>
      <c r="G8" s="677"/>
      <c r="H8" s="678"/>
      <c r="I8" s="674"/>
      <c r="J8" s="679"/>
      <c r="K8" s="673"/>
      <c r="L8" s="680"/>
      <c r="M8" s="662"/>
    </row>
    <row r="9" spans="1:13" s="284" customFormat="1" ht="15" customHeight="1" x14ac:dyDescent="0.45">
      <c r="B9" s="289"/>
      <c r="C9" s="678" t="s">
        <v>447</v>
      </c>
      <c r="D9" s="678"/>
      <c r="E9" s="678"/>
      <c r="F9" s="678"/>
      <c r="G9" s="678"/>
      <c r="H9" s="678"/>
      <c r="I9" s="678"/>
      <c r="J9" s="678"/>
      <c r="K9" s="379"/>
      <c r="L9" s="290"/>
      <c r="M9" s="662"/>
    </row>
    <row r="10" spans="1:13" s="284" customFormat="1" ht="15" customHeight="1" x14ac:dyDescent="0.45">
      <c r="B10" s="289"/>
      <c r="C10" s="678" t="s">
        <v>423</v>
      </c>
      <c r="D10" s="678"/>
      <c r="E10" s="678"/>
      <c r="F10" s="678"/>
      <c r="G10" s="678"/>
      <c r="H10" s="678"/>
      <c r="I10" s="678"/>
      <c r="J10" s="678"/>
      <c r="K10" s="379"/>
      <c r="L10" s="290"/>
      <c r="M10" s="662"/>
    </row>
    <row r="11" spans="1:13" s="284" customFormat="1" ht="15" customHeight="1" x14ac:dyDescent="0.45">
      <c r="B11" s="681"/>
      <c r="C11" s="1196" t="s">
        <v>424</v>
      </c>
      <c r="D11" s="1196"/>
      <c r="E11" s="1196"/>
      <c r="F11" s="1196"/>
      <c r="G11" s="1196"/>
      <c r="H11" s="1196"/>
      <c r="I11" s="1196"/>
      <c r="J11" s="1196"/>
      <c r="K11" s="656"/>
      <c r="L11" s="655"/>
      <c r="M11" s="662"/>
    </row>
    <row r="12" spans="1:13" s="284" customFormat="1" ht="15" customHeight="1" x14ac:dyDescent="0.45">
      <c r="B12" s="681"/>
      <c r="C12" s="678" t="s">
        <v>425</v>
      </c>
      <c r="D12" s="678"/>
      <c r="E12" s="678"/>
      <c r="F12" s="678"/>
      <c r="G12" s="678"/>
      <c r="H12" s="678"/>
      <c r="I12" s="678"/>
      <c r="J12" s="678"/>
      <c r="K12" s="656"/>
      <c r="L12" s="655"/>
      <c r="M12" s="662"/>
    </row>
    <row r="13" spans="1:13" s="284" customFormat="1" ht="15" customHeight="1" x14ac:dyDescent="0.45">
      <c r="B13" s="681"/>
      <c r="C13" s="678" t="s">
        <v>426</v>
      </c>
      <c r="D13" s="678"/>
      <c r="E13" s="678"/>
      <c r="F13" s="678"/>
      <c r="G13" s="678"/>
      <c r="H13" s="678"/>
      <c r="I13" s="678"/>
      <c r="J13" s="678"/>
      <c r="K13" s="656"/>
      <c r="L13" s="655"/>
      <c r="M13" s="662"/>
    </row>
    <row r="14" spans="1:13" s="284" customFormat="1" ht="6" customHeight="1" x14ac:dyDescent="0.45">
      <c r="B14" s="681"/>
      <c r="C14" s="682"/>
      <c r="D14" s="682"/>
      <c r="E14" s="682"/>
      <c r="F14" s="682"/>
      <c r="G14" s="682"/>
      <c r="H14" s="682"/>
      <c r="I14" s="682"/>
      <c r="J14" s="682"/>
      <c r="K14" s="656"/>
      <c r="L14" s="655"/>
      <c r="M14" s="662"/>
    </row>
    <row r="15" spans="1:13" s="284" customFormat="1" ht="8.1" customHeight="1" x14ac:dyDescent="0.4">
      <c r="B15" s="683"/>
      <c r="C15" s="291"/>
      <c r="D15" s="291"/>
      <c r="E15" s="291"/>
      <c r="F15" s="291"/>
      <c r="G15" s="291"/>
      <c r="H15" s="725"/>
      <c r="I15" s="291"/>
      <c r="J15" s="291"/>
      <c r="K15" s="684"/>
      <c r="M15" s="662"/>
    </row>
    <row r="16" spans="1:13" s="284" customFormat="1" ht="18" customHeight="1" x14ac:dyDescent="0.4">
      <c r="A16" s="1008">
        <f>B!E11</f>
        <v>0</v>
      </c>
      <c r="B16" s="1197" t="s">
        <v>443</v>
      </c>
      <c r="C16" s="1198"/>
      <c r="D16" s="1198"/>
      <c r="E16" s="1198"/>
      <c r="F16" s="1198"/>
      <c r="G16" s="1199">
        <v>1</v>
      </c>
      <c r="H16" s="1199"/>
      <c r="I16" s="726"/>
      <c r="J16" s="291"/>
      <c r="K16" s="684"/>
      <c r="L16" s="661"/>
      <c r="M16" s="662"/>
    </row>
    <row r="17" spans="1:13" s="284" customFormat="1" ht="8.1" customHeight="1" thickBot="1" x14ac:dyDescent="0.45">
      <c r="B17" s="685"/>
      <c r="C17" s="660"/>
      <c r="D17" s="660"/>
      <c r="E17" s="658"/>
      <c r="F17" s="658"/>
      <c r="G17" s="658"/>
      <c r="H17" s="658"/>
      <c r="I17" s="658"/>
      <c r="J17" s="658"/>
      <c r="K17" s="659"/>
      <c r="L17" s="661"/>
      <c r="M17" s="662"/>
    </row>
    <row r="18" spans="1:13" s="284" customFormat="1" ht="8.1" customHeight="1" thickBot="1" x14ac:dyDescent="0.6">
      <c r="B18" s="686"/>
      <c r="C18" s="686"/>
      <c r="D18" s="686"/>
      <c r="E18" s="686"/>
      <c r="F18" s="686"/>
      <c r="G18" s="686"/>
      <c r="H18" s="686"/>
      <c r="I18" s="686"/>
      <c r="J18" s="686"/>
      <c r="K18" s="686"/>
      <c r="L18" s="661"/>
      <c r="M18" s="662"/>
    </row>
    <row r="19" spans="1:13" s="284" customFormat="1" ht="19" customHeight="1" x14ac:dyDescent="0.5">
      <c r="B19" s="1180" t="str">
        <f>IF($G$16=2,"NOTE: This option requires either (1) Excel 2007 or later; or (2) MS Word installed on this computer.",IF($G$16=3,"NOTE: This option requires an installed printer",""))</f>
        <v/>
      </c>
      <c r="C19" s="1181"/>
      <c r="D19" s="1181"/>
      <c r="E19" s="1181"/>
      <c r="F19" s="1181"/>
      <c r="G19" s="1181"/>
      <c r="H19" s="1181"/>
      <c r="I19" s="1181"/>
      <c r="J19" s="1181"/>
      <c r="K19" s="1182"/>
      <c r="L19" s="661"/>
      <c r="M19" s="687" t="s">
        <v>445</v>
      </c>
    </row>
    <row r="20" spans="1:13" s="284" customFormat="1" ht="18" customHeight="1" x14ac:dyDescent="0.4">
      <c r="A20" s="287"/>
      <c r="B20" s="1186" t="str">
        <f>IF($G$16=1,"Please select a Save/Print option above",IF($G$16=2,"Use document controls to name and save your results; Excel will then close",IF($G$16=3,"Evaluation notes will be sent to the print queue; Excel will then close")))</f>
        <v>Please select a Save/Print option above</v>
      </c>
      <c r="C20" s="1187"/>
      <c r="D20" s="1187"/>
      <c r="E20" s="1187"/>
      <c r="F20" s="1187"/>
      <c r="G20" s="1187"/>
      <c r="H20" s="1187"/>
      <c r="I20" s="1187"/>
      <c r="J20" s="1187"/>
      <c r="K20" s="1188"/>
      <c r="L20" s="661"/>
      <c r="M20" s="687" t="s">
        <v>448</v>
      </c>
    </row>
    <row r="21" spans="1:13" s="284" customFormat="1" ht="19" customHeight="1" thickBot="1" x14ac:dyDescent="0.45">
      <c r="A21" s="287"/>
      <c r="B21" s="1183" t="str">
        <f>IF($G$16&gt;1,"Thanks for using Claim Check!","")</f>
        <v/>
      </c>
      <c r="C21" s="1184"/>
      <c r="D21" s="1184"/>
      <c r="E21" s="1184"/>
      <c r="F21" s="1184"/>
      <c r="G21" s="1184"/>
      <c r="H21" s="1184"/>
      <c r="I21" s="1184"/>
      <c r="J21" s="1184"/>
      <c r="K21" s="1185"/>
      <c r="L21" s="661"/>
      <c r="M21" s="687" t="s">
        <v>444</v>
      </c>
    </row>
    <row r="22" spans="1:13" s="284" customFormat="1" ht="8.1" customHeight="1" x14ac:dyDescent="0.4">
      <c r="K22" s="285"/>
      <c r="L22" s="661"/>
      <c r="M22" s="687"/>
    </row>
    <row r="23" spans="1:13" s="284" customFormat="1" ht="15" customHeight="1" x14ac:dyDescent="0.4">
      <c r="B23" s="1173" t="str">
        <f>IF($G$16&gt;1,"              Click on the glider to continue","")</f>
        <v/>
      </c>
      <c r="C23" s="1173"/>
      <c r="D23" s="1173"/>
      <c r="E23" s="1173"/>
      <c r="F23" s="1173"/>
      <c r="G23" s="380"/>
      <c r="H23" s="380"/>
      <c r="I23" s="380"/>
      <c r="J23" s="380"/>
      <c r="K23" s="380"/>
      <c r="L23" s="661"/>
      <c r="M23" s="662"/>
    </row>
    <row r="24" spans="1:13" s="284" customFormat="1" ht="4" customHeight="1" x14ac:dyDescent="0.4">
      <c r="A24" s="287"/>
      <c r="L24" s="661"/>
      <c r="M24" s="662"/>
    </row>
    <row r="25" spans="1:13" s="284" customFormat="1" ht="15" customHeight="1" x14ac:dyDescent="0.4">
      <c r="B25" s="1174"/>
      <c r="C25" s="1174"/>
      <c r="D25" s="1174"/>
      <c r="E25" s="1174"/>
      <c r="F25" s="1174"/>
      <c r="G25" s="381"/>
      <c r="H25" s="381"/>
      <c r="I25" s="381"/>
      <c r="J25" s="381"/>
      <c r="K25" s="381"/>
      <c r="L25" s="661"/>
      <c r="M25" s="662"/>
    </row>
    <row r="26" spans="1:13" s="284" customFormat="1" ht="4" customHeight="1" thickBot="1" x14ac:dyDescent="0.45">
      <c r="L26" s="661"/>
      <c r="M26" s="662"/>
    </row>
    <row r="27" spans="1:13" s="284" customFormat="1" ht="15" customHeight="1" thickBot="1" x14ac:dyDescent="0.45">
      <c r="B27" s="1175"/>
      <c r="C27" s="1175"/>
      <c r="D27" s="1175"/>
      <c r="E27" s="286"/>
      <c r="F27" s="286"/>
      <c r="G27" s="286"/>
      <c r="H27" s="286"/>
      <c r="I27" s="286"/>
      <c r="J27" s="1176" t="s">
        <v>389</v>
      </c>
      <c r="K27" s="1177"/>
      <c r="L27" s="661"/>
      <c r="M27" s="662"/>
    </row>
    <row r="28" spans="1:13" s="284" customFormat="1" ht="6" customHeight="1" x14ac:dyDescent="0.4">
      <c r="K28" s="285"/>
      <c r="L28" s="661"/>
      <c r="M28" s="662"/>
    </row>
    <row r="29" spans="1:13" s="662" customFormat="1" ht="12" customHeight="1" x14ac:dyDescent="0.4"/>
    <row r="30" spans="1:13" s="662" customFormat="1" ht="12" customHeight="1" x14ac:dyDescent="0.4">
      <c r="B30" s="687"/>
      <c r="K30" s="687"/>
    </row>
    <row r="31" spans="1:13" s="662" customFormat="1" ht="12" customHeight="1" x14ac:dyDescent="0.4"/>
    <row r="32" spans="1:13" s="662" customFormat="1" ht="12" customHeight="1" x14ac:dyDescent="0.4"/>
    <row r="33" spans="2:12" s="662" customFormat="1" ht="12" customHeight="1" x14ac:dyDescent="0.55000000000000004">
      <c r="B33" s="686"/>
      <c r="C33" s="686"/>
      <c r="D33" s="686"/>
      <c r="E33" s="686"/>
      <c r="F33" s="686"/>
      <c r="G33" s="686"/>
      <c r="H33" s="686"/>
      <c r="I33" s="686"/>
      <c r="J33" s="686"/>
      <c r="K33" s="686"/>
      <c r="L33" s="661"/>
    </row>
    <row r="34" spans="2:12" s="662" customFormat="1" ht="15" customHeight="1" x14ac:dyDescent="0.55000000000000004">
      <c r="B34" s="686"/>
      <c r="C34" s="1159" t="str">
        <f>IF(B!E11&lt;&gt;"OPTIM","Pre-flight Declaration evaluated by Claim Check","Electronic Declaration as shown in the .igc file")</f>
        <v>Pre-flight Declaration evaluated by Claim Check</v>
      </c>
      <c r="D34" s="1160"/>
      <c r="E34" s="1160"/>
      <c r="F34" s="1160"/>
      <c r="G34" s="1160"/>
      <c r="H34" s="1160"/>
      <c r="I34" s="1160"/>
      <c r="J34" s="1160"/>
      <c r="K34" s="686"/>
    </row>
    <row r="35" spans="2:12" s="662" customFormat="1" ht="8.1" customHeight="1" x14ac:dyDescent="0.55000000000000004">
      <c r="B35" s="686"/>
      <c r="C35" s="686"/>
      <c r="D35" s="686"/>
      <c r="E35" s="686"/>
      <c r="F35" s="686"/>
      <c r="G35" s="686"/>
      <c r="H35" s="686"/>
      <c r="I35" s="686"/>
      <c r="J35" s="686"/>
      <c r="K35" s="686"/>
    </row>
    <row r="36" spans="2:12" s="662" customFormat="1" ht="15" customHeight="1" x14ac:dyDescent="0.45">
      <c r="B36" s="688"/>
      <c r="C36" s="692" t="s">
        <v>427</v>
      </c>
      <c r="D36" s="1165" t="str">
        <f>CONCATENATE(B!A1,",  #  ",B!B1)</f>
        <v xml:space="preserve">,  #  </v>
      </c>
      <c r="E36" s="1178"/>
      <c r="F36" s="1166"/>
      <c r="G36" s="694"/>
      <c r="H36" s="692" t="s">
        <v>428</v>
      </c>
      <c r="I36" s="1157">
        <f>B!A2</f>
        <v>0</v>
      </c>
      <c r="J36" s="1158"/>
      <c r="K36" s="688"/>
    </row>
    <row r="37" spans="2:12" s="662" customFormat="1" ht="6" customHeight="1" x14ac:dyDescent="0.45">
      <c r="B37" s="688"/>
      <c r="C37" s="693"/>
      <c r="D37" s="693"/>
      <c r="E37" s="693"/>
      <c r="F37" s="693"/>
      <c r="G37" s="693"/>
      <c r="H37" s="693"/>
      <c r="I37" s="693"/>
      <c r="J37" s="693"/>
      <c r="K37" s="688"/>
    </row>
    <row r="38" spans="2:12" s="662" customFormat="1" ht="15" customHeight="1" x14ac:dyDescent="0.45">
      <c r="B38" s="688"/>
      <c r="C38" s="692" t="s">
        <v>429</v>
      </c>
      <c r="D38" s="1167">
        <f>'CLAIM CHECK'!B6</f>
        <v>0</v>
      </c>
      <c r="E38" s="1168"/>
      <c r="F38" s="1168"/>
      <c r="G38" s="1169"/>
      <c r="H38" s="692" t="s">
        <v>430</v>
      </c>
      <c r="I38" s="1165" t="str">
        <f>CONCATENATE('CLAIM CHECK'!F6,", ",'CLAIM CHECK'!H6)</f>
        <v>0, 0</v>
      </c>
      <c r="J38" s="1166"/>
      <c r="K38" s="688"/>
      <c r="L38" s="661"/>
    </row>
    <row r="39" spans="2:12" s="662" customFormat="1" ht="6" customHeight="1" x14ac:dyDescent="0.45">
      <c r="B39" s="688"/>
      <c r="C39" s="693"/>
      <c r="D39" s="693"/>
      <c r="E39" s="693"/>
      <c r="F39" s="693"/>
      <c r="G39" s="693"/>
      <c r="H39" s="693"/>
      <c r="I39" s="693"/>
      <c r="J39" s="693"/>
      <c r="K39" s="688"/>
    </row>
    <row r="40" spans="2:12" s="662" customFormat="1" ht="15" customHeight="1" x14ac:dyDescent="0.45">
      <c r="B40" s="688"/>
      <c r="C40" s="694"/>
      <c r="D40" s="692" t="s">
        <v>591</v>
      </c>
      <c r="E40" s="1170">
        <f>IF(B!E11="OPTIM",B!A15,B!A14)</f>
        <v>0</v>
      </c>
      <c r="F40" s="1171"/>
      <c r="G40" s="1172"/>
      <c r="H40" s="694"/>
      <c r="I40" s="692" t="s">
        <v>431</v>
      </c>
      <c r="J40" s="695">
        <f>B!B14</f>
        <v>0</v>
      </c>
      <c r="K40" s="688"/>
    </row>
    <row r="41" spans="2:12" s="662" customFormat="1" ht="6" customHeight="1" x14ac:dyDescent="0.45">
      <c r="B41" s="688"/>
      <c r="C41" s="693"/>
      <c r="D41" s="693"/>
      <c r="E41" s="693"/>
      <c r="F41" s="693"/>
      <c r="G41" s="693"/>
      <c r="H41" s="693"/>
      <c r="I41" s="693"/>
      <c r="J41" s="693"/>
      <c r="K41" s="688"/>
    </row>
    <row r="42" spans="2:12" s="662" customFormat="1" ht="12" customHeight="1" x14ac:dyDescent="0.45">
      <c r="B42" s="688"/>
      <c r="C42" s="693"/>
      <c r="D42" s="693"/>
      <c r="E42" s="1008">
        <f>B!D13</f>
        <v>0</v>
      </c>
      <c r="F42" s="1155" t="s">
        <v>432</v>
      </c>
      <c r="G42" s="1156"/>
      <c r="H42" s="694"/>
      <c r="I42" s="1155" t="s">
        <v>433</v>
      </c>
      <c r="J42" s="1156"/>
      <c r="K42" s="688"/>
    </row>
    <row r="43" spans="2:12" s="662" customFormat="1" ht="10" customHeight="1" x14ac:dyDescent="0.45">
      <c r="B43" s="688"/>
      <c r="C43" s="693"/>
      <c r="D43" s="694"/>
      <c r="E43" s="694"/>
      <c r="F43" s="1161" t="s">
        <v>434</v>
      </c>
      <c r="G43" s="1162"/>
      <c r="H43" s="694"/>
      <c r="I43" s="1161" t="s">
        <v>435</v>
      </c>
      <c r="J43" s="1162"/>
      <c r="K43" s="688"/>
    </row>
    <row r="44" spans="2:12" s="662" customFormat="1" ht="4" customHeight="1" x14ac:dyDescent="0.45">
      <c r="B44" s="688"/>
      <c r="C44" s="693"/>
      <c r="D44" s="693"/>
      <c r="E44" s="689"/>
      <c r="F44" s="1163"/>
      <c r="G44" s="1164"/>
      <c r="H44" s="690"/>
      <c r="I44" s="1163"/>
      <c r="J44" s="1164"/>
      <c r="K44" s="688"/>
    </row>
    <row r="45" spans="2:12" s="662" customFormat="1" ht="12" customHeight="1" x14ac:dyDescent="0.45">
      <c r="B45" s="688"/>
      <c r="C45" s="694"/>
      <c r="D45" s="694"/>
      <c r="E45" s="696"/>
      <c r="F45" s="697" t="s">
        <v>84</v>
      </c>
      <c r="G45" s="697" t="s">
        <v>436</v>
      </c>
      <c r="H45" s="698"/>
      <c r="I45" s="697" t="s">
        <v>84</v>
      </c>
      <c r="J45" s="697" t="s">
        <v>436</v>
      </c>
      <c r="K45" s="688"/>
    </row>
    <row r="46" spans="2:12" s="662" customFormat="1" ht="6" customHeight="1" x14ac:dyDescent="0.45">
      <c r="B46" s="688"/>
      <c r="C46" s="694"/>
      <c r="D46" s="694"/>
      <c r="E46" s="694"/>
      <c r="F46" s="694"/>
      <c r="G46" s="694"/>
      <c r="H46" s="694"/>
      <c r="I46" s="694"/>
      <c r="J46" s="693"/>
      <c r="K46" s="688"/>
    </row>
    <row r="47" spans="2:12" s="662" customFormat="1" ht="15" customHeight="1" x14ac:dyDescent="0.4">
      <c r="B47" s="288"/>
      <c r="C47" s="692" t="s">
        <v>437</v>
      </c>
      <c r="D47" s="1165">
        <f>B!G20</f>
        <v>0</v>
      </c>
      <c r="E47" s="1166"/>
      <c r="F47" s="699">
        <f>B!A20</f>
        <v>0</v>
      </c>
      <c r="G47" s="695">
        <f>B!B20</f>
        <v>0</v>
      </c>
      <c r="H47" s="694"/>
      <c r="I47" s="699">
        <f>B!D20</f>
        <v>0</v>
      </c>
      <c r="J47" s="695">
        <f>B!E20</f>
        <v>0</v>
      </c>
      <c r="K47" s="288"/>
    </row>
    <row r="48" spans="2:12" s="662" customFormat="1" ht="6" customHeight="1" x14ac:dyDescent="0.4">
      <c r="B48" s="288"/>
      <c r="C48" s="692"/>
      <c r="D48" s="693"/>
      <c r="E48" s="693"/>
      <c r="F48" s="693"/>
      <c r="G48" s="693"/>
      <c r="H48" s="693"/>
      <c r="I48" s="693"/>
      <c r="J48" s="284"/>
      <c r="K48" s="288"/>
    </row>
    <row r="49" spans="1:11" s="662" customFormat="1" ht="15" customHeight="1" x14ac:dyDescent="0.45">
      <c r="B49" s="285"/>
      <c r="C49" s="692" t="s">
        <v>438</v>
      </c>
      <c r="D49" s="1165">
        <f>IF(B!$E$11&lt;&gt;"OPTIM",B!S22,B!G22)</f>
        <v>0</v>
      </c>
      <c r="E49" s="1166"/>
      <c r="F49" s="699">
        <f>IF(B!$E$11&lt;&gt;"OPTIM",B!M22,B!A22)</f>
        <v>0</v>
      </c>
      <c r="G49" s="695">
        <f>IF(B!$E$11&lt;&gt;"OPTIM",B!N22,B!B22)</f>
        <v>0</v>
      </c>
      <c r="H49" s="694"/>
      <c r="I49" s="699">
        <f>IF(B!$E$11&lt;&gt;"OPTIM",B!P22,B!D22)</f>
        <v>0</v>
      </c>
      <c r="J49" s="695">
        <f>IF(B!$E$11&lt;&gt;"OPTIM",B!Q22,B!E22)</f>
        <v>0</v>
      </c>
      <c r="K49" s="691"/>
    </row>
    <row r="50" spans="1:11" s="662" customFormat="1" ht="6" customHeight="1" x14ac:dyDescent="0.45">
      <c r="B50" s="285"/>
      <c r="C50" s="692"/>
      <c r="D50" s="284"/>
      <c r="E50" s="284"/>
      <c r="F50" s="284"/>
      <c r="G50" s="284"/>
      <c r="H50" s="284"/>
      <c r="I50" s="284"/>
      <c r="J50" s="693"/>
      <c r="K50" s="688"/>
    </row>
    <row r="51" spans="1:11" s="662" customFormat="1" ht="15" customHeight="1" x14ac:dyDescent="0.4">
      <c r="B51" s="285"/>
      <c r="C51" s="692" t="s">
        <v>439</v>
      </c>
      <c r="D51" s="1165">
        <f>IF(B!$E$11&lt;&gt;"OPTIM",B!S24,B!G24)</f>
        <v>0</v>
      </c>
      <c r="E51" s="1166"/>
      <c r="F51" s="699">
        <f>IF(B!$E$11&lt;&gt;"OPTIM",B!M24,B!A24)</f>
        <v>0</v>
      </c>
      <c r="G51" s="695">
        <f>IF(B!$E$11&lt;&gt;"OPTIM",B!N24,B!B24)</f>
        <v>0</v>
      </c>
      <c r="H51" s="694"/>
      <c r="I51" s="699">
        <f>IF(B!$E$11&lt;&gt;"OPTIM",B!P24,B!D24)</f>
        <v>0</v>
      </c>
      <c r="J51" s="695">
        <f>IF(B!$E$11&lt;&gt;"OPTIM",B!Q24,B!E24)</f>
        <v>0</v>
      </c>
      <c r="K51" s="285"/>
    </row>
    <row r="52" spans="1:11" s="662" customFormat="1" ht="6" customHeight="1" x14ac:dyDescent="0.4">
      <c r="B52" s="285"/>
      <c r="C52" s="692"/>
      <c r="D52" s="693"/>
      <c r="E52" s="693"/>
      <c r="F52" s="693"/>
      <c r="G52" s="693"/>
      <c r="H52" s="693"/>
      <c r="I52" s="693"/>
      <c r="J52" s="284"/>
      <c r="K52" s="285"/>
    </row>
    <row r="53" spans="1:11" s="662" customFormat="1" ht="15" customHeight="1" x14ac:dyDescent="0.4">
      <c r="B53" s="285"/>
      <c r="C53" s="692" t="s">
        <v>440</v>
      </c>
      <c r="D53" s="1165">
        <f>IF(B!$E$11&lt;&gt;"OPTIM",B!S26,B!G26)</f>
        <v>0</v>
      </c>
      <c r="E53" s="1166"/>
      <c r="F53" s="699">
        <f>IF(B!$E$11&lt;&gt;"OPTIM",B!M26,B!A26)</f>
        <v>0</v>
      </c>
      <c r="G53" s="695">
        <f>IF(B!$E$11&lt;&gt;"OPTIM",B!N26,B!B26)</f>
        <v>0</v>
      </c>
      <c r="H53" s="694"/>
      <c r="I53" s="699">
        <f>IF(B!$E$11&lt;&gt;"OPTIM",B!P26,B!D26)</f>
        <v>0</v>
      </c>
      <c r="J53" s="695">
        <f>IF(B!$E$11&lt;&gt;"OPTIM",B!Q26,B!E26)</f>
        <v>0</v>
      </c>
      <c r="K53" s="285"/>
    </row>
    <row r="54" spans="1:11" s="662" customFormat="1" ht="6" customHeight="1" x14ac:dyDescent="0.4">
      <c r="B54" s="285"/>
      <c r="C54" s="692"/>
      <c r="D54" s="284"/>
      <c r="E54" s="284"/>
      <c r="F54" s="284"/>
      <c r="G54" s="284"/>
      <c r="H54" s="284"/>
      <c r="I54" s="284"/>
      <c r="J54" s="284"/>
      <c r="K54" s="285"/>
    </row>
    <row r="55" spans="1:11" s="662" customFormat="1" ht="15" customHeight="1" x14ac:dyDescent="0.4">
      <c r="B55" s="285"/>
      <c r="C55" s="692" t="s">
        <v>441</v>
      </c>
      <c r="D55" s="1165">
        <f>B!G28</f>
        <v>0</v>
      </c>
      <c r="E55" s="1166"/>
      <c r="F55" s="699">
        <f>B!A28</f>
        <v>0</v>
      </c>
      <c r="G55" s="695">
        <f>B!B28</f>
        <v>0</v>
      </c>
      <c r="H55" s="694"/>
      <c r="I55" s="699">
        <f>B!D28</f>
        <v>0</v>
      </c>
      <c r="J55" s="695">
        <f>B!E28</f>
        <v>0</v>
      </c>
      <c r="K55" s="285"/>
    </row>
    <row r="56" spans="1:11" s="662" customFormat="1" ht="12" customHeight="1" x14ac:dyDescent="0.45">
      <c r="B56" s="285"/>
      <c r="C56" s="688"/>
      <c r="D56" s="285"/>
      <c r="E56" s="285"/>
      <c r="F56" s="285"/>
      <c r="G56" s="285"/>
      <c r="H56" s="285"/>
      <c r="I56" s="688"/>
      <c r="J56" s="285"/>
      <c r="K56" s="285"/>
    </row>
    <row r="57" spans="1:11" s="662" customFormat="1" ht="15" customHeight="1" x14ac:dyDescent="0.4">
      <c r="B57" s="285"/>
      <c r="C57" s="1179" t="str">
        <f>IF(E42=4,"Pilot &amp; Aircraft as reported by Claim Check user","")</f>
        <v/>
      </c>
      <c r="D57" s="1179"/>
      <c r="E57" s="1179"/>
      <c r="F57" s="1179"/>
      <c r="G57" s="1179"/>
      <c r="H57" s="1179"/>
      <c r="I57" s="1179"/>
      <c r="J57" s="1179"/>
      <c r="K57" s="285"/>
    </row>
    <row r="60" spans="1:11" ht="13" customHeight="1" x14ac:dyDescent="0.4">
      <c r="A60" s="48"/>
    </row>
  </sheetData>
  <sheetProtection password="C630" sheet="1" objects="1" scenarios="1" selectLockedCells="1"/>
  <protectedRanges>
    <protectedRange sqref="J28:J32 B22:J22 E28:H32 B28:D28 B20 C29:C32" name="Range1_1_3" securityDescriptor="O:WDG:WDD:(A;;CC;;;S-1-5-21-1467035181-4279586865-2809505834-1006)"/>
    <protectedRange sqref="I28:I32" name="Range1_2_2" securityDescriptor="O:WDG:WDD:(A;;CC;;;S-1-5-21-1467035181-4279586865-2809505834-1006)"/>
  </protectedRanges>
  <mergeCells count="29">
    <mergeCell ref="B19:K19"/>
    <mergeCell ref="B21:K21"/>
    <mergeCell ref="B20:K20"/>
    <mergeCell ref="B2:K2"/>
    <mergeCell ref="B3:K3"/>
    <mergeCell ref="B4:K4"/>
    <mergeCell ref="C11:J11"/>
    <mergeCell ref="B16:F16"/>
    <mergeCell ref="G16:H16"/>
    <mergeCell ref="C57:J57"/>
    <mergeCell ref="D47:E47"/>
    <mergeCell ref="D49:E49"/>
    <mergeCell ref="D51:E51"/>
    <mergeCell ref="D53:E53"/>
    <mergeCell ref="D55:E55"/>
    <mergeCell ref="B23:F23"/>
    <mergeCell ref="B25:F25"/>
    <mergeCell ref="B27:D27"/>
    <mergeCell ref="J27:K27"/>
    <mergeCell ref="D36:F36"/>
    <mergeCell ref="F42:G42"/>
    <mergeCell ref="I42:J42"/>
    <mergeCell ref="I36:J36"/>
    <mergeCell ref="C34:J34"/>
    <mergeCell ref="F43:G44"/>
    <mergeCell ref="I43:J44"/>
    <mergeCell ref="I38:J38"/>
    <mergeCell ref="D38:G38"/>
    <mergeCell ref="E40:G40"/>
  </mergeCells>
  <conditionalFormatting sqref="B23:F23">
    <cfRule type="expression" dxfId="32" priority="6" stopIfTrue="1">
      <formula>$B$23="              Click on the glider to proceed"</formula>
    </cfRule>
  </conditionalFormatting>
  <conditionalFormatting sqref="E40">
    <cfRule type="expression" dxfId="31" priority="5" stopIfTrue="1">
      <formula>$D$40&lt;&gt;"Free Task"</formula>
    </cfRule>
  </conditionalFormatting>
  <conditionalFormatting sqref="D38">
    <cfRule type="expression" dxfId="30" priority="4" stopIfTrue="1">
      <formula>$G$38=4</formula>
    </cfRule>
  </conditionalFormatting>
  <conditionalFormatting sqref="I38:J38">
    <cfRule type="expression" dxfId="29" priority="3" stopIfTrue="1">
      <formula>$G$38=4</formula>
    </cfRule>
  </conditionalFormatting>
  <conditionalFormatting sqref="C57:J57">
    <cfRule type="expression" dxfId="28" priority="2" stopIfTrue="1">
      <formula>$C$57&lt;&gt;""</formula>
    </cfRule>
  </conditionalFormatting>
  <conditionalFormatting sqref="B20:K20">
    <cfRule type="expression" dxfId="27" priority="1" stopIfTrue="1">
      <formula>$G$16=1</formula>
    </cfRule>
  </conditionalFormatting>
  <printOptions horizontalCentered="1"/>
  <pageMargins left="0.7" right="0.7" top="2" bottom="0.75" header="0.25" footer="0.3"/>
  <pageSetup scale="83" orientation="portrait" r:id="rId1"/>
  <headerFooter>
    <oddHeader xml:space="preserve">&amp;L&amp;14&amp;G&amp;C&amp;"Arial,Bold"&amp;12
&amp;16Claim Check Evaluation Notes&amp;12
</oddHeader>
    <oddFooter>Page &amp;P</oddFooter>
  </headerFooter>
  <rowBreaks count="1" manualBreakCount="1">
    <brk id="21" min="1" max="10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Drop Down 1">
              <controlPr defaultSize="0" autoLine="0" autoPict="0">
                <anchor moveWithCells="1">
                  <from>
                    <xdr:col>5</xdr:col>
                    <xdr:colOff>803910</xdr:colOff>
                    <xdr:row>14</xdr:row>
                    <xdr:rowOff>95250</xdr:rowOff>
                  </from>
                  <to>
                    <xdr:col>8</xdr:col>
                    <xdr:colOff>26670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1FFC1"/>
    <pageSetUpPr fitToPage="1"/>
  </sheetPr>
  <dimension ref="A1:J68"/>
  <sheetViews>
    <sheetView showGridLines="0" showRowColHeaders="0" showOutlineSymbols="0" zoomScale="121" zoomScaleNormal="121" workbookViewId="0"/>
  </sheetViews>
  <sheetFormatPr defaultColWidth="18.71875" defaultRowHeight="12.75" customHeight="1" x14ac:dyDescent="0.4"/>
  <cols>
    <col min="1" max="1" width="25.71875" customWidth="1"/>
    <col min="2" max="3" width="17.71875" customWidth="1"/>
    <col min="4" max="4" width="21.71875" customWidth="1"/>
    <col min="5" max="5" width="17.71875" customWidth="1"/>
    <col min="6" max="6" width="20.71875" customWidth="1"/>
    <col min="7" max="7" width="17.71875" customWidth="1"/>
    <col min="8" max="8" width="20.71875" customWidth="1"/>
    <col min="9" max="9" width="9.1640625" customWidth="1"/>
  </cols>
  <sheetData>
    <row r="1" spans="1:10" ht="12.6" thickBot="1" x14ac:dyDescent="0.45">
      <c r="A1" s="48"/>
    </row>
    <row r="2" spans="1:10" ht="17.100000000000001" customHeight="1" x14ac:dyDescent="0.4">
      <c r="A2" s="756">
        <f>B!A44</f>
        <v>0</v>
      </c>
      <c r="B2" s="1229" t="str">
        <f>IF(B!$D$13=4,"OO Certification Required",IF(AND(SUMMARY!$A$5&lt;&gt;0,Worksheet!$N$5="Written"),"Per Written Declaration",IF(SUMMARY!$A$14="Free","Free Record","Per Electronic Declaration")))</f>
        <v>Per Electronic Declaration</v>
      </c>
      <c r="C2" s="1230"/>
      <c r="D2" s="232" t="s">
        <v>371</v>
      </c>
      <c r="E2" s="1231" t="s">
        <v>370</v>
      </c>
      <c r="F2" s="1232"/>
      <c r="G2" s="1232"/>
      <c r="H2" s="1233"/>
    </row>
    <row r="3" spans="1:10" ht="6" customHeight="1" x14ac:dyDescent="0.5">
      <c r="B3" s="651"/>
      <c r="C3" s="650"/>
      <c r="D3" s="652"/>
      <c r="E3" s="1234"/>
      <c r="F3" s="1235"/>
      <c r="G3" s="1235"/>
      <c r="H3" s="1236"/>
      <c r="I3" s="850"/>
    </row>
    <row r="4" spans="1:10" ht="17.100000000000001" customHeight="1" x14ac:dyDescent="0.4">
      <c r="B4" s="1237" t="str">
        <f>IF(B!E16=0,"No airspace constraints checked",CONCATENATE(B!D16," Airspace @ ",B!E16," ",B!E17))</f>
        <v>No airspace constraints checked</v>
      </c>
      <c r="C4" s="1238"/>
      <c r="D4" s="1239"/>
      <c r="E4" s="1240" t="s">
        <v>468</v>
      </c>
      <c r="F4" s="1241"/>
      <c r="G4" s="1241"/>
      <c r="H4" s="1242"/>
      <c r="I4" s="851"/>
    </row>
    <row r="5" spans="1:10" ht="6" customHeight="1" x14ac:dyDescent="0.5">
      <c r="B5" s="653"/>
      <c r="C5" s="654"/>
      <c r="D5" s="391"/>
      <c r="E5" s="202"/>
      <c r="F5" s="202"/>
      <c r="G5" s="202"/>
      <c r="H5" s="171"/>
    </row>
    <row r="6" spans="1:10" ht="17.100000000000001" customHeight="1" x14ac:dyDescent="0.4">
      <c r="B6" s="1243">
        <f>IF(AND(B!B4&lt;&gt;"",B!C11="PAX",B!D13=2),CONCATENATE(B!$A$4," &amp; ",B!$B$4),IF(OR(B!$A$10="PR",B2="Per Written Declaration",B!$D$13=4),SUMMARY!$A$5,SUMMARY!$A$4))</f>
        <v>0</v>
      </c>
      <c r="C6" s="1244"/>
      <c r="D6" s="1244"/>
      <c r="E6" s="394">
        <f>SUMMARY!$B$9</f>
        <v>0</v>
      </c>
      <c r="F6" s="1228">
        <f>IF(AND(SUMMARY!$A$5&lt;&gt;0,OR(B!$D$13=4,Worksheet!$N$5="Written",Worksheet!$N$5="Free-w")),SUMMARY!$A$7,SUMMARY!$B$6)</f>
        <v>0</v>
      </c>
      <c r="G6" s="1228"/>
      <c r="H6" s="395">
        <f>IF(AND(SUMMARY!B7&lt;&gt;0,OR(B!$D$13=4,Worksheet!$N$5="Written",Worksheet!$N$5="Free-w")),SUMMARY!$B$7,SUMMARY!$B$8)</f>
        <v>0</v>
      </c>
      <c r="J6" s="709"/>
    </row>
    <row r="7" spans="1:10" ht="6" customHeight="1" x14ac:dyDescent="0.4">
      <c r="B7" s="231"/>
      <c r="C7" s="168"/>
      <c r="D7" s="168"/>
      <c r="E7" s="396"/>
      <c r="F7" s="230"/>
      <c r="G7" s="139"/>
      <c r="H7" s="397"/>
    </row>
    <row r="8" spans="1:10" ht="17.100000000000001" customHeight="1" x14ac:dyDescent="0.5">
      <c r="A8" s="199"/>
      <c r="B8" s="328"/>
      <c r="C8" s="329" t="str">
        <f>IF(SUMMARY!D17=0,"First Data Point, UTC   ","Take Off, UTC   ")</f>
        <v xml:space="preserve">Take Off, UTC   </v>
      </c>
      <c r="D8" s="398">
        <f>SUMMARY!$A$17</f>
        <v>0</v>
      </c>
      <c r="E8" s="330" t="s">
        <v>369</v>
      </c>
      <c r="F8" s="398">
        <f>SUMMARY!$I$4</f>
        <v>0</v>
      </c>
      <c r="G8" s="330" t="str">
        <f>IF(SUMMARY!H14="MGFini","MG Finish UTC","Landing, UTC")</f>
        <v>Landing, UTC</v>
      </c>
      <c r="H8" s="399">
        <f>SUMMARY!$I$14</f>
        <v>0</v>
      </c>
    </row>
    <row r="9" spans="1:10" ht="6" customHeight="1" x14ac:dyDescent="0.5">
      <c r="A9" s="199"/>
      <c r="B9" s="328"/>
      <c r="C9" s="330"/>
      <c r="D9" s="400"/>
      <c r="E9" s="330"/>
      <c r="F9" s="401"/>
      <c r="G9" s="330"/>
      <c r="H9" s="402"/>
    </row>
    <row r="10" spans="1:10" ht="17.100000000000001" customHeight="1" x14ac:dyDescent="0.5">
      <c r="A10" s="199"/>
      <c r="B10" s="1223" t="s">
        <v>368</v>
      </c>
      <c r="C10" s="1224"/>
      <c r="D10" s="403">
        <f>Worksheet!I23</f>
        <v>0</v>
      </c>
      <c r="E10" s="331"/>
      <c r="F10" s="404">
        <f>IF(Worksheet!$D$9="Metres",Worksheet!J23,Worksheet!J23/3.2808399)</f>
        <v>0</v>
      </c>
      <c r="G10" s="332" t="str">
        <f>IF(E6&lt;43009,"Duration Loss of Height, metres","N/A: Duration Loss of Height, metres")</f>
        <v>Duration Loss of Height, metres</v>
      </c>
      <c r="H10" s="333"/>
    </row>
    <row r="11" spans="1:10" ht="6" customHeight="1" x14ac:dyDescent="0.5">
      <c r="A11" s="199"/>
      <c r="B11" s="334"/>
      <c r="C11" s="330"/>
      <c r="D11" s="405"/>
      <c r="E11" s="332"/>
      <c r="F11" s="406"/>
      <c r="G11" s="332"/>
      <c r="H11" s="333"/>
    </row>
    <row r="12" spans="1:10" ht="17.100000000000001" customHeight="1" x14ac:dyDescent="0.5">
      <c r="A12" s="199"/>
      <c r="B12" s="335" t="str">
        <f>IF(OR(B!A10="PR",'VERIFY TASK'!G2=3),"GPS Altitudes","Calibration")</f>
        <v>Calibration</v>
      </c>
      <c r="C12" s="329" t="s">
        <v>367</v>
      </c>
      <c r="D12" s="404">
        <f>IF(Worksheet!$D$9="metres",Worksheet!$G$14,Worksheet!$G$14/3.2808399)</f>
        <v>0</v>
      </c>
      <c r="E12" s="390" t="s">
        <v>594</v>
      </c>
      <c r="F12" s="404">
        <f>D12*3.2808399</f>
        <v>0</v>
      </c>
      <c r="G12" s="407" t="s">
        <v>596</v>
      </c>
      <c r="H12" s="336"/>
    </row>
    <row r="13" spans="1:10" ht="17.100000000000001" customHeight="1" x14ac:dyDescent="0.5">
      <c r="A13" s="199"/>
      <c r="B13" s="335" t="str">
        <f>IF(B12&lt;&gt;"Calibration","",IF(B!A39="Not Current","Not Current",IF(SUM(YDWK1!F7:G14)&gt;0,"Provided","Not Provided")))</f>
        <v>Not Provided</v>
      </c>
      <c r="C13" s="329" t="s">
        <v>366</v>
      </c>
      <c r="D13" s="404">
        <f>Worksheet!D29</f>
        <v>0</v>
      </c>
      <c r="E13" s="337" t="s">
        <v>595</v>
      </c>
      <c r="F13" s="404">
        <f>IF(E13="metres",D13*3.2808399,D13/3.2808399)</f>
        <v>0</v>
      </c>
      <c r="G13" s="407" t="s">
        <v>597</v>
      </c>
      <c r="H13" s="338"/>
    </row>
    <row r="14" spans="1:10" ht="17.100000000000001" customHeight="1" x14ac:dyDescent="0.5">
      <c r="A14" s="199"/>
      <c r="B14" s="1223" t="s">
        <v>365</v>
      </c>
      <c r="C14" s="1224"/>
      <c r="D14" s="404">
        <f>Worksheet!D30</f>
        <v>0</v>
      </c>
      <c r="E14" s="339" t="s">
        <v>594</v>
      </c>
      <c r="F14" s="404">
        <f>IF(E14="metres MSL",D14*3.2808399,D14/3.2808399)</f>
        <v>0</v>
      </c>
      <c r="G14" s="408" t="s">
        <v>596</v>
      </c>
      <c r="H14" s="338"/>
    </row>
    <row r="15" spans="1:10" ht="8.1" customHeight="1" x14ac:dyDescent="0.5">
      <c r="A15" s="199"/>
      <c r="B15" s="340"/>
      <c r="C15" s="330"/>
      <c r="D15" s="409"/>
      <c r="E15" s="339"/>
      <c r="F15" s="409"/>
      <c r="G15" s="341"/>
      <c r="H15" s="338"/>
    </row>
    <row r="16" spans="1:10" ht="17.100000000000001" customHeight="1" x14ac:dyDescent="0.5">
      <c r="A16" s="199"/>
      <c r="B16" s="1225" t="str">
        <f>IF(B!E11="OPTIM","Free Distance Task Variants",IF(SUM(Worksheet!O46:O61)=0,"This flight has not been evaluated for Distance and/or Goal purposes","Distance Task Variants"))</f>
        <v>This flight has not been evaluated for Distance and/or Goal purposes</v>
      </c>
      <c r="C16" s="1226"/>
      <c r="D16" s="1226"/>
      <c r="E16" s="1226"/>
      <c r="F16" s="1226"/>
      <c r="G16" s="1226"/>
      <c r="H16" s="1227"/>
    </row>
    <row r="17" spans="1:9" ht="8.1" customHeight="1" x14ac:dyDescent="0.5">
      <c r="A17" s="199"/>
      <c r="B17" s="340"/>
      <c r="C17" s="330"/>
      <c r="D17" s="342"/>
      <c r="E17" s="343"/>
      <c r="F17" s="342"/>
      <c r="G17" s="344"/>
      <c r="H17" s="338"/>
    </row>
    <row r="18" spans="1:9" ht="17.100000000000001" customHeight="1" x14ac:dyDescent="0.5">
      <c r="A18" s="199"/>
      <c r="B18" s="389"/>
      <c r="C18" s="1228" t="str">
        <f>IF(OR(SUMMARY!A14="Electronic, no task",AND(F18="None",H18="None",SUMMARY!H30=0)),"No Task",IF(OR(SUMMARY!$B$20="NO",SUMMARY!$B$19="NO"),"Declared Task Invalid",IF(SUMMARY!$A$14="Free","Free Task",CONCATENATE(Worksheet!$N$5," Task"))))</f>
        <v>No Task</v>
      </c>
      <c r="D18" s="1228"/>
      <c r="E18" s="410" t="s">
        <v>184</v>
      </c>
      <c r="F18" s="411" t="str">
        <f>IF(SUMMARY!$B$22=0,"None",IF(OR(AND(E6&lt;42278,OR(Worksheet!B18&lt;&gt;0,Worksheet!D12&lt;&gt;0)),AND(E6&gt;=42278,Worksheet!D12&lt;&gt;0)),SUMMARY!$B$22,"Not Achieved"))</f>
        <v>None</v>
      </c>
      <c r="G18" s="412" t="s">
        <v>189</v>
      </c>
      <c r="H18" s="413" t="str">
        <f>IF(SUMMARY!$B$28=0,"None",IF(OR(AND(E6&lt;42278,Worksheet!L12=0,Worksheet!O18=0),AND(E6&gt;=42278,Worksheet!L12=0)),"Not Achieved",SUMMARY!$B$28))</f>
        <v>None</v>
      </c>
      <c r="I18" s="47"/>
    </row>
    <row r="19" spans="1:9" ht="15" x14ac:dyDescent="0.5">
      <c r="A19" s="199"/>
      <c r="B19" s="389"/>
      <c r="C19" s="414" t="str">
        <f>IF(SUMMARY!$H$27=1,SUMMARY!$E$16,IF(SUMMARY!$H$28=1,SUMMARY!$E$22,IF(SUMMARY!$H$29=1,SUMMARY!$E$28,"")))</f>
        <v/>
      </c>
      <c r="D19" s="415" t="str">
        <f>IF(SUMMARY!$H$27=1,SUMMARY!$I$27,IF(SUMMARY!$H$28=1,SUMMARY!$I$28,IF(SUMMARY!$H$29=1,SUMMARY!$I$29,"")))</f>
        <v/>
      </c>
      <c r="E19" s="414" t="str">
        <f>IF(SUMMARY!$H$27=2,SUMMARY!$E$16,IF(SUMMARY!$H$28=2,SUMMARY!$E$22,IF(SUMMARY!$H$29=2,SUMMARY!$E$28,"")))</f>
        <v/>
      </c>
      <c r="F19" s="415" t="str">
        <f>IF(SUMMARY!$H$27=2,SUMMARY!$I$27,IF(SUMMARY!$H$28=2,SUMMARY!$I$28,IF(SUMMARY!$H$29=2,SUMMARY!$I$29,"")))</f>
        <v/>
      </c>
      <c r="G19" s="414" t="str">
        <f>IF(SUMMARY!$H$27=3,SUMMARY!$E$16,IF(SUMMARY!$H$28=3,SUMMARY!$E$22,IF(SUMMARY!$H$29=3,SUMMARY!$E$28,"")))</f>
        <v/>
      </c>
      <c r="H19" s="416" t="str">
        <f>IF(SUMMARY!$H$27=3,SUMMARY!$I$27,IF(SUMMARY!$H$28=3,SUMMARY!$I$28,IF(SUMMARY!$H$29=3,SUMMARY!$I$29,"")))</f>
        <v/>
      </c>
    </row>
    <row r="20" spans="1:9" ht="6" customHeight="1" x14ac:dyDescent="0.5">
      <c r="A20" s="199"/>
      <c r="B20" s="385"/>
      <c r="C20" s="386"/>
      <c r="D20" s="386"/>
      <c r="E20" s="386"/>
      <c r="F20" s="386"/>
      <c r="G20" s="386"/>
      <c r="H20" s="387"/>
    </row>
    <row r="21" spans="1:9" ht="17.100000000000001" customHeight="1" x14ac:dyDescent="0.5">
      <c r="A21" s="199"/>
      <c r="B21" s="345"/>
      <c r="C21" s="1211" t="s">
        <v>364</v>
      </c>
      <c r="D21" s="1211"/>
      <c r="E21" s="386" t="s">
        <v>363</v>
      </c>
      <c r="F21" s="386" t="s">
        <v>362</v>
      </c>
      <c r="G21" s="386" t="s">
        <v>361</v>
      </c>
      <c r="H21" s="387" t="s">
        <v>360</v>
      </c>
    </row>
    <row r="22" spans="1:9" ht="17.100000000000001" customHeight="1" x14ac:dyDescent="0.5">
      <c r="A22" s="199"/>
      <c r="B22" s="1218" t="s">
        <v>589</v>
      </c>
      <c r="C22" s="1219"/>
      <c r="D22" s="744" t="str">
        <f>Worksheet!$L$63</f>
        <v xml:space="preserve">   Rel to Ldg/MoP   </v>
      </c>
      <c r="E22" s="417">
        <f>IF(B!E11="OPTIM",Worksheet!G87,Worksheet!O63)</f>
        <v>0</v>
      </c>
      <c r="F22" s="418">
        <f>E22*3280.8399/5280</f>
        <v>0</v>
      </c>
      <c r="G22" s="418" t="s">
        <v>300</v>
      </c>
      <c r="H22" s="419" t="s">
        <v>300</v>
      </c>
    </row>
    <row r="23" spans="1:9" ht="17.100000000000001" customHeight="1" x14ac:dyDescent="0.5">
      <c r="A23" s="199"/>
      <c r="B23" s="1218" t="str">
        <f>IF(OR(SUMMARY!$A$14="Free",SUMMARY!$H$30&gt;0,Worksheet!$F$59=0),"Straight Distance to a Goal N/A   ","Straight Distance to a Goal,  Start to Finish   ")</f>
        <v xml:space="preserve">Straight Distance to a Goal N/A   </v>
      </c>
      <c r="C23" s="1220"/>
      <c r="D23" s="1221"/>
      <c r="E23" s="417">
        <f>IF(B!E11="OPTIM",Worksheet!M87,Worksheet!$O$59)</f>
        <v>0</v>
      </c>
      <c r="F23" s="418">
        <f>IF(E23="N/A","N/A",E23*3280.8399/5280)</f>
        <v>0</v>
      </c>
      <c r="G23" s="418" t="s">
        <v>300</v>
      </c>
      <c r="H23" s="419" t="s">
        <v>300</v>
      </c>
    </row>
    <row r="24" spans="1:9" ht="17.100000000000001" customHeight="1" x14ac:dyDescent="0.5">
      <c r="A24" s="199"/>
      <c r="B24" s="1218" t="str">
        <f>IF(SUMMARY!A14="Free"=FALSE,"Distance Via Up to 3 TP,","Free Distance Via Up to 3 TP,")</f>
        <v>Distance Via Up to 3 TP,</v>
      </c>
      <c r="C24" s="1219"/>
      <c r="D24" s="744" t="str">
        <f>IF(AND($E$6&lt;42278,SUMMARY!E14&lt;10),"Invalid   ",IF(B!B14="None","No Turn Pts   ",Worksheet!$L$64))</f>
        <v xml:space="preserve">Start to Ldg/MoP   </v>
      </c>
      <c r="E24" s="417">
        <f>IF(B!E11="OPTIM",Worksheet!G98,Worksheet!$O$64)</f>
        <v>0</v>
      </c>
      <c r="F24" s="418">
        <f>E24*3280.8399/5280</f>
        <v>0</v>
      </c>
      <c r="G24" s="418" t="s">
        <v>300</v>
      </c>
      <c r="H24" s="419" t="s">
        <v>300</v>
      </c>
    </row>
    <row r="25" spans="1:9" ht="17.100000000000001" customHeight="1" x14ac:dyDescent="0.5">
      <c r="A25" s="199"/>
      <c r="B25" s="1218" t="str">
        <f>IF(Worksheet!$C$60="No Closed Course","No Closed Course   ",IF(AND(SUMMARY!$A$14&lt;&gt;"Free",D19&gt;0,F19=""),"Out &amp; Return, Start to Finish   ",IF(AND(SUMMARY!$A$14="Free",D19&gt;0,F19=""),"Free Out &amp;Return, Start to Finish   ",IF(AND(SUMMARY!$A$14="Free",F19&gt;0,H19=""),"Free 2-Turn Point Triangle, Start to Finish   ",IF(AND(SUMMARY!$A$14&lt;&gt;"Free",F19&gt;0,H19=""),"2-Turn Point Triangle, Start to Finish   ",IF(AND(SUMMARY!$A$14&lt;&gt;"Free",H19&gt;0,F19&gt;0,Worksheet!$E$60&gt;0),"3-Turn Point Triangle, Start to Finish   ",IF(AND(Worksheet!$E$60&gt;0,D19&gt;0,F19&gt;0,H19&gt;0),"Free 3-Turn Point Triangle, Start to Finish   ","No Closed Course   ")))))))</f>
        <v xml:space="preserve">No Closed Course   </v>
      </c>
      <c r="C25" s="1219"/>
      <c r="D25" s="1222"/>
      <c r="E25" s="417">
        <f>IF(AND(B!E11="OPTIM",'FREE ME'!G26&lt;&gt;"NONE IDENTIFIED",'FREE ME'!C32="",'FREE ME'!C33=""),Worksheet!M98,IF(AND(B!E11="OPTIM",OR('FREE ME'!G26="NONE IDENTIFIED",'FREE ME'!C32&lt;&gt;"",'FREE ME'!C33&lt;&gt;"")),"N/A",IF(B25="No Closed course   ",0,IF(AND(SUMMARY!$H$31&lt;=3,SUMMARY!$H$31&gt;=1,Worksheet!$G$42="Closed course OK"),Worksheet!$O$66,0))))</f>
        <v>0</v>
      </c>
      <c r="F25" s="418">
        <f>IF(E25="N/A","N/A",E25*3280.8399/5280)</f>
        <v>0</v>
      </c>
      <c r="G25" s="418" t="str">
        <f>IF(OR(SUMMARY!$A$14="Free",E25=0,B!E11="OPTIM"),"N/A",Worksheet!O67)</f>
        <v>N/A</v>
      </c>
      <c r="H25" s="419" t="str">
        <f>IF(G25="N/A","N/A",G25*3280.8399/5280)</f>
        <v>N/A</v>
      </c>
    </row>
    <row r="26" spans="1:9" ht="6" customHeight="1" x14ac:dyDescent="0.5">
      <c r="A26" s="199"/>
      <c r="B26" s="1218"/>
      <c r="C26" s="1219"/>
      <c r="D26" s="1219"/>
      <c r="E26" s="420"/>
      <c r="F26" s="420"/>
      <c r="G26" s="420"/>
      <c r="H26" s="421"/>
    </row>
    <row r="27" spans="1:9" ht="6" customHeight="1" x14ac:dyDescent="0.5">
      <c r="A27" s="199"/>
      <c r="B27" s="346"/>
      <c r="C27" s="347"/>
      <c r="D27" s="347"/>
      <c r="E27" s="348"/>
      <c r="F27" s="349"/>
      <c r="G27" s="349"/>
      <c r="H27" s="350"/>
    </row>
    <row r="28" spans="1:9" ht="17.100000000000001" customHeight="1" x14ac:dyDescent="0.5">
      <c r="A28" s="199"/>
      <c r="B28" s="715" t="str">
        <f>IF(OR(B!A16="Recorder?",B!A16="SeeYou Mobile"),"ERROR: Claim Check does not recognize the data recorder. See SC3 1.1.5 and Chapter 4 Appendix A-1",IF(AND(B!$A$10&lt;&gt;"PR",SUM(YDWK1!F7:G14)=0,B!$D$17&gt;0,MAX(D14,F14)&gt;MAX(B!E16,B!$D$17)),"AIRSPACE ALERT: Please go to Calibration page, enter data and return here",IF(AND(B!$D$17&gt;0,MAX(D14,F14)&gt;=MAX(B!E16,B!$D$17)),CONCATENATE("AIRSPACE ALERT AT ",B!$E$16," ",B!$E$17," : Please see Sporting Code 4.4.2 before submitting this claim"),"")))</f>
        <v/>
      </c>
      <c r="C28" s="422"/>
      <c r="D28" s="422"/>
      <c r="E28" s="422"/>
      <c r="F28" s="422"/>
      <c r="G28" s="422"/>
      <c r="H28" s="423"/>
    </row>
    <row r="29" spans="1:9" ht="17.100000000000001" customHeight="1" x14ac:dyDescent="0.5">
      <c r="A29" s="351"/>
      <c r="B29" s="716" t="str">
        <f>IF(B13="Not Current","ERROR: Claim Check's saved calibration is not current for an FAI claim. ",IF(AND(B!B13="No ENL",OR(SUMMARY!B10=3,SUMMARY!B10=5)),"NOTE: The aircraft is reported as a motorlider, yet the data file includes no ENL data. See SC3 2.5.4 and 3.5.4",""))</f>
        <v/>
      </c>
      <c r="C29" s="352"/>
      <c r="D29" s="352"/>
      <c r="E29" s="352"/>
      <c r="F29" s="352"/>
      <c r="G29" s="352"/>
      <c r="H29" s="353"/>
    </row>
    <row r="30" spans="1:9" ht="17.100000000000001" customHeight="1" x14ac:dyDescent="0.5">
      <c r="A30" s="199"/>
      <c r="B30" s="716" t="str">
        <f>IF(OR(B!$A$10="PR",SUMMARY!B19="NO",SUM(YDWK1!F7:G14)&gt;0),"",IF(Worksheet!$J$71&lt;&gt;"","NOTE: Proper distance credit requires calibration data!",IF(AND(B!$A$10&lt;&gt;"PR",D10&gt;=0.2083,F10&gt;3000,F10&lt;3500),"NOTE: Proper duration credit requires calibration data!",IF(AND(B!$A$10&lt;&gt;"PR",OR(AND(MIN(D13,F13)&gt;900,MIN(D13,F13)&lt;1100,SUMMARY!$B$10&lt;4),AND(MIN(D13,F13)&gt;2900,MIN(D13,F13)&lt;3100,SUMMARY!$B$10&lt;4),AND(MIN(D13,F13)&gt;4900,MIN(D13,F13)&lt;5100,SUMMARY!$B$10&lt;4))),"NOTE: Proper altitude gain credit requires calibration data",""))))</f>
        <v/>
      </c>
      <c r="C30" s="352"/>
      <c r="D30" s="352"/>
      <c r="E30" s="352"/>
      <c r="F30" s="352"/>
      <c r="G30" s="352"/>
      <c r="H30" s="353"/>
    </row>
    <row r="31" spans="1:9" ht="17.100000000000001" customHeight="1" x14ac:dyDescent="0.5">
      <c r="A31" s="199"/>
      <c r="B31" s="717" t="str">
        <f>IF(AND(B30="",D10&gt;=0.2083333333,F10&gt;3280.8399),"ERROR: Loss of Height invalidates the duration claim. See SC3 4.4.3","")</f>
        <v/>
      </c>
      <c r="C31" s="354"/>
      <c r="D31" s="352"/>
      <c r="E31" s="352"/>
      <c r="F31" s="352"/>
      <c r="G31" s="352"/>
      <c r="H31" s="353"/>
    </row>
    <row r="32" spans="1:9" ht="17.100000000000001" customHeight="1" x14ac:dyDescent="0.5">
      <c r="A32" s="1002" t="str">
        <f>SUMMARY!B19</f>
        <v>NO TASK</v>
      </c>
      <c r="B32" s="718" t="str">
        <f>IF(AND(B!$A$14="",B!$A$15&gt;$D$8),CONCATENATE("ERROR: The declaration made ",TEXT(B!A15,"HH:MM:SS")," UTC ",TEXT(B!A15,"DD-Mmm-YYYY")," is invalid for this flight."),IF(AND(SUMMARY!$A$14&lt;&gt;"Free",OR(SUMMARY!$B$19="No",$B$6=0,$F$6=0,$H$6=0)), CONCATENATE("ERROR: The declaration lacks required pilot and/or aircraft data and is valid only for Silver or Gold claims."),IF(AND($B$2&lt;&gt;"FREE RECORD",B!$A$16&lt;&gt;"FLARM-IGC",B!$A$16&lt;&gt;"PowerFLARM-IGC",OR(SUMMARY!$B$10&gt;3,B!$C$11="PAX")),"NOTE: FAI Badge claims must be flown solo",IF(SUMMARY!$A$14="Free","NOTE: The tasks above are valid only for Free Distance record purposes",""))))</f>
        <v>ERROR: The declaration lacks required pilot and/or aircraft data and is valid only for Silver or Gold claims.</v>
      </c>
      <c r="C32" s="355"/>
      <c r="D32" s="352"/>
      <c r="E32" s="352"/>
      <c r="F32" s="352"/>
      <c r="G32" s="352"/>
      <c r="H32" s="353"/>
    </row>
    <row r="33" spans="1:8" ht="17.100000000000001" customHeight="1" x14ac:dyDescent="0.5">
      <c r="A33" s="199"/>
      <c r="B33" s="716" t="str">
        <f>IF(E6&lt;40087,"NOTE: This flight is subject to SC3 rules in effect prior to 1 Oct 2009",IF(E6&lt;42278,"NOTE: This flight is subject to SC3 rules in effect prior to 1 Oct 2015",IF(AND(SUMMARY!$B$20="YES",SUMMARY!$H$31&gt;SUMMARY!$H$32),"NOTE: IGC file data indicates one or more turnpoints were attempted but not achieved","")))</f>
        <v>NOTE: This flight is subject to SC3 rules in effect prior to 1 Oct 2009</v>
      </c>
      <c r="C33" s="356"/>
      <c r="D33" s="356"/>
      <c r="E33" s="357"/>
      <c r="F33" s="358"/>
      <c r="G33" s="358"/>
      <c r="H33" s="359"/>
    </row>
    <row r="34" spans="1:8" ht="17.100000000000001" customHeight="1" x14ac:dyDescent="0.5">
      <c r="A34" s="351"/>
      <c r="B34" s="719" t="str">
        <f>IF(OR(B!A16="FLARM-IGC",B!A16="PowerFLARM-IGC"),"DATA ALERT: This FR is known for 'source code' flaws in the 'CM2' data field",IF(B!$C$3="SC","DATA ALERT: Source Code indicates software amended pilot or aircraft data post-flight",IF(B!$C$3="DF","DATA ALERT: The data file lacks one or more required 'H' Records",IF(SUMMARY!$K$33="USER","ERROR: Turn Point order cannot be confirmed. Please submit this claim for manual review",""))))</f>
        <v/>
      </c>
      <c r="C34" s="360"/>
      <c r="D34" s="356"/>
      <c r="E34" s="357"/>
      <c r="F34" s="358"/>
      <c r="G34" s="358"/>
      <c r="H34" s="359"/>
    </row>
    <row r="35" spans="1:8" ht="17.100000000000001" customHeight="1" x14ac:dyDescent="0.5">
      <c r="A35" s="199"/>
      <c r="B35" s="718" t="str">
        <f>IF(SUMMARY!B19="NO","",IF(AND(Worksheet!J34=0,SUMMARY!A$14&lt;&gt;"Free",Worksheet!B$67="",Worksheet!C60&lt;&gt;"No Closed Course",Worksheet!F42="LoH Not OK"),"NOTE: It appears the Loss of Height invalidates a closed course Speed Record claim. See SC3 3.1.6",""))</f>
        <v/>
      </c>
      <c r="C35" s="356"/>
      <c r="D35" s="356"/>
      <c r="E35" s="357"/>
      <c r="F35" s="358"/>
      <c r="G35" s="358"/>
      <c r="H35" s="359"/>
    </row>
    <row r="36" spans="1:8" ht="17.100000000000001" customHeight="1" x14ac:dyDescent="0.5">
      <c r="A36" s="199"/>
      <c r="B36" s="720"/>
      <c r="C36" s="356" t="str">
        <f>IF(AND(B!$A$10&lt;&gt;"PR",SUM(YDWK1!F7:G14)=0,B35="NOTE: It appears the Loss of Height invalidates a closed course speed record claim. See SC3 3.1.6"),"Complete Calibration page and return here to see if this note has been deleted","")</f>
        <v/>
      </c>
      <c r="D36" s="356"/>
      <c r="E36" s="357"/>
      <c r="F36" s="358"/>
      <c r="G36" s="358"/>
      <c r="H36" s="359"/>
    </row>
    <row r="37" spans="1:8" ht="17.100000000000001" customHeight="1" x14ac:dyDescent="0.5">
      <c r="A37" s="199"/>
      <c r="B37" s="718" t="str">
        <f>IF(OR(SUMMARY!$B$20="NO",SUMMARY!$B$19="NO"),"",Worksheet!B$67)</f>
        <v/>
      </c>
      <c r="C37" s="360"/>
      <c r="D37" s="360"/>
      <c r="E37" s="360"/>
      <c r="F37" s="360"/>
      <c r="G37" s="356"/>
      <c r="H37" s="361"/>
    </row>
    <row r="38" spans="1:8" ht="17.100000000000001" customHeight="1" x14ac:dyDescent="0.5">
      <c r="A38" s="199"/>
      <c r="B38" s="1208" t="str">
        <f>IF(AND(Worksheet!$K$34&gt;0,Worksheet!$G$42="Closed Course OK",Worksheet!$B$64="",Worksheet!$B$65="",Worksheet!$C$64="",Worksheet!$C$65=""),"NOTE: Triangle legs do not meet the record limits of SC3 3.1.9",IF(OR(B37="",SUMMARY!$B$19="NO"),"",IF(Worksheet!$C$39&gt;0,"     Start &amp; Finish point locations do not yield a closed course","")))</f>
        <v/>
      </c>
      <c r="C38" s="1209"/>
      <c r="D38" s="1209"/>
      <c r="E38" s="1209"/>
      <c r="F38" s="356" t="str">
        <f>IF(AND(B37&lt;&gt;"",SUMMARY!$I$12&gt;0,SUMMARY!$H$32=3,$E$6&lt;41913,SUM(Worksheet!$K$34,Worksheet!$L$34,Worksheet!$L$38)&lt;300),"On this flight date, 3-tp Triangles must be &gt;= 300 km","")</f>
        <v/>
      </c>
      <c r="G38" s="356"/>
      <c r="H38" s="361"/>
    </row>
    <row r="39" spans="1:8" ht="17.100000000000001" customHeight="1" x14ac:dyDescent="0.5">
      <c r="A39" s="199"/>
      <c r="B39" s="718" t="str">
        <f>IF(OR(AND(Worksheet!$F$49&gt;0,Worksheet!$B$39&gt;1),AND(Worksheet!$D$39&gt;1,Worksheet!$C$39&gt;50,Worksheet!$E$39&lt;50,Worksheet!$F$39&lt;50,Worksheet!$G$39&lt;50)),"     Goal not achieved. See Sporting Code 1.3.1 &amp; 1.3.2",IF(OR(B37="",B38="     Start &amp; Finish point locations do not yield a closed course",B41&lt;&gt;""),"",IF(AND(Worksheet!$D$42="Goal Not OK",B40="",OR(TPOrder!FX34=0,TPOrder!FX50=0)),"     The Closed Course/Goal was not achieved. See Sporting Code 1.3.1 &amp; 1.3.2","")))</f>
        <v/>
      </c>
      <c r="C39" s="424"/>
      <c r="D39" s="356"/>
      <c r="E39" s="356"/>
      <c r="F39" s="356"/>
      <c r="G39" s="356"/>
      <c r="H39" s="361"/>
    </row>
    <row r="40" spans="1:8" ht="17.100000000000001" customHeight="1" x14ac:dyDescent="0.5">
      <c r="A40" s="393"/>
      <c r="B40" s="718" t="str">
        <f>IF(OR(B37="",B38="     Start &amp; Finish point locations do not yield a closed course"),"",IF(AND(Worksheet!$C$39&gt;1,C38&lt;&gt;""),"",IF(SUMMARY!$H$25="NO","     The declared Start Point was not achieved per SC3 1.3.1a","")))</f>
        <v/>
      </c>
      <c r="C40" s="424"/>
      <c r="D40" s="356"/>
      <c r="E40" s="356"/>
      <c r="F40" s="356"/>
      <c r="G40" s="356"/>
      <c r="H40" s="361"/>
    </row>
    <row r="41" spans="1:8" ht="17.100000000000001" customHeight="1" x14ac:dyDescent="0.5">
      <c r="A41" s="393"/>
      <c r="B41" s="718" t="str">
        <f>IF('CLAIM CHECK'!B37="","",IF(AND(E6&lt;42278,B!E12="ST@TP"),"     The Start/Finish Point was also declared as a Turn Point",IF(OR(B!J24&lt;&gt;"",B!J26&lt;&gt;"",AND(SUMMARY!H30=SUMMARY!H32,Worksheet!$C$42="TPs Not OK")),"     Turnpoints were not used in declared order",IF(SUMMARY!H30&lt;&gt;SUMMARY!H32,"     One or more declared Turn Points were not achieved",""))))</f>
        <v/>
      </c>
      <c r="C41" s="424"/>
      <c r="D41" s="356"/>
      <c r="E41" s="356"/>
      <c r="F41" s="356"/>
      <c r="G41" s="356"/>
      <c r="H41" s="361"/>
    </row>
    <row r="42" spans="1:8" ht="17.100000000000001" customHeight="1" x14ac:dyDescent="0.5">
      <c r="A42" s="199"/>
      <c r="B42" s="721" t="str">
        <f>IF(OR(AND(B!E11="",Worksheet!J71="Need Calibration"),AND(B!E11="OPTIM",OR(E22&lt;'FREE ME'!L11,E23&lt;2*'FREE ME'!L15,E24&lt;SUM('FREE ME'!L21:L24),E25&lt;SUM('FREE ME'!L27:L31)))),"NOTE: A Loss of Height Penalty applies to one or more task variants","")</f>
        <v/>
      </c>
      <c r="C42" s="362"/>
      <c r="D42" s="362"/>
      <c r="E42" s="362"/>
      <c r="F42" s="362"/>
      <c r="G42" s="362"/>
      <c r="H42" s="363"/>
    </row>
    <row r="43" spans="1:8" ht="17.100000000000001" customHeight="1" x14ac:dyDescent="0.5">
      <c r="A43" s="199"/>
      <c r="B43" s="720"/>
      <c r="C43" s="360" t="str">
        <f>IF(AND(B!$A$10&lt;&gt;"PR",B28="",B42=""=FALSE,(SUM(YDWK1!F7:G14)=0)),"Complete Calibration Page &amp; return here to check results","")</f>
        <v/>
      </c>
      <c r="D43" s="356"/>
      <c r="E43" s="356"/>
      <c r="F43" s="356"/>
      <c r="G43" s="356"/>
      <c r="H43" s="361"/>
    </row>
    <row r="44" spans="1:8" ht="17.100000000000001" customHeight="1" x14ac:dyDescent="0.5">
      <c r="A44" s="351"/>
      <c r="B44" s="719" t="str">
        <f>IF(SUMMARY!$L$19="After Sunset",CONCATENATE("TIME ALERT: The landing roll appears to end ",B!I19," ",B!J19," after sunset. See SC3 4.4.2"),IF(SUMMARY!$L$19="Before Sunrise",CONCATENATE("ALERT: The takeoff roll appears to begin ",B!I19," ",B!J19," before sunrise. See SC3 4.4.2"),""))</f>
        <v/>
      </c>
      <c r="C44" s="356"/>
      <c r="D44" s="356"/>
      <c r="E44" s="356"/>
      <c r="F44" s="356"/>
      <c r="G44" s="356"/>
      <c r="H44" s="361"/>
    </row>
    <row r="45" spans="1:8" ht="17.100000000000001" customHeight="1" x14ac:dyDescent="0.5">
      <c r="A45" s="199"/>
      <c r="B45" s="719" t="str">
        <f>IF(SUMMARY!$H$30&gt;3,"ERROR: Task invalid; Too many Turn Points declared. Distance measured straight-line from release",IF(AND(E6&lt;42278,D24="Invalid   "),"ERROR: Task invalid; Turn Points &lt; 10 km apart",IF(AND(E6&gt;=43374,B!D11="Written",OR(D13&gt;5000,E25&gt;300,MAX(E22:E25)&gt;500)),"ERROR: As of 1 October 2018, Diamond and Diplome claims require an FR-recorded declaration","")))</f>
        <v/>
      </c>
      <c r="C45" s="364"/>
      <c r="D45" s="364"/>
      <c r="E45" s="364"/>
      <c r="F45" s="364"/>
      <c r="G45" s="364"/>
      <c r="H45" s="365"/>
    </row>
    <row r="46" spans="1:8" ht="17.100000000000001" customHeight="1" x14ac:dyDescent="0.5">
      <c r="A46" s="199"/>
      <c r="B46" s="718" t="str">
        <f>IF(SUMMARY!$B$19="NO","",IF(SUM(Worksheet!O39:O42)&gt;0,"NOTE:Cylinder corrections have been applied. See SC3 1.3.6",""))</f>
        <v/>
      </c>
      <c r="C46" s="364"/>
      <c r="D46" s="364"/>
      <c r="E46" s="364"/>
      <c r="F46" s="364"/>
      <c r="G46" s="364"/>
      <c r="H46" s="365"/>
    </row>
    <row r="47" spans="1:8" ht="17.100000000000001" customHeight="1" x14ac:dyDescent="0.5">
      <c r="A47" s="199"/>
      <c r="B47" s="720" t="str">
        <f>IF(OR(SUM(E22:E25)=0,SUMMARY!$B$19="NO",E24&lt;&gt;MAX(Worksheet!$O$54,Worksheet!$O$52,Worksheet!$O$61)),"",IF(E18="First Data Pt","NOTE: The 1st data point is the Start",""))</f>
        <v/>
      </c>
      <c r="C47" s="356"/>
      <c r="D47" s="356"/>
      <c r="E47" s="356"/>
      <c r="F47" s="356"/>
      <c r="G47" s="356"/>
      <c r="H47" s="361"/>
    </row>
    <row r="48" spans="1:8" ht="17.100000000000001" customHeight="1" x14ac:dyDescent="0.5">
      <c r="A48" s="199"/>
      <c r="B48" s="722" t="str">
        <f>IF(OR(SUMMARY!B20="NO",SUMMARY!$B$19="NO"),"",IF(SUMMARY!$H$32=1,"NOTE: One turnpoint was achieved",IF(AND(SUMMARY!$H$32=2,Worksheet!$B$64&lt;&gt;""),Worksheet!$B$64,IF(AND(SUMMARY!$H$32=2,Worksheet!$C$64&lt;&gt;""),Worksheet!$C$64,IF(SUMMARY!$H$32=2,"NOTE: Two turnpoints were achieved",IF(AND(SUMMARY!$H$32=3,Worksheet!$B$65&lt;&gt;""),Worksheet!$B$65,IF(AND(SUMMARY!$H$32=3,Worksheet!$C$65&lt;&gt;""),Worksheet!C$65,IF(SUMMARY!$H$32=3,"NOTE: Three turnpoints were achieved",""))))))))</f>
        <v/>
      </c>
      <c r="C48" s="366"/>
      <c r="D48" s="366"/>
      <c r="E48" s="1216" t="str">
        <f>CONCATENATE(B!B10," fixes recorded; avg. interval ",B!D10," second(s)")</f>
        <v xml:space="preserve"> fixes recorded; avg. interval  second(s)</v>
      </c>
      <c r="F48" s="1216"/>
      <c r="G48" s="1216"/>
      <c r="H48" s="1217"/>
    </row>
    <row r="49" spans="1:8" ht="8.1" customHeight="1" x14ac:dyDescent="0.5">
      <c r="A49" s="199"/>
      <c r="B49" s="425"/>
      <c r="C49" s="426"/>
      <c r="D49" s="426"/>
      <c r="E49" s="426"/>
      <c r="F49" s="426"/>
      <c r="G49" s="426"/>
      <c r="H49" s="427"/>
    </row>
    <row r="50" spans="1:8" ht="17.100000000000001" customHeight="1" x14ac:dyDescent="0.5">
      <c r="A50" s="199"/>
      <c r="B50" s="1210" t="str">
        <f>IF('VERIFY TASK'!G2&lt;&gt;3,"Pending NAC review, this claim may qualify for the following award(s):","Pending NAC review, and based on GPS altitudes, this claim may qualify for the following award(s):")</f>
        <v>Pending NAC review, this claim may qualify for the following award(s):</v>
      </c>
      <c r="C50" s="1211"/>
      <c r="D50" s="1211"/>
      <c r="E50" s="1211"/>
      <c r="F50" s="1211"/>
      <c r="G50" s="1211"/>
      <c r="H50" s="1212"/>
    </row>
    <row r="51" spans="1:8" ht="6" customHeight="1" x14ac:dyDescent="0.5">
      <c r="A51" s="199"/>
      <c r="B51" s="345"/>
      <c r="C51" s="332"/>
      <c r="D51" s="332"/>
      <c r="E51" s="332"/>
      <c r="F51" s="332"/>
      <c r="G51" s="332"/>
      <c r="H51" s="367"/>
    </row>
    <row r="52" spans="1:8" ht="17.100000000000001" customHeight="1" x14ac:dyDescent="0.5">
      <c r="A52" s="199"/>
      <c r="B52" s="1213" t="str">
        <f>IF(AND(SUMMARY!$B$10&lt;4,B30&lt;&gt;"NOTE: Proper altitude gain credit requires calibration data",B29="",OR(MIN($D$13,$F$13)&gt;=1100,AND(MIN($D$13,$F$13)&gt;1000,B13="Provided"))),"Silver Altitude","")</f>
        <v/>
      </c>
      <c r="C52" s="1214"/>
      <c r="D52" s="332"/>
      <c r="E52" s="388" t="str">
        <f>IF(AND(SUMMARY!$B$10&lt;4,B30="NOTE: Proper altitude gain credit requires calibration data"=FALSE,B29="",OR(MIN($D$13,$F$13)&gt;=3100,AND(MIN($D$13,$F$13)&gt;3000,B13="Provided"))),"Gold Altitude","")</f>
        <v/>
      </c>
      <c r="F52" s="368"/>
      <c r="G52" s="1214" t="str">
        <f>IF(AND(E6&gt;=43374,B!D11="Written"),"",IF(AND(B!$D$13&lt;&gt;4,B!$A$10&lt;&gt;"PR",B!$A$17&lt;&gt;"PR/PA",'VERIFY TASK'!G2&lt;&gt;3,SUMMARY!$B$10&lt;4,B30="NOTE: Proper altitude gain credit requires calibration data"=FALSE,B29="",OR(MIN($D$13,$F$13)&gt;=5100,AND(MIN($D$13,$F$13)&gt;5000,B13="Provided"))),"Diamond Altitude",""))</f>
        <v/>
      </c>
      <c r="H52" s="1215"/>
    </row>
    <row r="53" spans="1:8" ht="6" customHeight="1" x14ac:dyDescent="0.5">
      <c r="A53" s="199"/>
      <c r="B53" s="345"/>
      <c r="C53" s="332"/>
      <c r="D53" s="332"/>
      <c r="E53" s="332"/>
      <c r="F53" s="332"/>
      <c r="G53" s="332"/>
      <c r="H53" s="367"/>
    </row>
    <row r="54" spans="1:8" ht="17.100000000000001" customHeight="1" x14ac:dyDescent="0.5">
      <c r="A54" s="199"/>
      <c r="B54" s="345"/>
      <c r="C54" s="332"/>
      <c r="D54" s="1214" t="str">
        <f>IF(AND(SUMMARY!$B$10&lt;4,B29="",D10&gt;=0.208333,F10&lt;3280.8399,B30="NOTE: Proper Duration credit requires calibration data!"=FALSE),"Silver/Gold Duration"," ")</f>
        <v xml:space="preserve"> </v>
      </c>
      <c r="E54" s="1214"/>
      <c r="F54" s="1214"/>
      <c r="G54" s="332"/>
      <c r="H54" s="367"/>
    </row>
    <row r="55" spans="1:8" ht="6" customHeight="1" x14ac:dyDescent="0.5">
      <c r="A55" s="199"/>
      <c r="B55" s="345"/>
      <c r="C55" s="332"/>
      <c r="D55" s="332"/>
      <c r="E55" s="332"/>
      <c r="F55" s="332"/>
      <c r="G55" s="332"/>
      <c r="H55" s="367"/>
    </row>
    <row r="56" spans="1:8" ht="17.100000000000001" customHeight="1" x14ac:dyDescent="0.5">
      <c r="A56" s="199"/>
      <c r="B56" s="1201" t="str">
        <f>IF(AND(B!E11="",B29="",E6&gt;=43374,Worksheet!J41="OK"),"Silver Distance",IF(AND(B!E11="",B29="",E6&gt;=42278,E6&lt;43374,Worksheet!F34&gt;50),"Silver Distance",IF(AND(E6&lt;42278,B!E11="",B29="",OR(MAX(Worksheet!$B$34:'Worksheet'!$G$34)&gt;50,OR(AND($D$24&lt;&gt;"Invalid   ",MAX(Worksheet!$I$36:'Worksheet'!$M$36)&gt;50),MAX(Worksheet!$B$36:'Worksheet'!$G$36,Worksheet!$O$59)&gt;50))),"Silver Distance","")))</f>
        <v/>
      </c>
      <c r="C56" s="1202"/>
      <c r="D56" s="384" t="str">
        <f>IF(AND(B!E11="",SUMMARY!B19&lt;&gt;"NO",MAX(E22,E24,E25)&gt;300),"Gold Distance","")</f>
        <v/>
      </c>
      <c r="E56" s="1202" t="str">
        <f>IF(AND(E6&gt;=43374,B!D11="Written"),"",IF(AND(B6&lt;&gt;0,F6&lt;&gt;0,H6&lt;&gt;0,B!E11="",SUMMARY!B19&lt;&gt;"NO",B!$A$10&lt;&gt;"PR",B!$A$17&lt;&gt;"PR/PA",'VERIFY TASK'!G2&lt;&gt;3,SUMMARY!$B$10&lt;4,B29="",Worksheet!$B$67="",Worksheet!$B$69="",Worksheet!G42="Closed Course OK",E25&gt;=300),"Diamond Goal",""))</f>
        <v/>
      </c>
      <c r="F56" s="1202"/>
      <c r="G56" s="1202" t="str">
        <f>IF(AND(E6&gt;=43374,B!D11="Written"),"",IF(AND(B6&lt;&gt;0,F6&lt;&gt;0,H6&lt;&gt;0,B!E11="",SUMMARY!B19&lt;&gt;"NO",B!$A$10&lt;&gt;"PR",B!$A$17&lt;&gt;"PR/PA",'VERIFY TASK'!G2&lt;&gt;3,SUMMARY!$B$10&lt;4,B29="",MAX(E22,E24,E25)&gt;500),"Diamond Distance"," "))</f>
        <v xml:space="preserve"> </v>
      </c>
      <c r="H56" s="1203"/>
    </row>
    <row r="57" spans="1:8" ht="6" customHeight="1" x14ac:dyDescent="0.5">
      <c r="A57" s="199"/>
      <c r="B57" s="369"/>
      <c r="C57" s="332"/>
      <c r="D57" s="332"/>
      <c r="E57" s="332"/>
      <c r="F57" s="332"/>
      <c r="G57" s="332"/>
      <c r="H57" s="367"/>
    </row>
    <row r="58" spans="1:8" ht="17.100000000000001" customHeight="1" x14ac:dyDescent="0.5">
      <c r="A58" s="199"/>
      <c r="B58" s="708" t="str">
        <f>IF(AND(E6&gt;=43374,B!D11="Written"),"",IF(AND(B6&lt;&gt;0,F6&lt;&gt;0,H6&lt;&gt;0,B!E11="",SUMMARY!$B$19&lt;&gt;"NO",B!$A$10&lt;&gt;"PR",B!$A$17&lt;&gt;"PR/PA",'VERIFY TASK'!G2&lt;&gt;3,SUMMARY!$B$10&lt;4,B29="",AND(MAX($E$22:$E$25)&gt;=750,MAX($E$22:$E$25)&lt;1000)),"750 K Diplome"," "))</f>
        <v xml:space="preserve"> </v>
      </c>
      <c r="C58" s="384" t="str">
        <f>IF(AND(E6&gt;=43374,B!D11="Written"),"",IF(AND(B6&lt;&gt;0,F6&lt;&gt;0,H6&lt;&gt;0,B!E11="",SUMMARY!$B$19&lt;&gt;"NO",B!$A$10&lt;&gt;"PR",B!$A$17&lt;&gt;"PR/PA",'VERIFY TASK'!G2&lt;&gt;3,SUMMARY!$B$10&lt;4,B29="",AND(MAX($E$22:$E$26)&gt;=1000,MAX($E$22:$E$26)&lt;1250)),"1 K Diplome"," "))</f>
        <v xml:space="preserve"> </v>
      </c>
      <c r="D58" s="384" t="str">
        <f>IF(AND(E6&gt;=43374,B!D11="Written"),"",IF(AND(B6&lt;&gt;0,F6&lt;&gt;0,H6&lt;&gt;0,B!E11="",SUMMARY!$B$19&lt;&gt;"NO",B!$A$10&lt;&gt;"PR",B!$A$17&lt;&gt;"PR/PA",'VERIFY TASK'!G2&lt;&gt;3,SUMMARY!$B$10&lt;4,B29="",AND(MAX($E$22:$E$25)&gt;=1250,MAX($E$22:$E$25)&lt;1500)),"1K25 Diplome"," "))</f>
        <v xml:space="preserve"> </v>
      </c>
      <c r="E58" s="384" t="str">
        <f>IF(AND(E6&gt;=43374,B!D11="Written"),"",IF(AND(B6&lt;&gt;0,F6&lt;&gt;0,H6&lt;&gt;0,B!E11="",SUMMARY!$B$19&lt;&gt;"NO",B!$A$10&lt;&gt;"PR",B!$A$17&lt;&gt;"PR/PA",'VERIFY TASK'!G2&lt;&gt;3,SUMMARY!$B$10&lt;4,B29="",AND(MAX($E$22:$E$25)&gt;=1500,MAX($E$22:$E$25)&lt;1750)),"1K5 Diplome"," "))</f>
        <v xml:space="preserve"> </v>
      </c>
      <c r="F58" s="384" t="str">
        <f>IF(AND(E6&gt;=43374,B!D11="Written"),"",IF(AND(B6&lt;&gt;0,F6&lt;&gt;0,H6&lt;&gt;0,B!E11="",SUMMARY!$B$19&lt;&gt;"NO",B!$A$10&lt;&gt;"PR",B!$A$17&lt;&gt;"PR/PA",'VERIFY TASK'!G2&lt;&gt;3,SUMMARY!$B$10&lt;4,B29="",AND(MAX($E$22:$E$25)&gt;=1750,MAX($E$22:$E$25)&lt;2000)),"1K75 Diplome",IF(AND(B!$A$10&lt;&gt;"PR",B!$A$17&lt;&gt;"PR/PA",SUMMARY!$B$10&lt;4,B29="",B44="",AND(MAX($E$22:$E$25)&gt;=2000)),"2K0 Diplome"," ")))</f>
        <v xml:space="preserve"> </v>
      </c>
      <c r="G58" s="1202" t="str">
        <f>IF(AND(B!$D$13&lt;&gt;4,SUMMARY!$B$19&lt;&gt;"NO",B29="",SUM(E22:E25)&gt;0),"Check Current Record Listings","")</f>
        <v/>
      </c>
      <c r="H58" s="1203"/>
    </row>
    <row r="59" spans="1:8" ht="6" customHeight="1" x14ac:dyDescent="0.5">
      <c r="A59" s="199"/>
      <c r="B59" s="370"/>
      <c r="C59" s="371"/>
      <c r="D59" s="332"/>
      <c r="E59" s="371"/>
      <c r="F59" s="371"/>
      <c r="G59" s="332"/>
      <c r="H59" s="372"/>
    </row>
    <row r="60" spans="1:8" ht="17.100000000000001" customHeight="1" x14ac:dyDescent="0.5">
      <c r="A60" s="199"/>
      <c r="B60" s="1205" t="str">
        <f>IF(B!$A$16="Recorder?","Unknown Recorder", IF(OR(B!$A$10="PR",B!$A$17="PR/PA"),CONCATENATE(B!$A$16," Position Recorder,  Hardware ",B!$B$16,", Firmware ",B!$B$17),CONCATENATE(B!$A$16," Flight Recorder, Hardware ",B!$B$16,", Firmware ",B!$B$17)))</f>
        <v xml:space="preserve"> Flight Recorder, Hardware , Firmware </v>
      </c>
      <c r="C60" s="1206"/>
      <c r="D60" s="1206"/>
      <c r="E60" s="1206"/>
      <c r="F60" s="1206"/>
      <c r="G60" s="1206"/>
      <c r="H60" s="1207"/>
    </row>
    <row r="61" spans="1:8" ht="8.1" customHeight="1" thickBot="1" x14ac:dyDescent="0.55000000000000004">
      <c r="A61" s="199"/>
      <c r="B61" s="373"/>
      <c r="C61" s="374"/>
      <c r="D61" s="375"/>
      <c r="E61" s="374"/>
      <c r="F61" s="374"/>
      <c r="G61" s="375"/>
      <c r="H61" s="376"/>
    </row>
    <row r="62" spans="1:8" ht="6" customHeight="1" x14ac:dyDescent="0.4">
      <c r="B62" s="235"/>
      <c r="C62" s="235"/>
      <c r="D62" s="235"/>
      <c r="E62" s="235"/>
      <c r="F62" s="235"/>
      <c r="G62" s="235"/>
      <c r="H62" s="235"/>
    </row>
    <row r="63" spans="1:8" ht="20.100000000000001" customHeight="1" x14ac:dyDescent="0.4">
      <c r="B63" s="1204" t="s">
        <v>385</v>
      </c>
      <c r="C63" s="1204"/>
      <c r="D63" s="1204"/>
      <c r="E63" s="1204"/>
      <c r="F63" s="236"/>
      <c r="G63" s="236"/>
      <c r="H63" s="236"/>
    </row>
    <row r="64" spans="1:8" ht="4" customHeight="1" x14ac:dyDescent="0.4">
      <c r="B64" s="235"/>
      <c r="C64" s="235"/>
      <c r="D64" s="235"/>
      <c r="E64" s="235"/>
      <c r="F64" s="235"/>
      <c r="G64" s="235"/>
      <c r="H64" s="235"/>
    </row>
    <row r="65" spans="2:8" ht="20.100000000000001" customHeight="1" x14ac:dyDescent="0.4">
      <c r="B65" s="237"/>
      <c r="C65" s="237"/>
      <c r="D65" s="237"/>
      <c r="E65" s="237"/>
      <c r="F65" s="1200"/>
      <c r="G65" s="1200"/>
      <c r="H65" s="1200"/>
    </row>
    <row r="66" spans="2:8" ht="4" customHeight="1" x14ac:dyDescent="0.4">
      <c r="B66" s="235"/>
      <c r="C66" s="235"/>
      <c r="D66" s="235"/>
      <c r="E66" s="235"/>
      <c r="F66" s="235"/>
      <c r="G66" s="235"/>
      <c r="H66" s="235"/>
    </row>
    <row r="67" spans="2:8" ht="20.100000000000001" customHeight="1" x14ac:dyDescent="0.4">
      <c r="B67" s="724"/>
      <c r="C67" s="724"/>
      <c r="D67" s="382"/>
      <c r="E67" s="238"/>
      <c r="F67" s="238"/>
      <c r="G67" s="238"/>
      <c r="H67" s="383" t="s">
        <v>388</v>
      </c>
    </row>
    <row r="68" spans="2:8" ht="17.399999999999999" x14ac:dyDescent="0.4">
      <c r="B68" s="235"/>
      <c r="C68" s="235"/>
      <c r="D68" s="235"/>
      <c r="E68" s="235"/>
      <c r="F68" s="235"/>
      <c r="G68" s="235"/>
      <c r="H68" s="235"/>
    </row>
  </sheetData>
  <sheetProtection password="C630" sheet="1" objects="1" scenarios="1" selectLockedCells="1" selectUnlockedCells="1"/>
  <protectedRanges>
    <protectedRange sqref="F17:G17 D17 B12 B11:C11 H10:H11 E4:G4 H2 F14:G15 E13:G13 F12:G12 D10:D15" name="Range1_1" securityDescriptor="O:WDG:WDD:(A;;CC;;;S-1-5-21-1467035181-4279586865-2809505834-1006)"/>
    <protectedRange sqref="H12 B17 B13 B15" name="Range1_1_1" securityDescriptor="O:WDG:WDD:(A;;CC;;;S-1-5-21-1467035181-4279586865-2809505834-1006)"/>
    <protectedRange sqref="F10:F11" name="Range1_2" securityDescriptor="O:WDG:WDD:(A;;CC;;;S-1-5-21-1467035181-4279586865-2809505834-1006)"/>
    <protectedRange sqref="C31:C32 B30" name="Range1_3" securityDescriptor="O:WDG:WDD:(A;;CC;;;S-1-5-21-1467035181-4279586865-2809505834-1006)"/>
    <protectedRange password="C630" sqref="B2:C2" name="Range2" securityDescriptor="O:WDG:WDD:(A;;CC;;;S-1-5-21-1467035181-4279586865-2809505834-1006)"/>
  </protectedRanges>
  <mergeCells count="29">
    <mergeCell ref="B2:C2"/>
    <mergeCell ref="E2:H3"/>
    <mergeCell ref="B4:D4"/>
    <mergeCell ref="E4:H4"/>
    <mergeCell ref="B6:D6"/>
    <mergeCell ref="F6:G6"/>
    <mergeCell ref="B26:D26"/>
    <mergeCell ref="B23:D23"/>
    <mergeCell ref="B25:D25"/>
    <mergeCell ref="B10:C10"/>
    <mergeCell ref="B14:C14"/>
    <mergeCell ref="B16:H16"/>
    <mergeCell ref="C18:D18"/>
    <mergeCell ref="C21:D21"/>
    <mergeCell ref="B22:C22"/>
    <mergeCell ref="B24:C24"/>
    <mergeCell ref="B38:E38"/>
    <mergeCell ref="B50:H50"/>
    <mergeCell ref="B52:C52"/>
    <mergeCell ref="G52:H52"/>
    <mergeCell ref="D54:F54"/>
    <mergeCell ref="E48:H48"/>
    <mergeCell ref="F65:H65"/>
    <mergeCell ref="B56:C56"/>
    <mergeCell ref="E56:F56"/>
    <mergeCell ref="G56:H56"/>
    <mergeCell ref="G58:H58"/>
    <mergeCell ref="B63:E63"/>
    <mergeCell ref="B60:H60"/>
  </mergeCells>
  <conditionalFormatting sqref="B42">
    <cfRule type="expression" dxfId="26" priority="24" stopIfTrue="1">
      <formula>#REF!="NOTE: Calibration data is required to determine whether a disqualifying Loss of Height penalty applies"</formula>
    </cfRule>
  </conditionalFormatting>
  <conditionalFormatting sqref="H19">
    <cfRule type="expression" dxfId="25" priority="10" stopIfTrue="1">
      <formula>$G$19=""</formula>
    </cfRule>
    <cfRule type="expression" dxfId="24" priority="13" stopIfTrue="1">
      <formula>$G$19=""=FALSE</formula>
    </cfRule>
  </conditionalFormatting>
  <conditionalFormatting sqref="G19">
    <cfRule type="expression" dxfId="23" priority="22" stopIfTrue="1">
      <formula>$G$19=""</formula>
    </cfRule>
  </conditionalFormatting>
  <conditionalFormatting sqref="C19">
    <cfRule type="expression" dxfId="22" priority="17" stopIfTrue="1">
      <formula>$D$19=""</formula>
    </cfRule>
  </conditionalFormatting>
  <conditionalFormatting sqref="E19">
    <cfRule type="expression" dxfId="21" priority="20" stopIfTrue="1">
      <formula>$E$19=""</formula>
    </cfRule>
  </conditionalFormatting>
  <conditionalFormatting sqref="F19">
    <cfRule type="expression" dxfId="20" priority="14" stopIfTrue="1">
      <formula>$E$19=""=FALSE</formula>
    </cfRule>
    <cfRule type="expression" dxfId="19" priority="19" stopIfTrue="1">
      <formula>$E$19=""</formula>
    </cfRule>
  </conditionalFormatting>
  <conditionalFormatting sqref="D19">
    <cfRule type="expression" dxfId="18" priority="11" stopIfTrue="1">
      <formula>$D$19=""=FALSE</formula>
    </cfRule>
    <cfRule type="expression" dxfId="17" priority="12" stopIfTrue="1">
      <formula>$D$19=""</formula>
    </cfRule>
  </conditionalFormatting>
  <conditionalFormatting sqref="B2:C2">
    <cfRule type="expression" dxfId="16" priority="9" stopIfTrue="1">
      <formula>OR($B$2="PR / Written Declaration",$B$2="OO Certification Required")</formula>
    </cfRule>
  </conditionalFormatting>
  <conditionalFormatting sqref="B6:D6">
    <cfRule type="expression" dxfId="15" priority="8" stopIfTrue="1">
      <formula>$B$2="OO Certification Required"</formula>
    </cfRule>
  </conditionalFormatting>
  <conditionalFormatting sqref="F6:G6">
    <cfRule type="expression" dxfId="14" priority="7" stopIfTrue="1">
      <formula>$B$2="OO Certification Required"</formula>
    </cfRule>
  </conditionalFormatting>
  <conditionalFormatting sqref="H6">
    <cfRule type="expression" dxfId="13" priority="6" stopIfTrue="1">
      <formula>$B$2="OO Certification Required"</formula>
    </cfRule>
  </conditionalFormatting>
  <conditionalFormatting sqref="B30">
    <cfRule type="expression" dxfId="12" priority="5" stopIfTrue="1">
      <formula>$B$30="ERROR: Claim Check does not recognize the data recorder. See SC3 1.1.5 and Chapter 4 Appendix A-1"</formula>
    </cfRule>
  </conditionalFormatting>
  <conditionalFormatting sqref="G58:H58">
    <cfRule type="expression" dxfId="11" priority="4" stopIfTrue="1">
      <formula>$G$58&lt;&gt;""</formula>
    </cfRule>
  </conditionalFormatting>
  <conditionalFormatting sqref="B28">
    <cfRule type="expression" dxfId="10" priority="3" stopIfTrue="1">
      <formula>$B$28="NOTE: User Defaults include no en route airspace check"</formula>
    </cfRule>
  </conditionalFormatting>
  <conditionalFormatting sqref="B29">
    <cfRule type="expression" dxfId="9" priority="2" stopIfTrue="1">
      <formula>$B$13="Not Current"</formula>
    </cfRule>
  </conditionalFormatting>
  <conditionalFormatting sqref="B32">
    <cfRule type="expression" dxfId="8" priority="18" stopIfTrue="1">
      <formula>OR($A$32="NO",B6=0,F6=0,H6=0)</formula>
    </cfRule>
  </conditionalFormatting>
  <pageMargins left="0.7" right="0.7" top="1.75" bottom="0.75" header="0.25" footer="0.3"/>
  <pageSetup scale="69" orientation="portrait" r:id="rId1"/>
  <headerFooter>
    <oddHeader>&amp;L&amp;G</oddHeader>
    <oddFooter>&amp;CPage &amp;P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7"/>
    <pageSetUpPr autoPageBreaks="0" fitToPage="1"/>
  </sheetPr>
  <dimension ref="B1:I23"/>
  <sheetViews>
    <sheetView showGridLines="0" showRowColHeaders="0" showOutlineSymbols="0" zoomScale="152" zoomScaleNormal="152" workbookViewId="0">
      <selection activeCell="E5" sqref="E5"/>
    </sheetView>
  </sheetViews>
  <sheetFormatPr defaultColWidth="18.71875" defaultRowHeight="12.75" customHeight="1" x14ac:dyDescent="0.4"/>
  <cols>
    <col min="1" max="1" width="18.71875" customWidth="1"/>
    <col min="2" max="4" width="12.71875" customWidth="1"/>
    <col min="5" max="5" width="15.71875" customWidth="1"/>
    <col min="6" max="6" width="12.71875" customWidth="1"/>
    <col min="7" max="8" width="15.71875" customWidth="1"/>
    <col min="9" max="9" width="18.71875" customWidth="1"/>
  </cols>
  <sheetData>
    <row r="1" spans="2:9" ht="18" customHeight="1" thickBot="1" x14ac:dyDescent="0.45"/>
    <row r="2" spans="2:9" ht="18" customHeight="1" thickBot="1" x14ac:dyDescent="0.55000000000000004">
      <c r="B2" s="1249" t="s">
        <v>359</v>
      </c>
      <c r="C2" s="1250"/>
      <c r="D2" s="1250"/>
      <c r="E2" s="1250"/>
      <c r="F2" s="1250"/>
      <c r="G2" s="1250"/>
      <c r="H2" s="1251"/>
      <c r="I2" s="313" t="s">
        <v>394</v>
      </c>
    </row>
    <row r="3" spans="2:9" ht="4" customHeight="1" x14ac:dyDescent="0.6">
      <c r="B3" s="227"/>
      <c r="C3" s="226"/>
      <c r="D3" s="226"/>
      <c r="E3" s="226"/>
      <c r="F3" s="226"/>
      <c r="G3" s="226"/>
      <c r="H3" s="225"/>
      <c r="I3" s="313" t="s">
        <v>395</v>
      </c>
    </row>
    <row r="4" spans="2:9" ht="4" customHeight="1" thickBot="1" x14ac:dyDescent="0.45">
      <c r="B4" s="47"/>
      <c r="C4" s="48"/>
      <c r="D4" s="48"/>
      <c r="E4" s="48"/>
      <c r="F4" s="48"/>
      <c r="G4" s="48"/>
      <c r="H4" s="166"/>
      <c r="I4" s="313" t="s">
        <v>396</v>
      </c>
    </row>
    <row r="5" spans="2:9" s="199" customFormat="1" ht="20.100000000000001" customHeight="1" thickBot="1" x14ac:dyDescent="0.55000000000000004">
      <c r="B5" s="430"/>
      <c r="C5" s="1256" t="s">
        <v>397</v>
      </c>
      <c r="D5" s="1256"/>
      <c r="E5" s="434">
        <v>1</v>
      </c>
      <c r="F5" s="200"/>
      <c r="G5" s="435" t="b">
        <v>1</v>
      </c>
      <c r="H5" s="435" t="s">
        <v>353</v>
      </c>
      <c r="I5"/>
    </row>
    <row r="6" spans="2:9" s="199" customFormat="1" ht="15" customHeight="1" x14ac:dyDescent="0.5">
      <c r="B6" s="222"/>
      <c r="C6" s="224"/>
      <c r="D6" s="200"/>
      <c r="E6" s="200"/>
      <c r="F6" s="431"/>
      <c r="G6" s="436"/>
      <c r="H6" s="223"/>
      <c r="I6"/>
    </row>
    <row r="7" spans="2:9" s="199" customFormat="1" ht="15" customHeight="1" x14ac:dyDescent="0.5">
      <c r="B7" s="1252" t="s">
        <v>398</v>
      </c>
      <c r="C7" s="1253"/>
      <c r="D7" s="1253"/>
      <c r="E7" s="1253"/>
      <c r="F7" s="1253"/>
      <c r="G7" s="432"/>
      <c r="H7" s="433"/>
      <c r="I7"/>
    </row>
    <row r="8" spans="2:9" s="199" customFormat="1" ht="15" customHeight="1" x14ac:dyDescent="0.5">
      <c r="B8" s="1254" t="s">
        <v>399</v>
      </c>
      <c r="C8" s="1255"/>
      <c r="D8" s="1255"/>
      <c r="E8" s="1255"/>
      <c r="F8" s="1255"/>
      <c r="G8" s="432"/>
      <c r="H8" s="433"/>
      <c r="I8"/>
    </row>
    <row r="9" spans="2:9" s="199" customFormat="1" ht="15" customHeight="1" x14ac:dyDescent="0.5">
      <c r="B9" s="1254" t="s">
        <v>358</v>
      </c>
      <c r="C9" s="1255"/>
      <c r="D9" s="1255"/>
      <c r="E9" s="1255"/>
      <c r="F9" s="1255"/>
      <c r="G9" s="432"/>
      <c r="H9" s="433"/>
      <c r="I9"/>
    </row>
    <row r="10" spans="2:9" s="199" customFormat="1" ht="15" customHeight="1" x14ac:dyDescent="0.5">
      <c r="B10" s="222"/>
      <c r="C10" s="200"/>
      <c r="D10" s="200"/>
      <c r="E10" s="200"/>
      <c r="F10" s="200"/>
      <c r="G10" s="432"/>
      <c r="H10" s="433"/>
      <c r="I10"/>
    </row>
    <row r="11" spans="2:9" s="199" customFormat="1" ht="15" customHeight="1" x14ac:dyDescent="0.5">
      <c r="B11" s="1246" t="s">
        <v>400</v>
      </c>
      <c r="C11" s="1247"/>
      <c r="D11" s="1247"/>
      <c r="E11" s="1247"/>
      <c r="F11" s="1248"/>
      <c r="G11" s="432"/>
      <c r="H11" s="433"/>
      <c r="I11"/>
    </row>
    <row r="12" spans="2:9" s="199" customFormat="1" ht="15" customHeight="1" x14ac:dyDescent="0.5">
      <c r="B12" s="1246"/>
      <c r="C12" s="1247"/>
      <c r="D12" s="1247"/>
      <c r="E12" s="1247"/>
      <c r="F12" s="1248"/>
      <c r="G12" s="432"/>
      <c r="H12" s="433"/>
      <c r="I12"/>
    </row>
    <row r="13" spans="2:9" s="199" customFormat="1" ht="15" customHeight="1" x14ac:dyDescent="0.5">
      <c r="B13" s="1246"/>
      <c r="C13" s="1247"/>
      <c r="D13" s="1247"/>
      <c r="E13" s="1247"/>
      <c r="F13" s="1248"/>
      <c r="G13" s="432"/>
      <c r="H13" s="433"/>
      <c r="I13"/>
    </row>
    <row r="14" spans="2:9" s="199" customFormat="1" ht="15" customHeight="1" x14ac:dyDescent="0.5">
      <c r="B14" s="1246" t="s">
        <v>401</v>
      </c>
      <c r="C14" s="1247"/>
      <c r="D14" s="1247"/>
      <c r="E14" s="1247"/>
      <c r="F14" s="1248"/>
      <c r="G14" s="432"/>
      <c r="H14" s="433"/>
      <c r="I14"/>
    </row>
    <row r="15" spans="2:9" s="199" customFormat="1" ht="15" customHeight="1" x14ac:dyDescent="0.5">
      <c r="B15" s="1246"/>
      <c r="C15" s="1247"/>
      <c r="D15" s="1247"/>
      <c r="E15" s="1247"/>
      <c r="F15" s="1248"/>
      <c r="G15" s="432"/>
      <c r="H15" s="433"/>
      <c r="I15"/>
    </row>
    <row r="16" spans="2:9" s="199" customFormat="1" ht="15" customHeight="1" x14ac:dyDescent="0.5">
      <c r="B16" s="1246"/>
      <c r="C16" s="1247"/>
      <c r="D16" s="1247"/>
      <c r="E16" s="1247"/>
      <c r="F16" s="1248"/>
      <c r="G16" s="432"/>
      <c r="H16" s="433"/>
      <c r="I16"/>
    </row>
    <row r="17" spans="2:9" s="199" customFormat="1" ht="15" customHeight="1" x14ac:dyDescent="0.5">
      <c r="B17" s="1246"/>
      <c r="C17" s="1247"/>
      <c r="D17" s="1247"/>
      <c r="E17" s="1247"/>
      <c r="F17" s="1248"/>
      <c r="G17" s="432"/>
      <c r="H17" s="433"/>
      <c r="I17"/>
    </row>
    <row r="18" spans="2:9" s="199" customFormat="1" ht="15" customHeight="1" x14ac:dyDescent="0.5">
      <c r="B18" s="1246" t="s">
        <v>403</v>
      </c>
      <c r="C18" s="1247"/>
      <c r="D18" s="1247"/>
      <c r="E18" s="1247"/>
      <c r="F18" s="1248"/>
      <c r="G18" s="432"/>
      <c r="H18" s="433"/>
      <c r="I18"/>
    </row>
    <row r="19" spans="2:9" s="199" customFormat="1" ht="15" customHeight="1" x14ac:dyDescent="0.5">
      <c r="B19" s="1246"/>
      <c r="C19" s="1247"/>
      <c r="D19" s="1247"/>
      <c r="E19" s="1247"/>
      <c r="F19" s="1248"/>
      <c r="G19" s="432"/>
      <c r="H19" s="433"/>
      <c r="I19"/>
    </row>
    <row r="20" spans="2:9" s="199" customFormat="1" ht="15" customHeight="1" x14ac:dyDescent="0.5">
      <c r="B20" s="1246"/>
      <c r="C20" s="1247"/>
      <c r="D20" s="1247"/>
      <c r="E20" s="1247"/>
      <c r="F20" s="1248"/>
      <c r="G20" s="432"/>
      <c r="H20" s="433"/>
      <c r="I20"/>
    </row>
    <row r="21" spans="2:9" s="199" customFormat="1" ht="15" customHeight="1" thickBot="1" x14ac:dyDescent="0.55000000000000004">
      <c r="B21" s="221"/>
      <c r="C21" s="220"/>
      <c r="D21" s="220"/>
      <c r="E21" s="220"/>
      <c r="F21" s="220"/>
      <c r="G21" s="219"/>
      <c r="H21" s="218"/>
      <c r="I21"/>
    </row>
    <row r="22" spans="2:9" ht="6" customHeight="1" x14ac:dyDescent="0.4"/>
    <row r="23" spans="2:9" ht="18" customHeight="1" x14ac:dyDescent="0.6">
      <c r="B23" s="1245" t="s">
        <v>402</v>
      </c>
      <c r="C23" s="1245"/>
      <c r="D23" s="1245"/>
      <c r="E23" s="1245"/>
      <c r="F23" s="1245"/>
      <c r="G23" s="1245"/>
      <c r="H23" s="1245"/>
    </row>
  </sheetData>
  <sheetProtection password="C630" sheet="1" objects="1" scenarios="1" selectLockedCells="1"/>
  <protectedRanges>
    <protectedRange password="C630" sqref="B13:B14 B5 C6:F6 B11 D5 G5:H5 B8:F9 C11:F14 B2:I3 C17:F20 B19:B20" name="Range1" securityDescriptor="O:WDG:WDD:(A;;CC;;;S-1-5-21-1467035181-4279586865-2809505834-1006)"/>
  </protectedRanges>
  <mergeCells count="9">
    <mergeCell ref="B23:H23"/>
    <mergeCell ref="B11:F13"/>
    <mergeCell ref="B18:F20"/>
    <mergeCell ref="B14:F17"/>
    <mergeCell ref="B2:H2"/>
    <mergeCell ref="B7:F7"/>
    <mergeCell ref="B8:F8"/>
    <mergeCell ref="B9:F9"/>
    <mergeCell ref="C5:D5"/>
  </mergeCells>
  <conditionalFormatting sqref="C5:D5">
    <cfRule type="expression" dxfId="7" priority="1" stopIfTrue="1">
      <formula>$E$5=1</formula>
    </cfRule>
  </conditionalFormatting>
  <printOptions horizontalCentered="1"/>
  <pageMargins left="0.75" right="0.75" top="1" bottom="1" header="0.5" footer="0.5"/>
  <pageSetup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 macro="[0]!CalData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1047750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499984740745262"/>
  </sheetPr>
  <dimension ref="A1:M39"/>
  <sheetViews>
    <sheetView showGridLines="0" showRowColHeaders="0" zoomScale="118" zoomScaleNormal="118" workbookViewId="0"/>
  </sheetViews>
  <sheetFormatPr defaultRowHeight="12.3" x14ac:dyDescent="0.4"/>
  <cols>
    <col min="1" max="1" width="36.71875" customWidth="1"/>
    <col min="2" max="2" width="9.71875" customWidth="1"/>
    <col min="3" max="3" width="33.71875" customWidth="1"/>
    <col min="4" max="5" width="0" hidden="1" customWidth="1"/>
    <col min="6" max="7" width="10.71875" customWidth="1"/>
    <col min="8" max="9" width="9.71875" customWidth="1"/>
    <col min="10" max="11" width="0" hidden="1" customWidth="1"/>
    <col min="12" max="12" width="10.71875" customWidth="1"/>
    <col min="13" max="13" width="12.71875" customWidth="1"/>
    <col min="14" max="14" width="9.71875" customWidth="1"/>
    <col min="15" max="15" width="36.71875" customWidth="1"/>
  </cols>
  <sheetData>
    <row r="1" spans="1:13" ht="9" customHeight="1" x14ac:dyDescent="0.4">
      <c r="A1" s="746"/>
      <c r="B1" s="746"/>
      <c r="C1" s="747"/>
      <c r="D1" s="747"/>
      <c r="E1" s="747"/>
      <c r="F1" s="747"/>
      <c r="G1" s="747"/>
      <c r="H1" s="747"/>
      <c r="I1" s="747"/>
      <c r="J1" s="747"/>
      <c r="K1" s="747"/>
      <c r="L1" s="747"/>
      <c r="M1" s="747"/>
    </row>
    <row r="2" spans="1:13" ht="9" customHeight="1" x14ac:dyDescent="0.4">
      <c r="A2" s="746"/>
      <c r="B2" s="746"/>
      <c r="C2" s="747"/>
      <c r="D2" s="747"/>
      <c r="E2" s="747"/>
      <c r="F2" s="747"/>
      <c r="G2" s="747"/>
      <c r="H2" s="747"/>
      <c r="I2" s="747"/>
      <c r="J2" s="747"/>
      <c r="K2" s="747"/>
      <c r="L2" s="747"/>
      <c r="M2" s="747"/>
    </row>
    <row r="3" spans="1:13" ht="12.75" customHeight="1" x14ac:dyDescent="0.4">
      <c r="A3" s="746"/>
      <c r="B3" s="746"/>
      <c r="C3" s="1259" t="s">
        <v>457</v>
      </c>
      <c r="D3" s="745"/>
      <c r="E3" s="745"/>
      <c r="F3" s="1260" t="s">
        <v>590</v>
      </c>
      <c r="G3" s="1260"/>
      <c r="H3" s="1260"/>
      <c r="I3" s="1260"/>
      <c r="J3" s="1260"/>
      <c r="K3" s="1260"/>
      <c r="L3" s="1260"/>
      <c r="M3" s="1260"/>
    </row>
    <row r="4" spans="1:13" ht="12.75" customHeight="1" x14ac:dyDescent="0.4">
      <c r="A4" s="746"/>
      <c r="B4" s="746"/>
      <c r="C4" s="1259"/>
      <c r="D4" s="745"/>
      <c r="E4" s="745"/>
      <c r="F4" s="1260"/>
      <c r="G4" s="1260"/>
      <c r="H4" s="1260"/>
      <c r="I4" s="1260"/>
      <c r="J4" s="1260"/>
      <c r="K4" s="1260"/>
      <c r="L4" s="1260"/>
      <c r="M4" s="1260"/>
    </row>
    <row r="5" spans="1:13" ht="16" customHeight="1" x14ac:dyDescent="0.4">
      <c r="A5" s="746"/>
      <c r="B5" s="746"/>
      <c r="C5" s="747"/>
      <c r="D5" s="747"/>
      <c r="E5" s="747"/>
      <c r="F5" s="1258"/>
      <c r="G5" s="1258"/>
      <c r="H5" s="1258"/>
      <c r="I5" s="1258"/>
      <c r="J5" s="1258"/>
      <c r="K5" s="1258"/>
      <c r="L5" s="1258"/>
      <c r="M5" s="1258"/>
    </row>
    <row r="6" spans="1:13" x14ac:dyDescent="0.4">
      <c r="A6" s="746"/>
      <c r="B6" s="746"/>
      <c r="C6" s="760" t="s">
        <v>449</v>
      </c>
      <c r="D6" s="758"/>
      <c r="E6" s="758"/>
      <c r="F6" s="1263" t="s">
        <v>450</v>
      </c>
      <c r="G6" s="1264"/>
      <c r="H6" s="1263" t="s">
        <v>593</v>
      </c>
      <c r="I6" s="1264"/>
      <c r="J6" s="758"/>
      <c r="K6" s="758"/>
      <c r="L6" s="1263" t="s">
        <v>451</v>
      </c>
      <c r="M6" s="1264"/>
    </row>
    <row r="7" spans="1:13" x14ac:dyDescent="0.4">
      <c r="A7" s="746"/>
      <c r="B7" s="746"/>
      <c r="C7" s="761" t="s">
        <v>452</v>
      </c>
      <c r="D7" s="759"/>
      <c r="E7" s="759"/>
      <c r="F7" s="762" t="s">
        <v>432</v>
      </c>
      <c r="G7" s="762" t="s">
        <v>433</v>
      </c>
      <c r="H7" s="762" t="s">
        <v>453</v>
      </c>
      <c r="I7" s="762" t="s">
        <v>454</v>
      </c>
      <c r="J7" s="757"/>
      <c r="K7" s="757"/>
      <c r="L7" s="762" t="s">
        <v>455</v>
      </c>
      <c r="M7" s="762" t="s">
        <v>456</v>
      </c>
    </row>
    <row r="8" spans="1:13" x14ac:dyDescent="0.4">
      <c r="A8" s="746"/>
      <c r="C8" s="749"/>
      <c r="D8" s="747"/>
      <c r="E8" s="747"/>
      <c r="F8" s="747"/>
      <c r="G8" s="747"/>
      <c r="H8" s="747"/>
      <c r="I8" s="747"/>
      <c r="J8" s="747"/>
      <c r="K8" s="747"/>
      <c r="L8" s="747"/>
      <c r="M8" s="747"/>
    </row>
    <row r="9" spans="1:13" x14ac:dyDescent="0.4">
      <c r="A9" s="746"/>
      <c r="C9" s="763" t="s">
        <v>481</v>
      </c>
      <c r="D9" s="747"/>
      <c r="E9" s="747"/>
      <c r="F9" s="747"/>
      <c r="G9" s="747"/>
      <c r="H9" s="4"/>
      <c r="I9" s="747"/>
      <c r="J9" s="747"/>
      <c r="K9" s="747"/>
      <c r="L9" s="747"/>
      <c r="M9" s="4"/>
    </row>
    <row r="10" spans="1:13" x14ac:dyDescent="0.4">
      <c r="A10" s="746"/>
      <c r="C10" s="755"/>
      <c r="D10" s="747"/>
      <c r="E10" s="747"/>
      <c r="F10" s="750"/>
      <c r="G10" s="750"/>
      <c r="H10" s="46"/>
      <c r="I10" s="46"/>
      <c r="J10" s="747"/>
      <c r="K10" s="747"/>
      <c r="L10" s="751"/>
      <c r="M10" s="793"/>
    </row>
    <row r="11" spans="1:13" x14ac:dyDescent="0.4">
      <c r="A11" s="746"/>
      <c r="C11" s="755"/>
      <c r="D11" s="747"/>
      <c r="E11" s="747"/>
      <c r="F11" s="750"/>
      <c r="G11" s="750"/>
      <c r="H11" s="46"/>
      <c r="I11" s="46"/>
      <c r="J11" s="747"/>
      <c r="K11" s="747"/>
      <c r="L11" s="751"/>
      <c r="M11" s="793"/>
    </row>
    <row r="12" spans="1:13" x14ac:dyDescent="0.4">
      <c r="A12" s="746"/>
      <c r="C12" s="764"/>
      <c r="D12" s="747"/>
      <c r="E12" s="747"/>
      <c r="F12" s="750"/>
      <c r="G12" s="750"/>
      <c r="H12" s="792"/>
      <c r="I12" s="792"/>
      <c r="J12" s="747"/>
      <c r="K12" s="747"/>
      <c r="L12" s="751"/>
      <c r="M12" s="794"/>
    </row>
    <row r="13" spans="1:13" x14ac:dyDescent="0.4">
      <c r="A13" s="746"/>
      <c r="C13" s="763" t="s">
        <v>482</v>
      </c>
      <c r="D13" s="747"/>
      <c r="E13" s="747"/>
      <c r="F13" s="750"/>
      <c r="G13" s="750"/>
      <c r="H13" s="792"/>
      <c r="I13" s="792"/>
      <c r="J13" s="747"/>
      <c r="K13" s="747"/>
      <c r="L13" s="751"/>
      <c r="M13" s="793"/>
    </row>
    <row r="14" spans="1:13" x14ac:dyDescent="0.4">
      <c r="A14" s="746"/>
      <c r="C14" s="755"/>
      <c r="D14" s="747"/>
      <c r="E14" s="747"/>
      <c r="F14" s="750"/>
      <c r="G14" s="750"/>
      <c r="H14" s="46"/>
      <c r="I14" s="46"/>
      <c r="J14" s="747"/>
      <c r="K14" s="747"/>
      <c r="L14" s="751"/>
      <c r="M14" s="793"/>
    </row>
    <row r="15" spans="1:13" x14ac:dyDescent="0.4">
      <c r="A15" s="746"/>
      <c r="C15" s="755"/>
      <c r="D15" s="747"/>
      <c r="E15" s="747"/>
      <c r="F15" s="750"/>
      <c r="G15" s="750"/>
      <c r="H15" s="46"/>
      <c r="I15" s="46"/>
      <c r="J15" s="747"/>
      <c r="K15" s="747"/>
      <c r="L15" s="751"/>
      <c r="M15" s="793"/>
    </row>
    <row r="16" spans="1:13" hidden="1" x14ac:dyDescent="0.4">
      <c r="A16" s="746"/>
      <c r="C16" s="755"/>
      <c r="D16" s="747"/>
      <c r="E16" s="747"/>
      <c r="F16" s="750"/>
      <c r="G16" s="750"/>
      <c r="H16" s="46"/>
      <c r="I16" s="46"/>
      <c r="J16" s="747"/>
      <c r="K16" s="747"/>
      <c r="L16" s="751"/>
      <c r="M16" s="793"/>
    </row>
    <row r="17" spans="1:13" x14ac:dyDescent="0.4">
      <c r="A17" s="747"/>
      <c r="C17" s="755"/>
      <c r="D17" s="747"/>
      <c r="E17" s="747"/>
      <c r="F17" s="750"/>
      <c r="G17" s="750"/>
      <c r="H17" s="46"/>
      <c r="I17" s="46"/>
      <c r="J17" s="747"/>
      <c r="K17" s="747"/>
      <c r="L17" s="751"/>
      <c r="M17" s="794"/>
    </row>
    <row r="18" spans="1:13" ht="12.6" x14ac:dyDescent="0.45">
      <c r="A18" s="747"/>
      <c r="C18" s="1265"/>
      <c r="D18" s="1265"/>
      <c r="E18" s="1265"/>
      <c r="F18" s="1265"/>
      <c r="G18" s="1265"/>
      <c r="H18" s="1265"/>
      <c r="I18" s="1265"/>
      <c r="J18" s="1265"/>
      <c r="K18" s="1265"/>
      <c r="L18" s="1265"/>
      <c r="M18" s="1265"/>
    </row>
    <row r="19" spans="1:13" x14ac:dyDescent="0.4">
      <c r="A19" s="747"/>
      <c r="C19" s="763" t="s">
        <v>592</v>
      </c>
      <c r="D19" s="747"/>
      <c r="E19" s="747"/>
      <c r="F19" s="750"/>
      <c r="G19" s="750"/>
      <c r="H19" s="792"/>
      <c r="I19" s="792"/>
      <c r="J19" s="747"/>
      <c r="K19" s="747"/>
      <c r="L19" s="751"/>
      <c r="M19" s="793"/>
    </row>
    <row r="20" spans="1:13" x14ac:dyDescent="0.4">
      <c r="A20" s="747"/>
      <c r="C20" s="755"/>
      <c r="D20" s="747"/>
      <c r="E20" s="747"/>
      <c r="F20" s="750"/>
      <c r="G20" s="750"/>
      <c r="H20" s="46"/>
      <c r="I20" s="46"/>
      <c r="J20" s="747"/>
      <c r="K20" s="747"/>
      <c r="L20" s="751"/>
      <c r="M20" s="793"/>
    </row>
    <row r="21" spans="1:13" x14ac:dyDescent="0.4">
      <c r="A21" s="747"/>
      <c r="C21" s="755"/>
      <c r="D21" s="747"/>
      <c r="E21" s="747"/>
      <c r="F21" s="750"/>
      <c r="G21" s="750"/>
      <c r="H21" s="46"/>
      <c r="I21" s="46"/>
      <c r="J21" s="747"/>
      <c r="K21" s="747"/>
      <c r="L21" s="751"/>
      <c r="M21" s="793"/>
    </row>
    <row r="22" spans="1:13" x14ac:dyDescent="0.4">
      <c r="A22" s="747"/>
      <c r="C22" s="755"/>
      <c r="D22" s="747"/>
      <c r="E22" s="747"/>
      <c r="F22" s="750"/>
      <c r="G22" s="750"/>
      <c r="H22" s="46"/>
      <c r="I22" s="46"/>
      <c r="J22" s="747"/>
      <c r="K22" s="747"/>
      <c r="L22" s="751"/>
      <c r="M22" s="793"/>
    </row>
    <row r="23" spans="1:13" x14ac:dyDescent="0.4">
      <c r="A23" s="747"/>
      <c r="C23" s="755"/>
      <c r="D23" s="747"/>
      <c r="E23" s="747"/>
      <c r="F23" s="750"/>
      <c r="G23" s="750"/>
      <c r="H23" s="46"/>
      <c r="I23" s="46"/>
      <c r="J23" s="747"/>
      <c r="K23" s="747"/>
      <c r="L23" s="751"/>
      <c r="M23" s="793"/>
    </row>
    <row r="24" spans="1:13" x14ac:dyDescent="0.4">
      <c r="A24" s="747"/>
      <c r="C24" s="755"/>
      <c r="D24" s="747"/>
      <c r="E24" s="747"/>
      <c r="F24" s="750"/>
      <c r="G24" s="750"/>
      <c r="H24" s="46"/>
      <c r="I24" s="46"/>
      <c r="J24" s="747"/>
      <c r="K24" s="747"/>
      <c r="L24" s="751"/>
      <c r="M24" s="793"/>
    </row>
    <row r="25" spans="1:13" x14ac:dyDescent="0.4">
      <c r="A25" s="747"/>
      <c r="C25" s="764"/>
      <c r="D25" s="747"/>
      <c r="E25" s="747"/>
      <c r="F25" s="747"/>
      <c r="G25" s="747"/>
      <c r="H25" s="792"/>
      <c r="I25" s="792"/>
      <c r="J25" s="747"/>
      <c r="K25" s="747"/>
      <c r="L25" s="751"/>
      <c r="M25" s="794"/>
    </row>
    <row r="26" spans="1:13" ht="12.6" x14ac:dyDescent="0.45">
      <c r="A26" s="747"/>
      <c r="C26" s="763" t="s">
        <v>483</v>
      </c>
      <c r="D26" s="747"/>
      <c r="E26" s="747"/>
      <c r="F26" s="747"/>
      <c r="G26" s="848"/>
      <c r="H26" s="792"/>
      <c r="I26" s="792"/>
      <c r="J26" s="747"/>
      <c r="K26" s="747"/>
      <c r="L26" s="751"/>
      <c r="M26" s="793"/>
    </row>
    <row r="27" spans="1:13" x14ac:dyDescent="0.4">
      <c r="A27" s="747"/>
      <c r="C27" s="996"/>
      <c r="D27" s="748"/>
      <c r="E27" s="748"/>
      <c r="F27" s="997"/>
      <c r="G27" s="997"/>
      <c r="H27" s="24"/>
      <c r="I27" s="24"/>
      <c r="J27" s="748"/>
      <c r="K27" s="748"/>
      <c r="L27" s="998"/>
      <c r="M27" s="999"/>
    </row>
    <row r="28" spans="1:13" x14ac:dyDescent="0.4">
      <c r="A28" s="747"/>
      <c r="C28" s="996"/>
      <c r="D28" s="748"/>
      <c r="E28" s="748"/>
      <c r="F28" s="997"/>
      <c r="G28" s="997"/>
      <c r="H28" s="24"/>
      <c r="I28" s="24"/>
      <c r="J28" s="748"/>
      <c r="K28" s="748"/>
      <c r="L28" s="998"/>
      <c r="M28" s="1000"/>
    </row>
    <row r="29" spans="1:13" x14ac:dyDescent="0.4">
      <c r="A29" s="747"/>
      <c r="C29" s="996"/>
      <c r="D29" s="748"/>
      <c r="E29" s="748"/>
      <c r="F29" s="997"/>
      <c r="G29" s="997"/>
      <c r="H29" s="24"/>
      <c r="I29" s="24"/>
      <c r="J29" s="748"/>
      <c r="K29" s="748"/>
      <c r="L29" s="998"/>
      <c r="M29" s="1000"/>
    </row>
    <row r="30" spans="1:13" x14ac:dyDescent="0.4">
      <c r="A30" s="747"/>
      <c r="C30" s="996"/>
      <c r="D30" s="748"/>
      <c r="E30" s="748"/>
      <c r="F30" s="997"/>
      <c r="G30" s="997"/>
      <c r="H30" s="24"/>
      <c r="I30" s="24"/>
      <c r="J30" s="748"/>
      <c r="K30" s="748"/>
      <c r="L30" s="998"/>
      <c r="M30" s="999"/>
    </row>
    <row r="31" spans="1:13" x14ac:dyDescent="0.4">
      <c r="A31" s="747"/>
      <c r="C31" s="996"/>
      <c r="D31" s="748"/>
      <c r="E31" s="748"/>
      <c r="F31" s="748"/>
      <c r="G31" s="748"/>
      <c r="H31" s="24"/>
      <c r="I31" s="24"/>
      <c r="J31" s="748"/>
      <c r="K31" s="748"/>
      <c r="L31" s="998"/>
      <c r="M31" s="1001"/>
    </row>
    <row r="32" spans="1:13" ht="12.6" x14ac:dyDescent="0.45">
      <c r="A32" s="756"/>
      <c r="C32" s="1262"/>
      <c r="D32" s="1262"/>
      <c r="E32" s="1262"/>
      <c r="F32" s="1262"/>
      <c r="G32" s="1262"/>
      <c r="H32" s="1262"/>
      <c r="I32" s="1262"/>
      <c r="J32" s="1262"/>
      <c r="K32" s="1262"/>
      <c r="L32" s="1262"/>
      <c r="M32" s="1262"/>
    </row>
    <row r="33" spans="1:13" ht="16" customHeight="1" x14ac:dyDescent="0.4">
      <c r="A33" s="747"/>
      <c r="C33" s="1261"/>
      <c r="D33" s="1261"/>
      <c r="E33" s="1261"/>
      <c r="F33" s="1261"/>
      <c r="G33" s="1261"/>
      <c r="H33" s="1261"/>
      <c r="I33" s="1261"/>
      <c r="J33" s="1261"/>
      <c r="K33" s="1261"/>
      <c r="L33" s="1261"/>
      <c r="M33" s="1261"/>
    </row>
    <row r="34" spans="1:13" s="747" customFormat="1" ht="16" customHeight="1" x14ac:dyDescent="0.4">
      <c r="C34" s="987"/>
      <c r="D34" s="987"/>
      <c r="E34" s="987"/>
      <c r="F34" s="987"/>
      <c r="G34" s="987"/>
      <c r="H34" s="987"/>
      <c r="I34" s="987"/>
      <c r="J34" s="987"/>
      <c r="K34" s="987"/>
      <c r="L34" s="987"/>
      <c r="M34" s="987"/>
    </row>
    <row r="35" spans="1:13" ht="18" customHeight="1" x14ac:dyDescent="0.4">
      <c r="A35" s="748"/>
      <c r="B35" s="747"/>
      <c r="C35" s="1257" t="s">
        <v>458</v>
      </c>
      <c r="D35" s="1257"/>
      <c r="E35" s="1257"/>
      <c r="F35" s="1257"/>
      <c r="G35" s="752"/>
      <c r="H35" s="752"/>
      <c r="I35" s="752"/>
      <c r="J35" s="752"/>
      <c r="K35" s="752"/>
      <c r="L35" s="752"/>
      <c r="M35" s="752"/>
    </row>
    <row r="36" spans="1:13" ht="4" customHeight="1" x14ac:dyDescent="0.4">
      <c r="A36" s="748"/>
      <c r="B36" s="747"/>
      <c r="C36" s="747"/>
      <c r="D36" s="747"/>
      <c r="E36" s="747"/>
      <c r="F36" s="747"/>
      <c r="G36" s="747"/>
      <c r="H36" s="747"/>
      <c r="I36" s="747"/>
      <c r="J36" s="747"/>
      <c r="K36" s="747"/>
      <c r="L36" s="747"/>
      <c r="M36" s="747"/>
    </row>
    <row r="37" spans="1:13" ht="18" customHeight="1" x14ac:dyDescent="0.4">
      <c r="A37" s="748"/>
      <c r="B37" s="747"/>
      <c r="C37" s="753"/>
      <c r="D37" s="753"/>
      <c r="E37" s="753"/>
      <c r="F37" s="753"/>
      <c r="G37" s="753"/>
      <c r="H37" s="753"/>
      <c r="I37" s="753"/>
      <c r="J37" s="753"/>
      <c r="K37" s="753"/>
      <c r="L37" s="753"/>
      <c r="M37" s="753"/>
    </row>
    <row r="38" spans="1:13" ht="4" customHeight="1" x14ac:dyDescent="0.4">
      <c r="A38" s="748"/>
      <c r="B38" s="747"/>
      <c r="C38" s="747"/>
      <c r="D38" s="747"/>
      <c r="E38" s="747"/>
      <c r="F38" s="747"/>
      <c r="G38" s="747"/>
      <c r="H38" s="747"/>
      <c r="I38" s="747"/>
      <c r="J38" s="747"/>
      <c r="K38" s="747"/>
      <c r="L38" s="747"/>
      <c r="M38" s="747"/>
    </row>
    <row r="39" spans="1:13" ht="18" customHeight="1" x14ac:dyDescent="0.4">
      <c r="A39" s="748"/>
      <c r="B39" s="747"/>
      <c r="C39" s="754"/>
      <c r="D39" s="754"/>
      <c r="E39" s="754"/>
      <c r="F39" s="754"/>
      <c r="G39" s="754"/>
      <c r="H39" s="754"/>
      <c r="I39" s="754"/>
      <c r="J39" s="754"/>
      <c r="K39" s="754"/>
      <c r="L39" s="754"/>
      <c r="M39" s="754"/>
    </row>
  </sheetData>
  <sheetProtection password="C630" sheet="1" objects="1" scenarios="1" selectLockedCells="1" selectUnlockedCells="1"/>
  <mergeCells count="10">
    <mergeCell ref="C35:F35"/>
    <mergeCell ref="F5:M5"/>
    <mergeCell ref="C3:C4"/>
    <mergeCell ref="F3:M4"/>
    <mergeCell ref="C33:M33"/>
    <mergeCell ref="C32:M32"/>
    <mergeCell ref="F6:G6"/>
    <mergeCell ref="H6:I6"/>
    <mergeCell ref="L6:M6"/>
    <mergeCell ref="C18:M18"/>
  </mergeCells>
  <conditionalFormatting sqref="L27">
    <cfRule type="expression" dxfId="6" priority="7" stopIfTrue="1">
      <formula>$C$32="No record-eligible Triangle found. Great Circle distances are shown in red above"</formula>
    </cfRule>
  </conditionalFormatting>
  <conditionalFormatting sqref="C32:M32">
    <cfRule type="expression" dxfId="5" priority="6" stopIfTrue="1">
      <formula>$C$32="No record-eligible Triangle found. Great Circle distances are shown in red above"</formula>
    </cfRule>
  </conditionalFormatting>
  <conditionalFormatting sqref="L28">
    <cfRule type="expression" dxfId="4" priority="5" stopIfTrue="1">
      <formula>$C$32="No record-eligible Triangle found. Great Circle distances are shown in red above"</formula>
    </cfRule>
  </conditionalFormatting>
  <conditionalFormatting sqref="L29">
    <cfRule type="expression" dxfId="3" priority="4" stopIfTrue="1">
      <formula>$C$32="No record-eligible Triangle found. Great Circle distances are shown in red above"</formula>
    </cfRule>
  </conditionalFormatting>
  <conditionalFormatting sqref="L30">
    <cfRule type="expression" dxfId="2" priority="3" stopIfTrue="1">
      <formula>$C$32="No record-eligible Triangle found. Great Circle distances are shown in red above"</formula>
    </cfRule>
  </conditionalFormatting>
  <conditionalFormatting sqref="L31">
    <cfRule type="expression" dxfId="1" priority="2" stopIfTrue="1">
      <formula>$C$32="No record-eligible Triangle found. Great Circle distances are shown in red above"</formula>
    </cfRule>
  </conditionalFormatting>
  <conditionalFormatting sqref="M30">
    <cfRule type="expression" dxfId="0" priority="1" stopIfTrue="1">
      <formula>$C$32="No record-eligible Triangle found. Great Circle distances are shown in red above"</formula>
    </cfRule>
  </conditionalFormatting>
  <pageMargins left="0.7" right="0.7" top="0.75" bottom="0.75" header="0.3" footer="0.3"/>
  <pageSetup scale="78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2.3" x14ac:dyDescent="0.4"/>
  <sheetData/>
  <sortState ref="AA10:AF60009">
    <sortCondition ref="AB1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B</vt:lpstr>
      <vt:lpstr>SUMMARY</vt:lpstr>
      <vt:lpstr>TPOrder</vt:lpstr>
      <vt:lpstr>YDWK2</vt:lpstr>
      <vt:lpstr>Worksheet</vt:lpstr>
      <vt:lpstr>VERIFY TASK</vt:lpstr>
      <vt:lpstr>YDWK1</vt:lpstr>
      <vt:lpstr>PRINT THIS!</vt:lpstr>
      <vt:lpstr>CLAIM CHECK</vt:lpstr>
      <vt:lpstr>CALIBRATION</vt:lpstr>
      <vt:lpstr>FREE ME</vt:lpstr>
      <vt:lpstr>Sheet11</vt:lpstr>
      <vt:lpstr>'CLAIM CHECK'!Print_Area</vt:lpstr>
      <vt:lpstr>'FREE ME'!Print_Area</vt:lpstr>
      <vt:lpstr>'PRINT THIS!'!Print_Area</vt:lpstr>
      <vt:lpstr>Worksheet!Print_Area</vt:lpstr>
      <vt:lpstr>PrintArea1</vt:lpstr>
      <vt:lpstr>PrintArea2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Claim Check</dc:title>
  <dc:creator>JLR</dc:creator>
  <cp:lastModifiedBy>Owner</cp:lastModifiedBy>
  <cp:lastPrinted>2015-05-12T19:44:26Z</cp:lastPrinted>
  <dcterms:created xsi:type="dcterms:W3CDTF">2011-05-25T21:42:38Z</dcterms:created>
  <dcterms:modified xsi:type="dcterms:W3CDTF">2018-09-01T19:53:29Z</dcterms:modified>
</cp:coreProperties>
</file>