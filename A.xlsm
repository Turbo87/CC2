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saveExternalLinkValues="0" updateLinks="never" codeName="ThisWorkbook"/>
  <workbookProtection workbookPassword="C630" lockStructure="1"/>
  <bookViews>
    <workbookView showHorizontalScroll="0" showVerticalScroll="0" xWindow="0" yWindow="60" windowWidth="23232" windowHeight="10368" tabRatio="340"/>
  </bookViews>
  <sheets>
    <sheet name="ALL CLAIMS" sheetId="6" r:id="rId1"/>
    <sheet name="Parsed" sheetId="13" state="hidden" r:id="rId2"/>
    <sheet name="E-DEC" sheetId="7" state="hidden" r:id="rId3"/>
    <sheet name="OTHER" sheetId="8" state="hidden" r:id="rId4"/>
    <sheet name="DATA ENTRY CHECK" sheetId="10" state="hidden" r:id="rId5"/>
    <sheet name="Logo" sheetId="20" state="hidden" r:id="rId6"/>
  </sheets>
  <externalReferences>
    <externalReference r:id="rId7"/>
    <externalReference r:id="rId8"/>
    <externalReference r:id="rId9"/>
    <externalReference r:id="rId10"/>
  </externalReferences>
  <definedNames>
    <definedName name="_1" localSheetId="0">'ALL CLAIMS'!$A$2</definedName>
    <definedName name="_xlnm.Print_Area" localSheetId="0">'ALL CLAIMS'!$C$1:$I$20</definedName>
    <definedName name="_xlnm.Print_Area" localSheetId="4">'DATA ENTRY CHECK'!$C$1:$J$28</definedName>
    <definedName name="_xlnm.Print_Area" localSheetId="2">'E-DEC'!$B$4:$I$24</definedName>
    <definedName name="_xlnm.Print_Area" localSheetId="5">Logo!$A$1:$M$27</definedName>
    <definedName name="_xlnm.Print_Area" localSheetId="3">OTHER!$B$2:$L$30</definedName>
    <definedName name="Takeoff" localSheetId="4">'DATA ENTRY CHECK'!#REF!</definedName>
    <definedName name="Z_0EEACCE0_EC3D_41E2_9461_B930F93FB082_.wvu.PrintArea" localSheetId="0" hidden="1">'ALL CLAIMS'!$C$1:$I$20</definedName>
    <definedName name="Z_0EEACCE0_EC3D_41E2_9461_B930F93FB082_.wvu.PrintArea" localSheetId="4" hidden="1">'DATA ENTRY CHECK'!$C$1:$J$28</definedName>
    <definedName name="Z_0EEACCE0_EC3D_41E2_9461_B930F93FB082_.wvu.PrintArea" localSheetId="2" hidden="1">'E-DEC'!$B$4:$I$24</definedName>
    <definedName name="Z_0EEACCE0_EC3D_41E2_9461_B930F93FB082_.wvu.PrintArea" localSheetId="3" hidden="1">OTHER!$B$2:$L$30</definedName>
    <definedName name="Z_5A90EFA9_31B0_4AB9_9C9D_5F587FBCF9F6_.wvu.PrintArea" localSheetId="0" hidden="1">'ALL CLAIMS'!$C$1:$I$20</definedName>
    <definedName name="Z_5A90EFA9_31B0_4AB9_9C9D_5F587FBCF9F6_.wvu.PrintArea" localSheetId="4" hidden="1">'DATA ENTRY CHECK'!$C$1:$J$28</definedName>
    <definedName name="Z_5A90EFA9_31B0_4AB9_9C9D_5F587FBCF9F6_.wvu.PrintArea" localSheetId="2" hidden="1">'E-DEC'!$B$4:$I$24</definedName>
    <definedName name="Z_5A90EFA9_31B0_4AB9_9C9D_5F587FBCF9F6_.wvu.PrintArea" localSheetId="3" hidden="1">OTHER!$B$2:$L$30</definedName>
    <definedName name="Z_A921FC5E_826F_4CBA_9479_3BFF6B42C1E4_.wvu.PrintArea" localSheetId="0" hidden="1">'ALL CLAIMS'!$C$1:$I$20</definedName>
    <definedName name="Z_A921FC5E_826F_4CBA_9479_3BFF6B42C1E4_.wvu.PrintArea" localSheetId="4" hidden="1">'DATA ENTRY CHECK'!$C$1:$J$28</definedName>
    <definedName name="Z_A921FC5E_826F_4CBA_9479_3BFF6B42C1E4_.wvu.PrintArea" localSheetId="2" hidden="1">'E-DEC'!$B$4:$I$24</definedName>
    <definedName name="Z_A921FC5E_826F_4CBA_9479_3BFF6B42C1E4_.wvu.PrintArea" localSheetId="3" hidden="1">OTHER!$B$2:$L$30</definedName>
  </definedNames>
  <calcPr calcId="145621" iterate="1"/>
  <customWorkbookViews>
    <customWorkbookView name="working copy" guid="{A921FC5E-826F-4CBA-9479-3BFF6B42C1E4}" maximized="1" showHorizontalScroll="0" showVerticalScroll="0" xWindow="1" yWindow="1" windowWidth="1280" windowHeight="587" tabRatio="340" activeSheetId="6" showFormulaBar="0"/>
    <customWorkbookView name="user mode" guid="{5A90EFA9-31B0-4AB9-9C9D-5F587FBCF9F6}" maximized="1" showHorizontalScroll="0" showVerticalScroll="0" xWindow="1" yWindow="1" windowWidth="1280" windowHeight="587" tabRatio="340" activeSheetId="6" showFormulaBar="0"/>
    <customWorkbookView name="centered" guid="{0EEACCE0-EC3D-41E2-9461-B930F93FB082}" maximized="1" showVerticalScroll="0" xWindow="1" yWindow="1" windowWidth="1024" windowHeight="572" tabRatio="340" activeSheetId="6" showFormulaBar="0" showComments="commIndAndComment"/>
  </customWorkbookViews>
</workbook>
</file>

<file path=xl/calcChain.xml><?xml version="1.0" encoding="utf-8"?>
<calcChain xmlns="http://schemas.openxmlformats.org/spreadsheetml/2006/main">
  <c r="G24" i="10" l="1"/>
  <c r="B22" i="6" l="1"/>
  <c r="G10" i="10" l="1"/>
  <c r="I10" i="10"/>
  <c r="J10" i="10" s="1"/>
  <c r="C10" i="10"/>
  <c r="D10" i="10" s="1"/>
  <c r="F3" i="10"/>
  <c r="E3" i="10"/>
  <c r="I6" i="10" s="1"/>
  <c r="G2" i="10"/>
  <c r="D15" i="8"/>
  <c r="D4" i="8"/>
  <c r="M6" i="8"/>
  <c r="K6" i="8"/>
  <c r="K15" i="8"/>
  <c r="I13" i="7"/>
  <c r="H13" i="7"/>
  <c r="F13" i="7"/>
  <c r="E13" i="7"/>
  <c r="C13" i="7"/>
  <c r="I10" i="7"/>
  <c r="F21" i="7" s="1"/>
  <c r="E10" i="7"/>
  <c r="G8" i="7"/>
  <c r="C8" i="7"/>
  <c r="H6" i="7"/>
  <c r="D6" i="7"/>
  <c r="D8" i="10" l="1"/>
  <c r="C19" i="7"/>
  <c r="I19" i="7"/>
  <c r="H21" i="7"/>
  <c r="E19" i="7"/>
  <c r="C21" i="7"/>
  <c r="I21" i="7"/>
  <c r="F8" i="10"/>
  <c r="C15" i="7"/>
  <c r="E15" i="7" s="1"/>
  <c r="F15" i="7" s="1"/>
  <c r="H15" i="7" s="1"/>
  <c r="I15" i="7" s="1"/>
  <c r="F19" i="7"/>
  <c r="E21" i="7"/>
  <c r="B21" i="7"/>
  <c r="E10" i="10"/>
  <c r="C17" i="7"/>
  <c r="E17" i="7" s="1"/>
  <c r="F17" i="7" s="1"/>
  <c r="H17" i="7" s="1"/>
  <c r="I17" i="7" s="1"/>
  <c r="H19" i="7"/>
  <c r="I8" i="10"/>
  <c r="G8" i="10" s="1"/>
  <c r="F4" i="7" l="1"/>
  <c r="B46" i="8" l="1"/>
  <c r="C46" i="10" l="1"/>
  <c r="H27" i="20"/>
  <c r="C16" i="6" l="1"/>
  <c r="C14" i="6"/>
  <c r="C6" i="6" l="1"/>
  <c r="G28" i="10" l="1"/>
  <c r="C6" i="10"/>
  <c r="N3" i="6"/>
  <c r="N2" i="6"/>
  <c r="N1" i="6"/>
  <c r="B23" i="6"/>
  <c r="C40" i="10" l="1"/>
  <c r="B48" i="8" l="1"/>
  <c r="C12" i="8" l="1"/>
  <c r="F12" i="8" s="1"/>
  <c r="G8" i="8"/>
  <c r="F4" i="8" s="1"/>
  <c r="H3" i="10"/>
  <c r="J53" i="10" l="1"/>
  <c r="D6" i="10"/>
  <c r="J54" i="10" l="1"/>
  <c r="C51" i="10" s="1"/>
  <c r="C16" i="10" s="1"/>
  <c r="J55" i="10" l="1"/>
  <c r="I54" i="10"/>
  <c r="L6" i="8"/>
  <c r="G33" i="8"/>
  <c r="F23" i="6"/>
  <c r="F60" i="8"/>
  <c r="J60" i="8"/>
  <c r="G6" i="10"/>
  <c r="C44" i="10" s="1"/>
  <c r="B47" i="8"/>
  <c r="G26" i="10"/>
  <c r="C28" i="10" s="1"/>
  <c r="P58" i="6"/>
  <c r="Q59" i="6"/>
  <c r="P59" i="6"/>
  <c r="Q58" i="6"/>
  <c r="Q57" i="6"/>
  <c r="P57" i="6"/>
  <c r="P44" i="6"/>
  <c r="P45" i="6"/>
  <c r="P54" i="6"/>
  <c r="P53" i="6"/>
  <c r="P52" i="6"/>
  <c r="P51" i="6"/>
  <c r="P50" i="6"/>
  <c r="P49" i="6"/>
  <c r="P48" i="6"/>
  <c r="P47" i="6"/>
  <c r="P46" i="6"/>
  <c r="L18" i="8"/>
  <c r="F62" i="8"/>
  <c r="J66" i="8"/>
  <c r="J64" i="8"/>
  <c r="F64" i="8"/>
  <c r="E60" i="8"/>
  <c r="C10" i="6"/>
  <c r="B2" i="8"/>
  <c r="F32" i="8"/>
  <c r="C12" i="10"/>
  <c r="G18" i="8"/>
  <c r="C8" i="6"/>
  <c r="F6" i="10"/>
  <c r="I60" i="8"/>
  <c r="J68" i="8"/>
  <c r="F68" i="8"/>
  <c r="F66" i="8"/>
  <c r="J62" i="8"/>
  <c r="I68" i="8"/>
  <c r="E68" i="8"/>
  <c r="I66" i="8"/>
  <c r="E66" i="8"/>
  <c r="E64" i="8"/>
  <c r="I62" i="8"/>
  <c r="E62" i="8"/>
  <c r="I64" i="8"/>
  <c r="F26" i="10"/>
  <c r="G19" i="8"/>
  <c r="L19" i="8"/>
  <c r="B6" i="8" l="1"/>
  <c r="F6" i="8" s="1"/>
  <c r="G15" i="8"/>
  <c r="N18" i="8" s="1"/>
  <c r="J31" i="8" s="1"/>
  <c r="C3" i="10"/>
  <c r="J50" i="10"/>
  <c r="E50" i="8"/>
  <c r="E55" i="8"/>
  <c r="F56" i="8"/>
  <c r="E54" i="8"/>
  <c r="B13" i="8"/>
  <c r="B8" i="8"/>
  <c r="D46" i="8"/>
  <c r="P61" i="6"/>
  <c r="F54" i="8"/>
  <c r="F55" i="8"/>
  <c r="E56" i="8"/>
  <c r="E2" i="6"/>
  <c r="C23" i="6" s="1"/>
  <c r="M4" i="8" l="1"/>
  <c r="E49" i="8"/>
  <c r="E51" i="8" s="1"/>
  <c r="B17" i="8"/>
  <c r="B10" i="8"/>
  <c r="H10" i="8" s="1"/>
  <c r="I51" i="10"/>
  <c r="J52" i="10"/>
  <c r="K50" i="10"/>
  <c r="E60" i="10"/>
  <c r="F60" i="10" s="1"/>
  <c r="I57" i="10"/>
  <c r="J57" i="10"/>
  <c r="I58" i="10"/>
  <c r="E61" i="10"/>
  <c r="F61" i="10" s="1"/>
  <c r="G54" i="8"/>
  <c r="G56" i="8"/>
  <c r="G55" i="8"/>
  <c r="B31" i="8" l="1"/>
  <c r="E2" i="10" s="1"/>
  <c r="I60" i="10"/>
  <c r="J58" i="10" s="1"/>
  <c r="J59" i="10" s="1"/>
  <c r="C49" i="10" l="1"/>
  <c r="C15" i="10" s="1"/>
  <c r="G3" i="10"/>
  <c r="C20" i="10"/>
  <c r="C17" i="10"/>
  <c r="C21" i="10"/>
  <c r="K10" i="10" l="1"/>
  <c r="C19" i="10" l="1"/>
  <c r="C26" i="10" s="1"/>
  <c r="C39" i="10"/>
  <c r="C18" i="10" s="1"/>
  <c r="C45" i="10"/>
  <c r="B33" i="8"/>
  <c r="C24" i="10" l="1"/>
  <c r="C8" i="10"/>
</calcChain>
</file>

<file path=xl/connections.xml><?xml version="1.0" encoding="utf-8"?>
<connections xmlns="http://schemas.openxmlformats.org/spreadsheetml/2006/main">
  <connection id="1" name="Connection" type="4" refreshedVersion="4" saveData="1">
    <webPr sourceData="1" parsePre="1" xl2000="1" url="http://www.badgeflight.com/1.html"/>
  </connection>
</connections>
</file>

<file path=xl/sharedStrings.xml><?xml version="1.0" encoding="utf-8"?>
<sst xmlns="http://schemas.openxmlformats.org/spreadsheetml/2006/main" count="138" uniqueCount="131">
  <si>
    <t>Calculated</t>
  </si>
  <si>
    <t>Place Name</t>
  </si>
  <si>
    <t>Start Point</t>
  </si>
  <si>
    <t>Finish Point</t>
  </si>
  <si>
    <t>Turnpoint 1</t>
  </si>
  <si>
    <t>Turnpoint 2</t>
  </si>
  <si>
    <t>Turnpoint 3</t>
  </si>
  <si>
    <t xml:space="preserve">DATA ENTRY CHECK: </t>
  </si>
  <si>
    <t>Downloaded</t>
  </si>
  <si>
    <t>Notes</t>
  </si>
  <si>
    <t>Coordinate Format:</t>
  </si>
  <si>
    <t>MM</t>
  </si>
  <si>
    <t>E or W</t>
  </si>
  <si>
    <t>N or S</t>
  </si>
  <si>
    <t xml:space="preserve">   ALL applications</t>
  </si>
  <si>
    <t xml:space="preserve">                 BASIC FLIGHT DATA</t>
  </si>
  <si>
    <t xml:space="preserve">        Select One</t>
  </si>
  <si>
    <t>Long, Deg</t>
  </si>
  <si>
    <t>Lat, Deg</t>
  </si>
  <si>
    <t xml:space="preserve">            SELECT ONE</t>
  </si>
  <si>
    <t xml:space="preserve"> UTC -3 (ADT)</t>
  </si>
  <si>
    <t xml:space="preserve"> UTC -4 (EDT/AST)</t>
  </si>
  <si>
    <t xml:space="preserve"> UTC -5 (EST/CDT)</t>
  </si>
  <si>
    <t xml:space="preserve"> UTC -6 (CST/MDT)</t>
  </si>
  <si>
    <t xml:space="preserve"> UTC -7 (MST/PDT)</t>
  </si>
  <si>
    <t xml:space="preserve">      UTC -8 (PST)</t>
  </si>
  <si>
    <t xml:space="preserve"> UTC -9 (Alaska ST)</t>
  </si>
  <si>
    <t xml:space="preserve"> UTC -10  (Hawaii)</t>
  </si>
  <si>
    <t xml:space="preserve"> hh:mm:ss  or  hh:mm  [enter]  </t>
  </si>
  <si>
    <t xml:space="preserve">Flight Date </t>
  </si>
  <si>
    <t xml:space="preserve">                SELECT ONE</t>
  </si>
  <si>
    <t xml:space="preserve">   Motorglider SOLO</t>
  </si>
  <si>
    <t xml:space="preserve">   Pure Glider SOLO</t>
  </si>
  <si>
    <t>Venezuela</t>
  </si>
  <si>
    <t>Moscow Daylight; Samara; Seychelles</t>
  </si>
  <si>
    <t>Armenia; Pakistan Standard; Uzbekistan</t>
  </si>
  <si>
    <t>Bangladesh, Omsk Standard</t>
  </si>
  <si>
    <t>Hovd; Omsk Summer; Western Indonesia</t>
  </si>
  <si>
    <t>Eastern Europe Summer; Eastern Africa</t>
  </si>
  <si>
    <t>Western Europe Standard</t>
  </si>
  <si>
    <t>Australia Lord Howe Daylight</t>
  </si>
  <si>
    <t>-5</t>
  </si>
  <si>
    <t>-4</t>
  </si>
  <si>
    <t>-3</t>
  </si>
  <si>
    <t>5</t>
  </si>
  <si>
    <t>6</t>
  </si>
  <si>
    <t>7</t>
  </si>
  <si>
    <t>8</t>
  </si>
  <si>
    <t>9</t>
  </si>
  <si>
    <t xml:space="preserve">   EST / CDT North America; Colombia; Peru</t>
  </si>
  <si>
    <t xml:space="preserve">   CST / MDT North America</t>
  </si>
  <si>
    <t xml:space="preserve">   MST / PDT North America</t>
  </si>
  <si>
    <t xml:space="preserve">   PST North America, Alaska Daylight</t>
  </si>
  <si>
    <t xml:space="preserve">   Alaska Standard; Hawaii Daylight</t>
  </si>
  <si>
    <t xml:space="preserve">  Hawaii Standard</t>
  </si>
  <si>
    <t xml:space="preserve">   Australia Eastern Standard; Vladivostok Standard</t>
  </si>
  <si>
    <t xml:space="preserve">  Australia Central Standard</t>
  </si>
  <si>
    <t xml:space="preserve">   New Zealand Standard, Magadan Summer</t>
  </si>
  <si>
    <t xml:space="preserve">   New Zealand Daylight</t>
  </si>
  <si>
    <t xml:space="preserve">     Australia Western Daylight; Japan; Eastern Indonesia</t>
  </si>
  <si>
    <t xml:space="preserve">   EDT / AST North America; Amazon Standard</t>
  </si>
  <si>
    <t xml:space="preserve">   Australia Eastern Daylight; Magadan</t>
  </si>
  <si>
    <t>Australia CDT; Australia Lord Howe Standard</t>
  </si>
  <si>
    <t xml:space="preserve">     Australia Western Standard; Central Indonesia</t>
  </si>
  <si>
    <t xml:space="preserve">   Pure Glider 2 Pilots</t>
  </si>
  <si>
    <t xml:space="preserve">   Motorglider 2 Pilots</t>
  </si>
  <si>
    <t>Europe, Africa, W Asia</t>
  </si>
  <si>
    <t xml:space="preserve">  Australia, NZ, E Asia</t>
  </si>
  <si>
    <t>0</t>
  </si>
  <si>
    <t>1</t>
  </si>
  <si>
    <t>2</t>
  </si>
  <si>
    <t>3</t>
  </si>
  <si>
    <t>4</t>
  </si>
  <si>
    <t>9.5</t>
  </si>
  <si>
    <t>10</t>
  </si>
  <si>
    <t>10.5</t>
  </si>
  <si>
    <t>11</t>
  </si>
  <si>
    <t>11.5</t>
  </si>
  <si>
    <t>12</t>
  </si>
  <si>
    <t>13</t>
  </si>
  <si>
    <t xml:space="preserve">Evaluation Basis:     </t>
  </si>
  <si>
    <t xml:space="preserve">    Brasilia Summer</t>
  </si>
  <si>
    <t>Central Europe Standard; West Europe Summer</t>
  </si>
  <si>
    <t>Central Europe Summer; East Europe Standard</t>
  </si>
  <si>
    <t>START / CLEAR</t>
  </si>
  <si>
    <t>Claim Check</t>
  </si>
  <si>
    <t>Evaluation in Progress</t>
  </si>
  <si>
    <t xml:space="preserve">Declaration Type:     </t>
  </si>
  <si>
    <t xml:space="preserve">   ADT North America; Argentina; Amazon Summer</t>
  </si>
  <si>
    <t xml:space="preserve">    SELECT ONE</t>
  </si>
  <si>
    <t xml:space="preserve">            NO</t>
  </si>
  <si>
    <t xml:space="preserve">           YES</t>
  </si>
  <si>
    <t># of Turn Points:</t>
  </si>
  <si>
    <t>UTC Declaration Date &amp;Time:</t>
  </si>
  <si>
    <t xml:space="preserve">         USE UTC</t>
  </si>
  <si>
    <t xml:space="preserve">         Americas</t>
  </si>
  <si>
    <t xml:space="preserve">                                   Select One</t>
  </si>
  <si>
    <t xml:space="preserve">          Select One</t>
  </si>
  <si>
    <t xml:space="preserve">           Electronic </t>
  </si>
  <si>
    <t xml:space="preserve">            Written </t>
  </si>
  <si>
    <t xml:space="preserve">            Custom</t>
  </si>
  <si>
    <t>NOTE: The IGC file appears to begin with the glider in motion. Manual review may be required</t>
  </si>
  <si>
    <t>NOTE: The IGC file appears to begin or end in flight. Manual review may be required</t>
  </si>
  <si>
    <t>ERROR: The written declaration lacks one or more required items</t>
  </si>
  <si>
    <t>NOTE: Click the 'E-DEC' tab to check the electronic declaration</t>
  </si>
  <si>
    <t>NOTE: Click the 'ALL CLAIMS' tab to check takeoff and landing site elevation(s)</t>
  </si>
  <si>
    <t>ERROR: The IGC file lacks pilot and/or aircraft data</t>
  </si>
  <si>
    <t xml:space="preserve">NOTE: Fixes recorded in flight will be selected as the Way Points for Free tasks  </t>
  </si>
  <si>
    <t xml:space="preserve">            Free Me</t>
  </si>
  <si>
    <r>
      <t xml:space="preserve">Decimal minutes: </t>
    </r>
    <r>
      <rPr>
        <b/>
        <sz val="10"/>
        <color theme="0"/>
        <rFont val="Arial"/>
        <family val="2"/>
      </rPr>
      <t>DD:MM.mmm</t>
    </r>
  </si>
  <si>
    <r>
      <t xml:space="preserve">Minutes &amp; seconds: </t>
    </r>
    <r>
      <rPr>
        <b/>
        <sz val="10"/>
        <color theme="0"/>
        <rFont val="Arial"/>
        <family val="2"/>
      </rPr>
      <t>DD:MM:SS</t>
    </r>
  </si>
  <si>
    <t>ERROR: This PR claim requires a written declaration. SC3 2.3.1a</t>
  </si>
  <si>
    <t>NOTE: For an FAI claim, see calibration rules.  SC3 2.5.2, 3.4.1</t>
  </si>
  <si>
    <t xml:space="preserve">      Metric Default</t>
  </si>
  <si>
    <t xml:space="preserve">        USA Default</t>
  </si>
  <si>
    <t>ERROR: The Written Declaration is invalid. SC3 2.3.1 &amp; Table 1</t>
  </si>
  <si>
    <t xml:space="preserve">Electronic Declaration </t>
  </si>
  <si>
    <t>FR &amp; Serial #</t>
  </si>
  <si>
    <t>Flight Date</t>
  </si>
  <si>
    <t>Pilot(s)</t>
  </si>
  <si>
    <r>
      <t xml:space="preserve">E- Declaration Date </t>
    </r>
    <r>
      <rPr>
        <sz val="14"/>
        <rFont val="Arial Narrow"/>
        <family val="2"/>
      </rPr>
      <t>&amp;</t>
    </r>
    <r>
      <rPr>
        <sz val="14"/>
        <rFont val="Arial"/>
        <family val="2"/>
      </rPr>
      <t xml:space="preserve"> Time (UTC):</t>
    </r>
  </si>
  <si>
    <t># Declared Turnpoints</t>
  </si>
  <si>
    <t>Latitude Degrees</t>
  </si>
  <si>
    <t>Minutes</t>
  </si>
  <si>
    <t>Longitude Degrees</t>
  </si>
  <si>
    <t>Turnpoint A</t>
  </si>
  <si>
    <t>Turnpoint B</t>
  </si>
  <si>
    <t>Turnpoint C</t>
  </si>
  <si>
    <t>Click a tab below to continue</t>
  </si>
  <si>
    <t>Aircraft</t>
  </si>
  <si>
    <t>v 2.9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</si>
</sst>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h:mm:ss;@"/>
    <numFmt numFmtId="165" formatCode="0.0000000000"/>
    <numFmt numFmtId="166" formatCode="0.000"/>
    <numFmt numFmtId="167" formatCode="0\°"/>
    <numFmt numFmtId="168" formatCode="00.000\'"/>
    <numFmt numFmtId="169" formatCode="0.0000"/>
    <numFmt numFmtId="170" formatCode="0.000000"/>
    <numFmt numFmtId="171" formatCode="[$-409]d\-mmm\-yyyy;@"/>
    <numFmt numFmtId="172" formatCode="d\-mmm\-yyyy\ h:mm:ss"/>
    <numFmt numFmtId="173" formatCode="m/d/yy\ h:mm:ss"/>
    <numFmt numFmtId="174" formatCode="0.0000000000000"/>
    <numFmt numFmtId="175" formatCode="m/d/yy;@"/>
  </numFmts>
  <fonts count="61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b/>
      <sz val="12"/>
      <color indexed="13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 Narrow"/>
      <family val="2"/>
    </font>
    <font>
      <sz val="10"/>
      <color indexed="12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2"/>
      <color indexed="12"/>
      <name val="Arial"/>
      <family val="2"/>
    </font>
    <font>
      <i/>
      <sz val="12"/>
      <color indexed="10"/>
      <name val="Arial"/>
      <family val="2"/>
    </font>
    <font>
      <sz val="12"/>
      <color indexed="10"/>
      <name val="Arial"/>
      <family val="2"/>
    </font>
    <font>
      <b/>
      <sz val="11"/>
      <color indexed="12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  <font>
      <i/>
      <sz val="12"/>
      <name val="Arial"/>
      <family val="2"/>
    </font>
    <font>
      <b/>
      <i/>
      <sz val="12"/>
      <name val="Arial"/>
      <family val="2"/>
    </font>
    <font>
      <b/>
      <i/>
      <sz val="12"/>
      <color indexed="10"/>
      <name val="Arial"/>
      <family val="2"/>
    </font>
    <font>
      <i/>
      <sz val="11"/>
      <name val="Arial"/>
      <family val="2"/>
    </font>
    <font>
      <sz val="10"/>
      <name val="Wingdings"/>
      <charset val="2"/>
    </font>
    <font>
      <u/>
      <sz val="10"/>
      <color theme="10"/>
      <name val="Arial"/>
      <family val="2"/>
    </font>
    <font>
      <b/>
      <sz val="6"/>
      <color theme="0"/>
      <name val="Arial"/>
      <family val="2"/>
    </font>
    <font>
      <sz val="12"/>
      <color rgb="FFFF0000"/>
      <name val="Arial"/>
      <family val="2"/>
    </font>
    <font>
      <i/>
      <sz val="11"/>
      <color rgb="FFFF0000"/>
      <name val="Arial"/>
      <family val="2"/>
    </font>
    <font>
      <b/>
      <sz val="12"/>
      <color theme="0"/>
      <name val="Arial"/>
      <family val="2"/>
    </font>
    <font>
      <sz val="10"/>
      <color rgb="FFFF0000"/>
      <name val="Wingdings"/>
      <charset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0"/>
      <color rgb="FFFF0000"/>
      <name val="Arial"/>
      <family val="2"/>
    </font>
    <font>
      <b/>
      <sz val="9"/>
      <color theme="0"/>
      <name val="Arial"/>
      <family val="2"/>
    </font>
    <font>
      <b/>
      <sz val="11"/>
      <color theme="0"/>
      <name val="Arial"/>
      <family val="2"/>
    </font>
    <font>
      <u/>
      <sz val="9"/>
      <color theme="10"/>
      <name val="Arial"/>
      <family val="2"/>
    </font>
    <font>
      <i/>
      <sz val="9"/>
      <color rgb="FF000099"/>
      <name val="Arial"/>
      <family val="2"/>
    </font>
    <font>
      <b/>
      <i/>
      <sz val="12"/>
      <color rgb="FFFF0000"/>
      <name val="Arial"/>
      <family val="2"/>
    </font>
    <font>
      <b/>
      <i/>
      <sz val="11"/>
      <color rgb="FFFF000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Arial"/>
      <family val="2"/>
    </font>
    <font>
      <b/>
      <sz val="11"/>
      <color theme="1"/>
      <name val="Arial"/>
      <family val="2"/>
    </font>
    <font>
      <b/>
      <sz val="10"/>
      <color rgb="FF0000FF"/>
      <name val="Arial Narrow"/>
      <family val="2"/>
    </font>
    <font>
      <b/>
      <sz val="10"/>
      <color rgb="FF0000FF"/>
      <name val="Arial"/>
      <family val="2"/>
    </font>
    <font>
      <i/>
      <sz val="12"/>
      <color rgb="FFFF0000"/>
      <name val="Arial"/>
      <family val="2"/>
    </font>
    <font>
      <b/>
      <i/>
      <sz val="16"/>
      <color rgb="FF0000FF"/>
      <name val="Arial"/>
      <family val="2"/>
    </font>
    <font>
      <b/>
      <i/>
      <sz val="16"/>
      <color rgb="FFD9FFFF"/>
      <name val="Arial"/>
      <family val="2"/>
    </font>
    <font>
      <b/>
      <i/>
      <sz val="16"/>
      <color rgb="FFE7E7FF"/>
      <name val="Arial"/>
      <family val="2"/>
    </font>
    <font>
      <i/>
      <sz val="9"/>
      <name val="Arial"/>
      <family val="2"/>
    </font>
    <font>
      <b/>
      <sz val="14"/>
      <name val="Arial"/>
      <family val="2"/>
    </font>
    <font>
      <sz val="14"/>
      <name val="Arial Narrow"/>
      <family val="2"/>
    </font>
    <font>
      <sz val="11"/>
      <color rgb="FFFF0000"/>
      <name val="Arial"/>
      <family val="2"/>
    </font>
    <font>
      <sz val="9"/>
      <name val="Arial"/>
      <family val="2"/>
    </font>
    <font>
      <b/>
      <sz val="14"/>
      <color indexed="12"/>
      <name val="Arial"/>
      <family val="2"/>
    </font>
    <font>
      <b/>
      <sz val="14"/>
      <color theme="0"/>
      <name val="Arial"/>
      <family val="2"/>
    </font>
    <font>
      <b/>
      <i/>
      <sz val="10"/>
      <color rgb="FF0033CC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33CC"/>
        <bgColor indexed="64"/>
      </patternFill>
    </fill>
    <fill>
      <patternFill patternType="solid">
        <fgColor rgb="FFAFAFFF"/>
        <bgColor indexed="64"/>
      </patternFill>
    </fill>
    <fill>
      <patternFill patternType="solid">
        <fgColor rgb="FFABD5FF"/>
        <bgColor indexed="64"/>
      </patternFill>
    </fill>
    <fill>
      <patternFill patternType="solid">
        <fgColor rgb="FFD9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FDAFF"/>
        <bgColor indexed="64"/>
      </patternFill>
    </fill>
    <fill>
      <patternFill patternType="solid">
        <fgColor rgb="FFABABFF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10"/>
      </right>
      <top/>
      <bottom/>
      <diagonal/>
    </border>
    <border>
      <left style="thin">
        <color indexed="10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396">
    <xf numFmtId="0" fontId="0" fillId="0" borderId="0" xfId="0"/>
    <xf numFmtId="0" fontId="0" fillId="0" borderId="0" xfId="0" applyFill="1"/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4" fillId="0" borderId="1" xfId="0" applyFont="1" applyBorder="1"/>
    <xf numFmtId="0" fontId="4" fillId="0" borderId="2" xfId="0" applyFont="1" applyBorder="1"/>
    <xf numFmtId="0" fontId="4" fillId="0" borderId="3" xfId="0" applyFont="1" applyBorder="1"/>
    <xf numFmtId="0" fontId="0" fillId="0" borderId="0" xfId="0" applyBorder="1"/>
    <xf numFmtId="0" fontId="5" fillId="0" borderId="0" xfId="0" applyFont="1"/>
    <xf numFmtId="0" fontId="5" fillId="0" borderId="0" xfId="0" applyFont="1" applyBorder="1"/>
    <xf numFmtId="0" fontId="6" fillId="0" borderId="0" xfId="0" applyFont="1"/>
    <xf numFmtId="0" fontId="6" fillId="0" borderId="0" xfId="0" applyFont="1" applyFill="1"/>
    <xf numFmtId="0" fontId="6" fillId="0" borderId="0" xfId="0" applyFont="1" applyBorder="1"/>
    <xf numFmtId="0" fontId="6" fillId="0" borderId="0" xfId="0" applyFont="1" applyFill="1" applyBorder="1"/>
    <xf numFmtId="0" fontId="8" fillId="0" borderId="0" xfId="0" applyFont="1"/>
    <xf numFmtId="0" fontId="8" fillId="0" borderId="0" xfId="0" applyFont="1" applyBorder="1"/>
    <xf numFmtId="0" fontId="8" fillId="0" borderId="0" xfId="0" applyFont="1" applyFill="1"/>
    <xf numFmtId="0" fontId="19" fillId="0" borderId="4" xfId="0" applyFont="1" applyBorder="1" applyAlignment="1">
      <alignment horizontal="center" vertical="center"/>
    </xf>
    <xf numFmtId="22" fontId="6" fillId="0" borderId="0" xfId="0" applyNumberFormat="1" applyFont="1"/>
    <xf numFmtId="0" fontId="17" fillId="5" borderId="2" xfId="0" applyFont="1" applyFill="1" applyBorder="1" applyAlignment="1" applyProtection="1">
      <alignment vertical="center"/>
      <protection hidden="1"/>
    </xf>
    <xf numFmtId="0" fontId="0" fillId="0" borderId="5" xfId="0" applyBorder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0" xfId="0" applyBorder="1" applyAlignment="1" applyProtection="1">
      <alignment vertical="center"/>
      <protection locked="0" hidden="1"/>
    </xf>
    <xf numFmtId="0" fontId="0" fillId="0" borderId="6" xfId="0" applyBorder="1" applyAlignment="1" applyProtection="1">
      <alignment horizontal="center" vertical="center"/>
      <protection locked="0"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17" fillId="0" borderId="2" xfId="0" applyFont="1" applyBorder="1" applyAlignment="1" applyProtection="1">
      <alignment vertical="center"/>
      <protection hidden="1"/>
    </xf>
    <xf numFmtId="0" fontId="0" fillId="0" borderId="3" xfId="0" applyBorder="1" applyAlignment="1" applyProtection="1">
      <alignment vertical="center"/>
      <protection hidden="1"/>
    </xf>
    <xf numFmtId="0" fontId="30" fillId="0" borderId="4" xfId="0" applyFont="1" applyBorder="1" applyAlignment="1" applyProtection="1">
      <alignment vertical="center"/>
      <protection hidden="1"/>
    </xf>
    <xf numFmtId="14" fontId="9" fillId="0" borderId="0" xfId="0" applyNumberFormat="1" applyFont="1" applyFill="1" applyBorder="1" applyAlignment="1" applyProtection="1">
      <alignment horizontal="center" vertical="center"/>
      <protection hidden="1"/>
    </xf>
    <xf numFmtId="0" fontId="13" fillId="0" borderId="0" xfId="0" applyFont="1" applyAlignment="1" applyProtection="1">
      <alignment vertical="center"/>
      <protection hidden="1"/>
    </xf>
    <xf numFmtId="21" fontId="9" fillId="0" borderId="0" xfId="0" applyNumberFormat="1" applyFont="1" applyFill="1" applyBorder="1" applyAlignment="1" applyProtection="1">
      <alignment horizontal="center" vertical="center"/>
      <protection hidden="1"/>
    </xf>
    <xf numFmtId="21" fontId="3" fillId="0" borderId="0" xfId="0" applyNumberFormat="1" applyFont="1" applyBorder="1" applyAlignment="1" applyProtection="1">
      <alignment horizontal="right" vertical="center"/>
      <protection hidden="1"/>
    </xf>
    <xf numFmtId="0" fontId="3" fillId="0" borderId="0" xfId="0" applyFont="1" applyBorder="1" applyAlignment="1" applyProtection="1">
      <alignment horizontal="left" vertical="center"/>
      <protection hidden="1"/>
    </xf>
    <xf numFmtId="0" fontId="13" fillId="0" borderId="0" xfId="0" applyFont="1" applyBorder="1" applyAlignment="1" applyProtection="1">
      <alignment vertical="center"/>
      <protection hidden="1"/>
    </xf>
    <xf numFmtId="0" fontId="8" fillId="0" borderId="7" xfId="0" applyFont="1" applyBorder="1"/>
    <xf numFmtId="0" fontId="8" fillId="0" borderId="4" xfId="0" applyFont="1" applyBorder="1"/>
    <xf numFmtId="0" fontId="5" fillId="0" borderId="7" xfId="0" applyFont="1" applyBorder="1" applyAlignment="1">
      <alignment horizontal="center" vertical="center"/>
    </xf>
    <xf numFmtId="164" fontId="5" fillId="5" borderId="6" xfId="0" applyNumberFormat="1" applyFont="1" applyFill="1" applyBorder="1" applyAlignment="1" applyProtection="1">
      <alignment horizontal="center" vertical="center"/>
      <protection hidden="1"/>
    </xf>
    <xf numFmtId="0" fontId="5" fillId="5" borderId="6" xfId="0" applyFont="1" applyFill="1" applyBorder="1" applyAlignment="1">
      <alignment horizontal="center"/>
    </xf>
    <xf numFmtId="164" fontId="5" fillId="5" borderId="8" xfId="0" applyNumberFormat="1" applyFont="1" applyFill="1" applyBorder="1" applyAlignment="1" applyProtection="1">
      <alignment horizontal="center" vertical="center"/>
      <protection hidden="1"/>
    </xf>
    <xf numFmtId="0" fontId="5" fillId="6" borderId="6" xfId="0" applyFont="1" applyFill="1" applyBorder="1" applyAlignment="1">
      <alignment horizontal="center"/>
    </xf>
    <xf numFmtId="1" fontId="5" fillId="0" borderId="0" xfId="0" applyNumberFormat="1" applyFont="1" applyFill="1" applyBorder="1" applyAlignment="1">
      <alignment horizontal="right" vertical="center"/>
    </xf>
    <xf numFmtId="0" fontId="5" fillId="7" borderId="9" xfId="0" applyFont="1" applyFill="1" applyBorder="1" applyAlignment="1">
      <alignment vertical="center"/>
    </xf>
    <xf numFmtId="0" fontId="5" fillId="7" borderId="5" xfId="0" applyFont="1" applyFill="1" applyBorder="1" applyAlignment="1">
      <alignment vertical="center"/>
    </xf>
    <xf numFmtId="0" fontId="5" fillId="0" borderId="10" xfId="0" applyFont="1" applyBorder="1" applyAlignment="1">
      <alignment horizontal="right" vertical="center"/>
    </xf>
    <xf numFmtId="0" fontId="5" fillId="0" borderId="0" xfId="0" applyFont="1" applyBorder="1" applyAlignment="1">
      <alignment horizontal="right" vertical="center"/>
    </xf>
    <xf numFmtId="0" fontId="1" fillId="0" borderId="0" xfId="0" applyFont="1"/>
    <xf numFmtId="0" fontId="5" fillId="0" borderId="0" xfId="0" applyFont="1" applyBorder="1" applyAlignment="1">
      <alignment vertical="center"/>
    </xf>
    <xf numFmtId="0" fontId="32" fillId="0" borderId="0" xfId="0" applyFont="1" applyBorder="1" applyAlignment="1">
      <alignment vertical="center"/>
    </xf>
    <xf numFmtId="0" fontId="5" fillId="0" borderId="7" xfId="0" applyFont="1" applyBorder="1" applyAlignment="1">
      <alignment vertical="center"/>
    </xf>
    <xf numFmtId="0" fontId="5" fillId="0" borderId="11" xfId="0" applyFont="1" applyBorder="1" applyAlignment="1">
      <alignment vertical="center"/>
    </xf>
    <xf numFmtId="0" fontId="5" fillId="0" borderId="0" xfId="0" applyFont="1" applyBorder="1" applyAlignment="1" applyProtection="1">
      <alignment horizontal="center" vertical="center"/>
      <protection hidden="1"/>
    </xf>
    <xf numFmtId="0" fontId="22" fillId="7" borderId="12" xfId="0" applyFont="1" applyFill="1" applyBorder="1" applyAlignment="1">
      <alignment vertical="center"/>
    </xf>
    <xf numFmtId="0" fontId="25" fillId="6" borderId="0" xfId="0" applyFont="1" applyFill="1" applyBorder="1" applyAlignment="1"/>
    <xf numFmtId="0" fontId="25" fillId="0" borderId="0" xfId="0" applyFont="1" applyFill="1" applyBorder="1" applyAlignment="1">
      <alignment horizontal="center"/>
    </xf>
    <xf numFmtId="0" fontId="5" fillId="0" borderId="0" xfId="0" applyFont="1" applyFill="1" applyBorder="1"/>
    <xf numFmtId="1" fontId="5" fillId="6" borderId="6" xfId="0" applyNumberFormat="1" applyFont="1" applyFill="1" applyBorder="1" applyAlignment="1">
      <alignment horizontal="center" vertical="center"/>
    </xf>
    <xf numFmtId="1" fontId="5" fillId="0" borderId="13" xfId="0" applyNumberFormat="1" applyFont="1" applyFill="1" applyBorder="1" applyAlignment="1">
      <alignment horizontal="center" vertical="center"/>
    </xf>
    <xf numFmtId="14" fontId="5" fillId="0" borderId="14" xfId="0" applyNumberFormat="1" applyFont="1" applyFill="1" applyBorder="1" applyAlignment="1">
      <alignment horizontal="center" vertical="center"/>
    </xf>
    <xf numFmtId="1" fontId="5" fillId="0" borderId="14" xfId="0" applyNumberFormat="1" applyFont="1" applyFill="1" applyBorder="1" applyAlignment="1">
      <alignment horizontal="center" vertical="center"/>
    </xf>
    <xf numFmtId="1" fontId="5" fillId="0" borderId="15" xfId="0" applyNumberFormat="1" applyFont="1" applyFill="1" applyBorder="1" applyAlignment="1">
      <alignment horizontal="center" vertical="center"/>
    </xf>
    <xf numFmtId="0" fontId="5" fillId="7" borderId="0" xfId="0" applyFont="1" applyFill="1" applyBorder="1" applyAlignment="1" applyProtection="1">
      <alignment vertical="center"/>
      <protection hidden="1"/>
    </xf>
    <xf numFmtId="0" fontId="5" fillId="7" borderId="4" xfId="0" applyFont="1" applyFill="1" applyBorder="1" applyAlignment="1" applyProtection="1">
      <alignment vertical="center"/>
      <protection hidden="1"/>
    </xf>
    <xf numFmtId="0" fontId="5" fillId="7" borderId="4" xfId="0" applyFont="1" applyFill="1" applyBorder="1" applyProtection="1">
      <protection hidden="1"/>
    </xf>
    <xf numFmtId="0" fontId="8" fillId="8" borderId="0" xfId="0" applyFont="1" applyFill="1" applyBorder="1" applyAlignment="1">
      <alignment horizontal="center"/>
    </xf>
    <xf numFmtId="0" fontId="33" fillId="0" borderId="0" xfId="0" applyFont="1" applyFill="1" applyBorder="1"/>
    <xf numFmtId="0" fontId="13" fillId="0" borderId="4" xfId="0" applyFont="1" applyFill="1" applyBorder="1" applyAlignment="1" applyProtection="1">
      <alignment vertical="center"/>
      <protection hidden="1"/>
    </xf>
    <xf numFmtId="0" fontId="7" fillId="0" borderId="7" xfId="0" applyFont="1" applyBorder="1" applyAlignment="1" applyProtection="1">
      <alignment vertical="center"/>
      <protection hidden="1"/>
    </xf>
    <xf numFmtId="0" fontId="7" fillId="0" borderId="0" xfId="0" applyFont="1" applyBorder="1" applyAlignment="1" applyProtection="1">
      <alignment vertical="center"/>
      <protection hidden="1"/>
    </xf>
    <xf numFmtId="0" fontId="7" fillId="0" borderId="4" xfId="0" applyFont="1" applyBorder="1" applyAlignment="1" applyProtection="1">
      <alignment vertical="center"/>
      <protection hidden="1"/>
    </xf>
    <xf numFmtId="0" fontId="18" fillId="8" borderId="0" xfId="0" applyFont="1" applyFill="1" applyBorder="1" applyAlignment="1" applyProtection="1">
      <alignment vertical="center"/>
      <protection hidden="1"/>
    </xf>
    <xf numFmtId="0" fontId="0" fillId="0" borderId="0" xfId="0" applyNumberFormat="1" applyBorder="1" applyAlignment="1" applyProtection="1">
      <alignment vertical="center"/>
      <protection locked="0" hidden="1"/>
    </xf>
    <xf numFmtId="49" fontId="1" fillId="0" borderId="0" xfId="0" applyNumberFormat="1" applyFont="1" applyBorder="1"/>
    <xf numFmtId="0" fontId="5" fillId="7" borderId="6" xfId="0" applyFont="1" applyFill="1" applyBorder="1" applyAlignment="1">
      <alignment horizontal="center"/>
    </xf>
    <xf numFmtId="0" fontId="0" fillId="0" borderId="9" xfId="0" applyBorder="1" applyAlignment="1" applyProtection="1">
      <alignment vertical="center"/>
      <protection hidden="1"/>
    </xf>
    <xf numFmtId="171" fontId="5" fillId="3" borderId="6" xfId="0" applyNumberFormat="1" applyFont="1" applyFill="1" applyBorder="1" applyAlignment="1">
      <alignment horizontal="center" vertical="center"/>
    </xf>
    <xf numFmtId="0" fontId="0" fillId="0" borderId="0" xfId="0" applyProtection="1">
      <protection hidden="1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vertical="center"/>
      <protection hidden="1"/>
    </xf>
    <xf numFmtId="0" fontId="1" fillId="0" borderId="0" xfId="0" applyFont="1" applyProtection="1">
      <protection hidden="1"/>
    </xf>
    <xf numFmtId="0" fontId="1" fillId="0" borderId="0" xfId="0" applyFont="1" applyFill="1" applyBorder="1" applyAlignment="1" applyProtection="1">
      <alignment horizontal="left" vertical="center"/>
      <protection hidden="1"/>
    </xf>
    <xf numFmtId="0" fontId="0" fillId="0" borderId="0" xfId="0" applyBorder="1" applyProtection="1">
      <protection hidden="1"/>
    </xf>
    <xf numFmtId="0" fontId="1" fillId="0" borderId="0" xfId="0" applyFont="1" applyFill="1" applyAlignment="1" applyProtection="1">
      <alignment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0" fillId="0" borderId="4" xfId="0" applyBorder="1" applyAlignment="1" applyProtection="1">
      <alignment vertical="center"/>
      <protection hidden="1"/>
    </xf>
    <xf numFmtId="0" fontId="0" fillId="0" borderId="0" xfId="0" applyNumberFormat="1" applyBorder="1" applyAlignment="1" applyProtection="1">
      <alignment vertical="center"/>
      <protection hidden="1"/>
    </xf>
    <xf numFmtId="0" fontId="1" fillId="0" borderId="7" xfId="0" applyFont="1" applyBorder="1" applyAlignment="1" applyProtection="1">
      <alignment vertical="center"/>
      <protection hidden="1"/>
    </xf>
    <xf numFmtId="0" fontId="0" fillId="0" borderId="4" xfId="0" applyBorder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12" xfId="0" applyBorder="1" applyAlignment="1" applyProtection="1">
      <alignment vertical="center"/>
      <protection hidden="1"/>
    </xf>
    <xf numFmtId="0" fontId="0" fillId="0" borderId="0" xfId="0" applyNumberFormat="1" applyProtection="1">
      <protection hidden="1"/>
    </xf>
    <xf numFmtId="1" fontId="0" fillId="0" borderId="0" xfId="0" applyNumberFormat="1" applyProtection="1">
      <protection hidden="1"/>
    </xf>
    <xf numFmtId="0" fontId="27" fillId="0" borderId="0" xfId="0" applyFont="1" applyBorder="1" applyAlignment="1" applyProtection="1">
      <alignment vertical="center"/>
      <protection hidden="1"/>
    </xf>
    <xf numFmtId="0" fontId="1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Fill="1" applyAlignment="1" applyProtection="1">
      <alignment vertical="center"/>
      <protection hidden="1"/>
    </xf>
    <xf numFmtId="167" fontId="1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vertical="center"/>
      <protection hidden="1"/>
    </xf>
    <xf numFmtId="0" fontId="1" fillId="0" borderId="6" xfId="0" applyFont="1" applyBorder="1" applyAlignment="1" applyProtection="1">
      <alignment horizontal="center" vertical="center"/>
      <protection locked="0" hidden="1"/>
    </xf>
    <xf numFmtId="0" fontId="12" fillId="0" borderId="1" xfId="0" applyFont="1" applyFill="1" applyBorder="1" applyAlignment="1" applyProtection="1">
      <alignment horizontal="left" vertical="center"/>
      <protection hidden="1"/>
    </xf>
    <xf numFmtId="0" fontId="12" fillId="0" borderId="2" xfId="0" applyFont="1" applyFill="1" applyBorder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12" fillId="0" borderId="7" xfId="0" applyFont="1" applyFill="1" applyBorder="1" applyAlignment="1" applyProtection="1">
      <alignment horizontal="left" vertical="center"/>
      <protection hidden="1"/>
    </xf>
    <xf numFmtId="0" fontId="12" fillId="0" borderId="0" xfId="0" applyFont="1" applyFill="1" applyBorder="1" applyAlignment="1" applyProtection="1">
      <alignment horizontal="left" vertical="center"/>
      <protection hidden="1"/>
    </xf>
    <xf numFmtId="0" fontId="13" fillId="0" borderId="4" xfId="0" applyFont="1" applyBorder="1" applyAlignment="1" applyProtection="1">
      <alignment vertical="center"/>
      <protection hidden="1"/>
    </xf>
    <xf numFmtId="0" fontId="13" fillId="0" borderId="0" xfId="0" applyFont="1" applyFill="1" applyAlignment="1" applyProtection="1">
      <alignment vertical="center"/>
      <protection hidden="1"/>
    </xf>
    <xf numFmtId="0" fontId="13" fillId="0" borderId="7" xfId="0" applyFont="1" applyBorder="1" applyAlignment="1" applyProtection="1">
      <alignment vertical="center"/>
      <protection hidden="1"/>
    </xf>
    <xf numFmtId="0" fontId="9" fillId="0" borderId="4" xfId="0" applyFont="1" applyBorder="1" applyAlignment="1" applyProtection="1">
      <alignment vertical="center"/>
      <protection hidden="1"/>
    </xf>
    <xf numFmtId="0" fontId="14" fillId="0" borderId="7" xfId="0" applyFont="1" applyFill="1" applyBorder="1" applyAlignment="1" applyProtection="1">
      <alignment horizontal="center" vertical="center"/>
      <protection hidden="1"/>
    </xf>
    <xf numFmtId="0" fontId="3" fillId="0" borderId="0" xfId="0" applyFont="1" applyFill="1" applyBorder="1" applyAlignment="1" applyProtection="1">
      <alignment vertical="center"/>
      <protection hidden="1"/>
    </xf>
    <xf numFmtId="0" fontId="3" fillId="0" borderId="0" xfId="0" applyFont="1" applyFill="1" applyBorder="1" applyAlignment="1" applyProtection="1">
      <alignment horizontal="center" vertical="center" shrinkToFit="1"/>
      <protection hidden="1"/>
    </xf>
    <xf numFmtId="0" fontId="3" fillId="0" borderId="4" xfId="0" applyFont="1" applyFill="1" applyBorder="1" applyAlignment="1" applyProtection="1">
      <alignment horizontal="left" vertical="center"/>
      <protection hidden="1"/>
    </xf>
    <xf numFmtId="0" fontId="9" fillId="0" borderId="0" xfId="0" applyFont="1" applyFill="1" applyAlignment="1" applyProtection="1">
      <alignment vertical="center"/>
      <protection hidden="1"/>
    </xf>
    <xf numFmtId="0" fontId="3" fillId="0" borderId="16" xfId="0" applyFont="1" applyBorder="1" applyAlignment="1" applyProtection="1">
      <alignment horizontal="center" vertical="center"/>
      <protection hidden="1"/>
    </xf>
    <xf numFmtId="0" fontId="13" fillId="0" borderId="0" xfId="0" applyFont="1" applyBorder="1" applyAlignment="1" applyProtection="1">
      <alignment horizontal="center" vertical="center"/>
      <protection hidden="1"/>
    </xf>
    <xf numFmtId="0" fontId="13" fillId="0" borderId="7" xfId="0" applyFont="1" applyBorder="1" applyAlignment="1" applyProtection="1">
      <alignment horizontal="center" vertical="center"/>
      <protection hidden="1"/>
    </xf>
    <xf numFmtId="0" fontId="3" fillId="0" borderId="16" xfId="0" applyFont="1" applyFill="1" applyBorder="1" applyAlignment="1" applyProtection="1">
      <alignment horizontal="center" vertical="center"/>
      <protection hidden="1"/>
    </xf>
    <xf numFmtId="0" fontId="13" fillId="0" borderId="12" xfId="0" applyFont="1" applyBorder="1" applyAlignment="1" applyProtection="1">
      <alignment vertical="center"/>
      <protection hidden="1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5" xfId="0" applyFont="1" applyBorder="1" applyAlignment="1" applyProtection="1">
      <alignment vertical="center"/>
      <protection hidden="1"/>
    </xf>
    <xf numFmtId="0" fontId="22" fillId="3" borderId="0" xfId="0" applyFont="1" applyFill="1" applyBorder="1" applyAlignment="1" applyProtection="1">
      <alignment vertical="center"/>
      <protection hidden="1"/>
    </xf>
    <xf numFmtId="0" fontId="16" fillId="3" borderId="0" xfId="0" applyFont="1" applyFill="1" applyAlignment="1" applyProtection="1">
      <alignment vertical="center"/>
      <protection hidden="1"/>
    </xf>
    <xf numFmtId="0" fontId="16" fillId="0" borderId="0" xfId="0" applyFont="1" applyAlignment="1" applyProtection="1">
      <alignment vertical="center"/>
      <protection hidden="1"/>
    </xf>
    <xf numFmtId="0" fontId="16" fillId="0" borderId="0" xfId="0" applyFont="1" applyFill="1" applyBorder="1" applyAlignment="1" applyProtection="1">
      <alignment vertical="center"/>
      <protection hidden="1"/>
    </xf>
    <xf numFmtId="0" fontId="16" fillId="0" borderId="0" xfId="0" applyFont="1" applyFill="1" applyAlignment="1" applyProtection="1">
      <alignment horizontal="center" vertical="center"/>
      <protection hidden="1"/>
    </xf>
    <xf numFmtId="0" fontId="15" fillId="0" borderId="0" xfId="0" applyFont="1" applyFill="1" applyAlignment="1" applyProtection="1">
      <alignment horizontal="center" vertical="center"/>
      <protection hidden="1"/>
    </xf>
    <xf numFmtId="0" fontId="16" fillId="0" borderId="0" xfId="0" applyFont="1" applyFill="1" applyAlignment="1" applyProtection="1">
      <alignment vertical="center"/>
      <protection hidden="1"/>
    </xf>
    <xf numFmtId="166" fontId="9" fillId="0" borderId="0" xfId="0" applyNumberFormat="1" applyFont="1" applyFill="1" applyBorder="1" applyAlignment="1" applyProtection="1">
      <alignment vertical="center"/>
      <protection hidden="1"/>
    </xf>
    <xf numFmtId="0" fontId="18" fillId="4" borderId="0" xfId="0" applyFont="1" applyFill="1" applyAlignment="1" applyProtection="1">
      <alignment vertical="center"/>
      <protection hidden="1"/>
    </xf>
    <xf numFmtId="0" fontId="18" fillId="4" borderId="0" xfId="0" applyFont="1" applyFill="1" applyBorder="1" applyAlignment="1" applyProtection="1">
      <alignment vertical="center"/>
      <protection hidden="1"/>
    </xf>
    <xf numFmtId="0" fontId="3" fillId="0" borderId="0" xfId="0" applyFont="1" applyAlignment="1" applyProtection="1">
      <alignment vertical="center"/>
      <protection hidden="1"/>
    </xf>
    <xf numFmtId="49" fontId="13" fillId="0" borderId="0" xfId="0" applyNumberFormat="1" applyFont="1" applyAlignment="1" applyProtection="1">
      <alignment vertical="center"/>
      <protection hidden="1"/>
    </xf>
    <xf numFmtId="170" fontId="13" fillId="0" borderId="0" xfId="0" applyNumberFormat="1" applyFont="1" applyAlignment="1" applyProtection="1">
      <alignment vertical="center"/>
      <protection hidden="1"/>
    </xf>
    <xf numFmtId="49" fontId="1" fillId="9" borderId="6" xfId="0" applyNumberFormat="1" applyFont="1" applyFill="1" applyBorder="1" applyAlignment="1" applyProtection="1">
      <alignment horizontal="center" vertical="center"/>
      <protection locked="0" hidden="1"/>
    </xf>
    <xf numFmtId="0" fontId="1" fillId="9" borderId="8" xfId="0" applyFont="1" applyFill="1" applyBorder="1" applyAlignment="1" applyProtection="1">
      <alignment horizontal="center" vertical="center"/>
      <protection locked="0" hidden="1"/>
    </xf>
    <xf numFmtId="1" fontId="1" fillId="9" borderId="6" xfId="0" applyNumberFormat="1" applyFont="1" applyFill="1" applyBorder="1" applyAlignment="1" applyProtection="1">
      <alignment horizontal="center" vertical="center"/>
      <protection locked="0" hidden="1"/>
    </xf>
    <xf numFmtId="0" fontId="34" fillId="0" borderId="4" xfId="0" applyFont="1" applyBorder="1" applyAlignment="1" applyProtection="1">
      <alignment vertical="center"/>
      <protection hidden="1"/>
    </xf>
    <xf numFmtId="0" fontId="10" fillId="2" borderId="2" xfId="0" applyFont="1" applyFill="1" applyBorder="1" applyAlignment="1" applyProtection="1">
      <alignment vertical="center"/>
      <protection hidden="1"/>
    </xf>
    <xf numFmtId="0" fontId="11" fillId="10" borderId="19" xfId="0" applyFont="1" applyFill="1" applyBorder="1" applyAlignment="1" applyProtection="1">
      <alignment horizontal="center" vertical="center"/>
      <protection hidden="1"/>
    </xf>
    <xf numFmtId="49" fontId="1" fillId="0" borderId="0" xfId="0" applyNumberFormat="1" applyFont="1" applyBorder="1" applyAlignment="1" applyProtection="1">
      <alignment horizontal="center" vertical="center"/>
      <protection hidden="1"/>
    </xf>
    <xf numFmtId="0" fontId="28" fillId="0" borderId="0" xfId="0" applyFont="1" applyBorder="1" applyAlignment="1" applyProtection="1">
      <alignment vertical="center"/>
      <protection hidden="1"/>
    </xf>
    <xf numFmtId="0" fontId="0" fillId="11" borderId="0" xfId="0" applyFill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right" vertical="center"/>
      <protection hidden="1"/>
    </xf>
    <xf numFmtId="0" fontId="1" fillId="0" borderId="7" xfId="0" applyFont="1" applyBorder="1" applyAlignment="1" applyProtection="1">
      <alignment horizontal="right" vertical="center" indent="1"/>
      <protection hidden="1"/>
    </xf>
    <xf numFmtId="0" fontId="1" fillId="0" borderId="0" xfId="0" applyFont="1" applyBorder="1" applyAlignment="1" applyProtection="1">
      <alignment horizontal="right" vertical="center" indent="1"/>
      <protection hidden="1"/>
    </xf>
    <xf numFmtId="0" fontId="0" fillId="0" borderId="0" xfId="0" applyBorder="1" applyAlignment="1" applyProtection="1">
      <alignment horizontal="right" vertical="center"/>
      <protection hidden="1"/>
    </xf>
    <xf numFmtId="0" fontId="0" fillId="0" borderId="0" xfId="0" applyBorder="1" applyAlignment="1" applyProtection="1">
      <alignment horizontal="right" vertical="center" indent="1"/>
      <protection hidden="1"/>
    </xf>
    <xf numFmtId="0" fontId="17" fillId="0" borderId="0" xfId="0" quotePrefix="1" applyFont="1" applyAlignment="1" applyProtection="1">
      <alignment horizontal="center" vertical="center"/>
      <protection hidden="1"/>
    </xf>
    <xf numFmtId="0" fontId="12" fillId="0" borderId="0" xfId="0" applyFont="1" applyFill="1" applyBorder="1" applyAlignment="1" applyProtection="1">
      <alignment vertical="center"/>
      <protection hidden="1"/>
    </xf>
    <xf numFmtId="0" fontId="3" fillId="0" borderId="0" xfId="0" applyFont="1" applyFill="1" applyBorder="1" applyAlignment="1" applyProtection="1">
      <alignment vertical="center" wrapText="1"/>
      <protection hidden="1"/>
    </xf>
    <xf numFmtId="166" fontId="1" fillId="0" borderId="0" xfId="0" applyNumberFormat="1" applyFont="1" applyBorder="1" applyAlignment="1" applyProtection="1">
      <alignment horizontal="right" vertical="center"/>
      <protection hidden="1"/>
    </xf>
    <xf numFmtId="49" fontId="1" fillId="0" borderId="0" xfId="0" applyNumberFormat="1" applyFont="1" applyBorder="1" applyAlignment="1" applyProtection="1">
      <alignment vertical="center"/>
      <protection hidden="1"/>
    </xf>
    <xf numFmtId="1" fontId="1" fillId="0" borderId="0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 applyFill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left" vertical="center"/>
      <protection hidden="1"/>
    </xf>
    <xf numFmtId="168" fontId="1" fillId="0" borderId="0" xfId="0" applyNumberFormat="1" applyFont="1" applyBorder="1" applyAlignment="1" applyProtection="1">
      <alignment horizontal="center" vertical="center"/>
      <protection hidden="1"/>
    </xf>
    <xf numFmtId="1" fontId="1" fillId="0" borderId="0" xfId="0" applyNumberFormat="1" applyFont="1" applyBorder="1" applyAlignment="1" applyProtection="1">
      <alignment horizontal="center" vertical="center"/>
      <protection hidden="1"/>
    </xf>
    <xf numFmtId="0" fontId="1" fillId="0" borderId="4" xfId="0" applyFont="1" applyBorder="1" applyAlignment="1" applyProtection="1">
      <alignment horizontal="center" vertical="center"/>
      <protection hidden="1"/>
    </xf>
    <xf numFmtId="1" fontId="1" fillId="0" borderId="0" xfId="0" applyNumberFormat="1" applyFont="1" applyFill="1" applyBorder="1" applyAlignment="1" applyProtection="1">
      <alignment vertical="center"/>
      <protection hidden="1"/>
    </xf>
    <xf numFmtId="0" fontId="1" fillId="0" borderId="4" xfId="0" applyFont="1" applyFill="1" applyBorder="1" applyAlignment="1" applyProtection="1">
      <alignment vertical="center"/>
      <protection hidden="1"/>
    </xf>
    <xf numFmtId="167" fontId="1" fillId="9" borderId="6" xfId="0" applyNumberFormat="1" applyFont="1" applyFill="1" applyBorder="1" applyAlignment="1" applyProtection="1">
      <alignment horizontal="center" vertical="center"/>
      <protection locked="0" hidden="1"/>
    </xf>
    <xf numFmtId="0" fontId="35" fillId="0" borderId="0" xfId="0" applyFont="1"/>
    <xf numFmtId="0" fontId="1" fillId="9" borderId="6" xfId="0" applyNumberFormat="1" applyFont="1" applyFill="1" applyBorder="1" applyAlignment="1" applyProtection="1">
      <alignment horizontal="center" vertical="center"/>
      <protection locked="0" hidden="1"/>
    </xf>
    <xf numFmtId="166" fontId="13" fillId="0" borderId="0" xfId="0" applyNumberFormat="1" applyFont="1" applyBorder="1" applyAlignment="1" applyProtection="1">
      <alignment horizontal="center" vertical="center"/>
      <protection hidden="1"/>
    </xf>
    <xf numFmtId="0" fontId="1" fillId="0" borderId="20" xfId="0" applyNumberFormat="1" applyFont="1" applyBorder="1" applyAlignment="1" applyProtection="1">
      <alignment horizontal="center" vertical="center"/>
      <protection hidden="1"/>
    </xf>
    <xf numFmtId="0" fontId="1" fillId="0" borderId="0" xfId="0" applyNumberFormat="1" applyFont="1" applyFill="1" applyBorder="1" applyAlignment="1" applyProtection="1">
      <alignment vertical="center"/>
      <protection hidden="1"/>
    </xf>
    <xf numFmtId="0" fontId="1" fillId="0" borderId="0" xfId="0" applyNumberFormat="1" applyFont="1" applyFill="1" applyBorder="1" applyAlignment="1" applyProtection="1">
      <alignment horizontal="center" vertical="center"/>
      <protection hidden="1"/>
    </xf>
    <xf numFmtId="49" fontId="1" fillId="0" borderId="0" xfId="0" applyNumberFormat="1" applyFont="1" applyAlignment="1" applyProtection="1">
      <alignment vertical="center"/>
      <protection hidden="1"/>
    </xf>
    <xf numFmtId="0" fontId="35" fillId="0" borderId="0" xfId="0" applyFont="1" applyAlignment="1" applyProtection="1">
      <alignment vertical="center"/>
      <protection hidden="1"/>
    </xf>
    <xf numFmtId="0" fontId="36" fillId="0" borderId="0" xfId="0" applyFont="1" applyFill="1" applyBorder="1" applyAlignment="1" applyProtection="1">
      <alignment vertical="center" wrapText="1"/>
      <protection hidden="1"/>
    </xf>
    <xf numFmtId="0" fontId="35" fillId="0" borderId="0" xfId="0" applyFont="1" applyBorder="1" applyAlignment="1" applyProtection="1">
      <alignment horizontal="right" vertical="center"/>
      <protection hidden="1"/>
    </xf>
    <xf numFmtId="0" fontId="35" fillId="0" borderId="18" xfId="0" applyFont="1" applyFill="1" applyBorder="1" applyAlignment="1" applyProtection="1">
      <alignment horizontal="center" vertical="center"/>
      <protection hidden="1"/>
    </xf>
    <xf numFmtId="0" fontId="35" fillId="0" borderId="0" xfId="0" applyFont="1" applyBorder="1" applyAlignment="1" applyProtection="1">
      <alignment horizontal="left" vertical="center"/>
      <protection hidden="1"/>
    </xf>
    <xf numFmtId="0" fontId="35" fillId="0" borderId="0" xfId="0" applyFont="1" applyBorder="1" applyAlignment="1" applyProtection="1">
      <alignment vertical="center"/>
      <protection hidden="1"/>
    </xf>
    <xf numFmtId="0" fontId="35" fillId="0" borderId="0" xfId="0" applyFont="1" applyFill="1" applyAlignment="1" applyProtection="1">
      <alignment vertical="center"/>
      <protection hidden="1"/>
    </xf>
    <xf numFmtId="0" fontId="37" fillId="3" borderId="0" xfId="0" applyFont="1" applyFill="1" applyBorder="1" applyAlignment="1" applyProtection="1">
      <alignment vertical="center"/>
      <protection hidden="1"/>
    </xf>
    <xf numFmtId="0" fontId="0" fillId="0" borderId="0" xfId="0" applyNumberFormat="1" applyAlignment="1" applyProtection="1">
      <alignment horizontal="right"/>
      <protection hidden="1"/>
    </xf>
    <xf numFmtId="0" fontId="26" fillId="0" borderId="0" xfId="0" applyFont="1" applyFill="1" applyBorder="1" applyAlignment="1">
      <alignment horizontal="center"/>
    </xf>
    <xf numFmtId="0" fontId="0" fillId="0" borderId="0" xfId="0" applyBorder="1" applyAlignment="1">
      <alignment vertical="center"/>
    </xf>
    <xf numFmtId="164" fontId="35" fillId="0" borderId="0" xfId="0" applyNumberFormat="1" applyFont="1"/>
    <xf numFmtId="172" fontId="35" fillId="0" borderId="0" xfId="0" applyNumberFormat="1" applyFont="1"/>
    <xf numFmtId="0" fontId="35" fillId="0" borderId="0" xfId="0" applyFont="1" applyFill="1" applyBorder="1" applyAlignment="1" applyProtection="1">
      <alignment vertical="center"/>
      <protection hidden="1"/>
    </xf>
    <xf numFmtId="171" fontId="5" fillId="7" borderId="4" xfId="0" applyNumberFormat="1" applyFont="1" applyFill="1" applyBorder="1" applyAlignment="1" applyProtection="1">
      <alignment horizontal="left" vertical="center"/>
      <protection hidden="1"/>
    </xf>
    <xf numFmtId="171" fontId="5" fillId="7" borderId="0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7" fillId="0" borderId="7" xfId="0" applyFont="1" applyBorder="1" applyAlignment="1" applyProtection="1">
      <alignment horizontal="center" vertical="center"/>
      <protection hidden="1"/>
    </xf>
    <xf numFmtId="0" fontId="7" fillId="0" borderId="0" xfId="0" applyFont="1" applyBorder="1" applyAlignment="1" applyProtection="1">
      <alignment horizontal="center" vertical="center"/>
      <protection hidden="1"/>
    </xf>
    <xf numFmtId="0" fontId="7" fillId="0" borderId="4" xfId="0" applyFont="1" applyBorder="1" applyAlignment="1" applyProtection="1">
      <alignment horizontal="center" vertical="center"/>
      <protection hidden="1"/>
    </xf>
    <xf numFmtId="0" fontId="3" fillId="0" borderId="7" xfId="0" applyFont="1" applyBorder="1" applyAlignment="1" applyProtection="1">
      <alignment horizontal="center" vertical="center"/>
      <protection hidden="1"/>
    </xf>
    <xf numFmtId="0" fontId="3" fillId="0" borderId="0" xfId="0" applyFont="1" applyBorder="1" applyAlignment="1" applyProtection="1">
      <alignment horizontal="center" vertical="center"/>
      <protection hidden="1"/>
    </xf>
    <xf numFmtId="0" fontId="35" fillId="0" borderId="0" xfId="0" applyFont="1" applyBorder="1" applyAlignment="1" applyProtection="1">
      <alignment horizontal="center" vertical="center"/>
      <protection hidden="1"/>
    </xf>
    <xf numFmtId="173" fontId="0" fillId="0" borderId="0" xfId="0" applyNumberFormat="1"/>
    <xf numFmtId="174" fontId="2" fillId="0" borderId="0" xfId="0" applyNumberFormat="1" applyFont="1"/>
    <xf numFmtId="165" fontId="8" fillId="0" borderId="0" xfId="0" applyNumberFormat="1" applyFont="1"/>
    <xf numFmtId="0" fontId="35" fillId="0" borderId="0" xfId="0" applyNumberFormat="1" applyFont="1"/>
    <xf numFmtId="0" fontId="33" fillId="0" borderId="7" xfId="0" applyFont="1" applyFill="1" applyBorder="1"/>
    <xf numFmtId="0" fontId="39" fillId="0" borderId="0" xfId="0" applyFont="1" applyBorder="1" applyAlignment="1" applyProtection="1">
      <alignment vertical="center"/>
      <protection hidden="1"/>
    </xf>
    <xf numFmtId="0" fontId="35" fillId="0" borderId="9" xfId="0" applyFont="1" applyBorder="1"/>
    <xf numFmtId="0" fontId="35" fillId="0" borderId="0" xfId="0" applyFont="1" applyBorder="1"/>
    <xf numFmtId="171" fontId="5" fillId="7" borderId="0" xfId="0" applyNumberFormat="1" applyFont="1" applyFill="1" applyAlignment="1">
      <alignment horizontal="left"/>
    </xf>
    <xf numFmtId="0" fontId="8" fillId="11" borderId="0" xfId="0" applyFont="1" applyFill="1" applyBorder="1" applyAlignment="1"/>
    <xf numFmtId="0" fontId="35" fillId="0" borderId="0" xfId="0" applyFont="1" applyAlignment="1" applyProtection="1">
      <alignment horizontal="left" vertical="center"/>
      <protection hidden="1"/>
    </xf>
    <xf numFmtId="0" fontId="35" fillId="0" borderId="0" xfId="0" applyFont="1" applyProtection="1">
      <protection hidden="1"/>
    </xf>
    <xf numFmtId="0" fontId="35" fillId="0" borderId="0" xfId="0" applyNumberFormat="1" applyFont="1" applyAlignment="1" applyProtection="1">
      <alignment horizontal="center"/>
      <protection hidden="1"/>
    </xf>
    <xf numFmtId="0" fontId="5" fillId="7" borderId="7" xfId="0" applyFont="1" applyFill="1" applyBorder="1" applyAlignment="1" applyProtection="1">
      <alignment horizontal="left" vertical="center" indent="1"/>
      <protection hidden="1"/>
    </xf>
    <xf numFmtId="0" fontId="31" fillId="7" borderId="7" xfId="0" applyFont="1" applyFill="1" applyBorder="1" applyAlignment="1" applyProtection="1">
      <alignment horizontal="left" indent="1"/>
      <protection hidden="1"/>
    </xf>
    <xf numFmtId="0" fontId="31" fillId="7" borderId="0" xfId="0" applyFont="1" applyFill="1" applyBorder="1" applyAlignment="1" applyProtection="1">
      <alignment horizontal="left" vertical="center" indent="1"/>
      <protection hidden="1"/>
    </xf>
    <xf numFmtId="0" fontId="31" fillId="7" borderId="4" xfId="0" applyFont="1" applyFill="1" applyBorder="1" applyAlignment="1" applyProtection="1">
      <alignment horizontal="left" vertical="center" indent="1"/>
      <protection hidden="1"/>
    </xf>
    <xf numFmtId="0" fontId="20" fillId="7" borderId="7" xfId="0" applyFont="1" applyFill="1" applyBorder="1" applyAlignment="1" applyProtection="1">
      <alignment horizontal="left" vertical="center" indent="1"/>
      <protection hidden="1"/>
    </xf>
    <xf numFmtId="0" fontId="5" fillId="7" borderId="0" xfId="0" applyFont="1" applyFill="1" applyBorder="1" applyAlignment="1" applyProtection="1">
      <alignment horizontal="left" vertical="center" indent="1"/>
      <protection hidden="1"/>
    </xf>
    <xf numFmtId="0" fontId="40" fillId="7" borderId="0" xfId="1" applyFont="1" applyFill="1" applyAlignment="1" applyProtection="1">
      <alignment horizontal="left" indent="1"/>
      <protection hidden="1"/>
    </xf>
    <xf numFmtId="0" fontId="5" fillId="7" borderId="4" xfId="0" applyFont="1" applyFill="1" applyBorder="1" applyAlignment="1" applyProtection="1">
      <alignment horizontal="left" vertical="center" indent="1"/>
      <protection hidden="1"/>
    </xf>
    <xf numFmtId="0" fontId="41" fillId="0" borderId="0" xfId="0" applyFont="1" applyAlignment="1" applyProtection="1">
      <alignment horizontal="center" vertical="center"/>
      <protection hidden="1"/>
    </xf>
    <xf numFmtId="0" fontId="31" fillId="7" borderId="7" xfId="0" applyFont="1" applyFill="1" applyBorder="1" applyAlignment="1" applyProtection="1">
      <alignment horizontal="left" vertical="center" indent="1"/>
      <protection hidden="1"/>
    </xf>
    <xf numFmtId="171" fontId="5" fillId="7" borderId="0" xfId="0" applyNumberFormat="1" applyFont="1" applyFill="1" applyBorder="1" applyAlignment="1" applyProtection="1">
      <alignment vertical="center"/>
      <protection hidden="1"/>
    </xf>
    <xf numFmtId="0" fontId="5" fillId="7" borderId="7" xfId="0" applyFont="1" applyFill="1" applyBorder="1" applyAlignment="1">
      <alignment vertical="center" wrapText="1"/>
    </xf>
    <xf numFmtId="0" fontId="5" fillId="7" borderId="0" xfId="0" applyFont="1" applyFill="1" applyBorder="1" applyAlignment="1">
      <alignment vertical="center" wrapText="1"/>
    </xf>
    <xf numFmtId="0" fontId="5" fillId="7" borderId="0" xfId="0" applyFont="1" applyFill="1" applyBorder="1" applyAlignment="1">
      <alignment vertical="center"/>
    </xf>
    <xf numFmtId="0" fontId="5" fillId="7" borderId="0" xfId="0" applyFont="1" applyFill="1" applyBorder="1" applyAlignment="1">
      <alignment horizontal="center" vertical="center"/>
    </xf>
    <xf numFmtId="0" fontId="5" fillId="7" borderId="0" xfId="0" applyFont="1" applyFill="1" applyBorder="1" applyAlignment="1" applyProtection="1">
      <alignment horizontal="center" vertical="center"/>
      <protection hidden="1"/>
    </xf>
    <xf numFmtId="0" fontId="31" fillId="7" borderId="0" xfId="0" applyFont="1" applyFill="1" applyBorder="1" applyAlignment="1" applyProtection="1">
      <alignment vertical="center"/>
      <protection hidden="1"/>
    </xf>
    <xf numFmtId="0" fontId="31" fillId="7" borderId="4" xfId="0" applyFont="1" applyFill="1" applyBorder="1" applyAlignment="1" applyProtection="1">
      <alignment vertical="center"/>
      <protection hidden="1"/>
    </xf>
    <xf numFmtId="0" fontId="5" fillId="7" borderId="4" xfId="0" applyFont="1" applyFill="1" applyBorder="1" applyAlignment="1">
      <alignment vertical="center"/>
    </xf>
    <xf numFmtId="0" fontId="5" fillId="0" borderId="12" xfId="0" applyFont="1" applyBorder="1" applyAlignment="1">
      <alignment vertical="center"/>
    </xf>
    <xf numFmtId="0" fontId="5" fillId="0" borderId="9" xfId="0" applyFont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7" borderId="7" xfId="0" applyFont="1" applyFill="1" applyBorder="1" applyAlignment="1">
      <alignment horizontal="left" vertical="center" indent="1"/>
    </xf>
    <xf numFmtId="0" fontId="24" fillId="7" borderId="7" xfId="0" applyFont="1" applyFill="1" applyBorder="1" applyAlignment="1" applyProtection="1">
      <alignment horizontal="left" vertical="center" indent="1"/>
      <protection hidden="1"/>
    </xf>
    <xf numFmtId="14" fontId="35" fillId="0" borderId="0" xfId="0" applyNumberFormat="1" applyFont="1"/>
    <xf numFmtId="0" fontId="35" fillId="5" borderId="0" xfId="0" applyFont="1" applyFill="1"/>
    <xf numFmtId="14" fontId="35" fillId="5" borderId="0" xfId="0" applyNumberFormat="1" applyFont="1" applyFill="1"/>
    <xf numFmtId="0" fontId="35" fillId="5" borderId="0" xfId="0" applyNumberFormat="1" applyFont="1" applyFill="1"/>
    <xf numFmtId="175" fontId="35" fillId="5" borderId="0" xfId="0" applyNumberFormat="1" applyFont="1" applyFill="1"/>
    <xf numFmtId="0" fontId="35" fillId="0" borderId="0" xfId="0" applyFont="1" applyFill="1"/>
    <xf numFmtId="169" fontId="35" fillId="0" borderId="0" xfId="0" applyNumberFormat="1" applyFont="1" applyFill="1" applyAlignment="1" applyProtection="1">
      <alignment vertical="center"/>
      <protection hidden="1"/>
    </xf>
    <xf numFmtId="167" fontId="35" fillId="0" borderId="0" xfId="0" applyNumberFormat="1" applyFont="1" applyFill="1" applyAlignment="1" applyProtection="1">
      <alignment vertical="center"/>
      <protection hidden="1"/>
    </xf>
    <xf numFmtId="166" fontId="35" fillId="0" borderId="0" xfId="0" applyNumberFormat="1" applyFont="1" applyFill="1" applyAlignment="1" applyProtection="1">
      <alignment vertical="center"/>
      <protection hidden="1"/>
    </xf>
    <xf numFmtId="0" fontId="27" fillId="0" borderId="0" xfId="0" applyFont="1" applyBorder="1" applyAlignment="1" applyProtection="1">
      <protection hidden="1"/>
    </xf>
    <xf numFmtId="164" fontId="0" fillId="0" borderId="0" xfId="0" applyNumberFormat="1" applyAlignment="1" applyProtection="1">
      <alignment horizontal="center" vertical="center"/>
      <protection locked="0" hidden="1"/>
    </xf>
    <xf numFmtId="0" fontId="35" fillId="5" borderId="4" xfId="0" applyNumberFormat="1" applyFont="1" applyFill="1" applyBorder="1" applyAlignment="1" applyProtection="1">
      <alignment vertical="center"/>
      <protection hidden="1"/>
    </xf>
    <xf numFmtId="0" fontId="38" fillId="0" borderId="4" xfId="0" applyFont="1" applyFill="1" applyBorder="1" applyAlignment="1" applyProtection="1">
      <alignment vertical="center"/>
      <protection hidden="1"/>
    </xf>
    <xf numFmtId="0" fontId="44" fillId="0" borderId="0" xfId="0" applyFont="1"/>
    <xf numFmtId="0" fontId="5" fillId="0" borderId="0" xfId="0" applyFont="1" applyAlignment="1" applyProtection="1">
      <alignment vertical="center"/>
      <protection hidden="1"/>
    </xf>
    <xf numFmtId="0" fontId="54" fillId="0" borderId="7" xfId="0" applyFont="1" applyFill="1" applyBorder="1" applyAlignment="1" applyProtection="1">
      <alignment horizontal="left" vertical="center"/>
      <protection hidden="1"/>
    </xf>
    <xf numFmtId="0" fontId="54" fillId="0" borderId="0" xfId="0" applyFont="1" applyFill="1" applyBorder="1" applyAlignment="1" applyProtection="1">
      <alignment horizontal="left" vertical="center"/>
      <protection hidden="1"/>
    </xf>
    <xf numFmtId="0" fontId="54" fillId="0" borderId="4" xfId="0" applyFont="1" applyFill="1" applyBorder="1" applyAlignment="1" applyProtection="1">
      <alignment horizontal="left" vertical="center"/>
      <protection hidden="1"/>
    </xf>
    <xf numFmtId="0" fontId="5" fillId="0" borderId="0" xfId="0" applyFont="1" applyFill="1" applyBorder="1" applyAlignment="1" applyProtection="1">
      <alignment horizontal="center" vertical="center"/>
      <protection hidden="1"/>
    </xf>
    <xf numFmtId="171" fontId="5" fillId="6" borderId="6" xfId="0" applyNumberFormat="1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 applyProtection="1">
      <alignment horizontal="center" vertical="center"/>
      <protection hidden="1"/>
    </xf>
    <xf numFmtId="0" fontId="4" fillId="0" borderId="14" xfId="0" applyFont="1" applyFill="1" applyBorder="1" applyAlignment="1" applyProtection="1">
      <alignment horizontal="center" vertical="center"/>
      <protection hidden="1"/>
    </xf>
    <xf numFmtId="0" fontId="54" fillId="0" borderId="0" xfId="0" applyFont="1" applyFill="1" applyBorder="1" applyAlignment="1" applyProtection="1">
      <alignment vertical="center"/>
      <protection hidden="1"/>
    </xf>
    <xf numFmtId="0" fontId="4" fillId="0" borderId="7" xfId="0" applyFont="1" applyFill="1" applyBorder="1" applyAlignment="1" applyProtection="1">
      <alignment horizontal="center" vertical="center"/>
      <protection hidden="1"/>
    </xf>
    <xf numFmtId="0" fontId="4" fillId="3" borderId="33" xfId="0" applyFont="1" applyFill="1" applyBorder="1" applyAlignment="1" applyProtection="1">
      <alignment horizontal="center" vertical="center"/>
      <protection hidden="1"/>
    </xf>
    <xf numFmtId="0" fontId="4" fillId="0" borderId="7" xfId="0" applyFont="1" applyFill="1" applyBorder="1" applyAlignment="1" applyProtection="1">
      <alignment horizontal="left" vertical="center"/>
      <protection hidden="1"/>
    </xf>
    <xf numFmtId="0" fontId="4" fillId="0" borderId="0" xfId="0" applyFont="1" applyFill="1" applyBorder="1" applyAlignment="1" applyProtection="1">
      <alignment horizontal="left" vertical="center"/>
      <protection hidden="1"/>
    </xf>
    <xf numFmtId="0" fontId="56" fillId="0" borderId="14" xfId="0" applyFont="1" applyFill="1" applyBorder="1" applyAlignment="1" applyProtection="1">
      <alignment vertical="center" wrapText="1"/>
      <protection hidden="1"/>
    </xf>
    <xf numFmtId="0" fontId="0" fillId="0" borderId="15" xfId="0" applyFill="1" applyBorder="1" applyAlignment="1" applyProtection="1">
      <alignment vertical="center"/>
      <protection hidden="1"/>
    </xf>
    <xf numFmtId="0" fontId="56" fillId="0" borderId="0" xfId="0" applyFont="1" applyFill="1" applyBorder="1" applyAlignment="1" applyProtection="1">
      <alignment vertical="center" wrapText="1"/>
      <protection hidden="1"/>
    </xf>
    <xf numFmtId="0" fontId="57" fillId="0" borderId="4" xfId="0" applyFont="1" applyFill="1" applyBorder="1" applyAlignment="1" applyProtection="1">
      <alignment horizontal="center" vertical="center"/>
      <protection hidden="1"/>
    </xf>
    <xf numFmtId="0" fontId="4" fillId="0" borderId="16" xfId="0" applyFont="1" applyFill="1" applyBorder="1" applyAlignment="1" applyProtection="1">
      <alignment horizontal="center" vertical="center"/>
      <protection hidden="1"/>
    </xf>
    <xf numFmtId="1" fontId="7" fillId="6" borderId="6" xfId="0" applyNumberFormat="1" applyFont="1" applyFill="1" applyBorder="1" applyAlignment="1" applyProtection="1">
      <alignment horizontal="center" vertical="center"/>
      <protection hidden="1"/>
    </xf>
    <xf numFmtId="167" fontId="5" fillId="3" borderId="6" xfId="0" applyNumberFormat="1" applyFont="1" applyFill="1" applyBorder="1" applyAlignment="1" applyProtection="1">
      <alignment horizontal="center" vertical="center"/>
      <protection hidden="1"/>
    </xf>
    <xf numFmtId="168" fontId="5" fillId="3" borderId="6" xfId="0" applyNumberFormat="1" applyFont="1" applyFill="1" applyBorder="1" applyAlignment="1" applyProtection="1">
      <alignment horizontal="center" vertical="center"/>
      <protection hidden="1"/>
    </xf>
    <xf numFmtId="0" fontId="4" fillId="0" borderId="17" xfId="0" applyFont="1" applyFill="1" applyBorder="1" applyAlignment="1" applyProtection="1">
      <alignment horizontal="right" vertical="center"/>
      <protection hidden="1"/>
    </xf>
    <xf numFmtId="168" fontId="5" fillId="3" borderId="8" xfId="0" applyNumberFormat="1" applyFont="1" applyFill="1" applyBorder="1" applyAlignment="1" applyProtection="1">
      <alignment horizontal="center" vertical="center"/>
      <protection hidden="1"/>
    </xf>
    <xf numFmtId="0" fontId="4" fillId="0" borderId="13" xfId="0" applyFont="1" applyFill="1" applyBorder="1" applyAlignment="1" applyProtection="1">
      <alignment horizontal="center" vertical="center"/>
      <protection hidden="1"/>
    </xf>
    <xf numFmtId="167" fontId="5" fillId="0" borderId="13" xfId="0" applyNumberFormat="1" applyFont="1" applyFill="1" applyBorder="1" applyAlignment="1" applyProtection="1">
      <alignment horizontal="center" vertical="center"/>
      <protection hidden="1"/>
    </xf>
    <xf numFmtId="168" fontId="5" fillId="0" borderId="13" xfId="0" applyNumberFormat="1" applyFont="1" applyFill="1" applyBorder="1" applyAlignment="1" applyProtection="1">
      <alignment horizontal="center" vertical="center"/>
      <protection hidden="1"/>
    </xf>
    <xf numFmtId="168" fontId="5" fillId="0" borderId="34" xfId="0" applyNumberFormat="1" applyFont="1" applyFill="1" applyBorder="1" applyAlignment="1" applyProtection="1">
      <alignment horizontal="center" vertical="center"/>
      <protection hidden="1"/>
    </xf>
    <xf numFmtId="0" fontId="7" fillId="3" borderId="21" xfId="0" applyFont="1" applyFill="1" applyBorder="1" applyAlignment="1" applyProtection="1">
      <alignment horizontal="center" vertical="center"/>
      <protection hidden="1"/>
    </xf>
    <xf numFmtId="0" fontId="4" fillId="0" borderId="18" xfId="0" applyFont="1" applyFill="1" applyBorder="1" applyAlignment="1" applyProtection="1">
      <alignment horizontal="center" vertical="center"/>
      <protection hidden="1"/>
    </xf>
    <xf numFmtId="167" fontId="5" fillId="0" borderId="0" xfId="0" applyNumberFormat="1" applyFont="1" applyFill="1" applyBorder="1" applyAlignment="1" applyProtection="1">
      <alignment horizontal="left" vertical="center"/>
      <protection hidden="1"/>
    </xf>
    <xf numFmtId="0" fontId="5" fillId="0" borderId="0" xfId="0" applyFont="1" applyFill="1" applyBorder="1" applyAlignment="1" applyProtection="1">
      <alignment horizontal="left" vertical="center"/>
      <protection hidden="1"/>
    </xf>
    <xf numFmtId="167" fontId="5" fillId="0" borderId="0" xfId="0" applyNumberFormat="1" applyFont="1" applyFill="1" applyBorder="1" applyAlignment="1" applyProtection="1">
      <alignment horizontal="center" vertical="center"/>
      <protection hidden="1"/>
    </xf>
    <xf numFmtId="0" fontId="5" fillId="0" borderId="4" xfId="0" applyFont="1" applyFill="1" applyBorder="1" applyAlignment="1" applyProtection="1">
      <alignment vertical="center"/>
      <protection hidden="1"/>
    </xf>
    <xf numFmtId="168" fontId="5" fillId="0" borderId="15" xfId="0" applyNumberFormat="1" applyFont="1" applyFill="1" applyBorder="1" applyAlignment="1" applyProtection="1">
      <alignment horizontal="center" vertical="center"/>
      <protection hidden="1"/>
    </xf>
    <xf numFmtId="0" fontId="7" fillId="3" borderId="6" xfId="0" applyFont="1" applyFill="1" applyBorder="1" applyAlignment="1" applyProtection="1">
      <alignment horizontal="center" vertical="center"/>
      <protection hidden="1"/>
    </xf>
    <xf numFmtId="0" fontId="0" fillId="0" borderId="12" xfId="0" applyFill="1" applyBorder="1" applyAlignment="1" applyProtection="1">
      <alignment vertical="center"/>
      <protection hidden="1"/>
    </xf>
    <xf numFmtId="0" fontId="4" fillId="0" borderId="35" xfId="0" applyFont="1" applyFill="1" applyBorder="1" applyAlignment="1" applyProtection="1">
      <alignment horizontal="left" vertical="center"/>
      <protection hidden="1"/>
    </xf>
    <xf numFmtId="0" fontId="4" fillId="0" borderId="9" xfId="0" applyFont="1" applyFill="1" applyBorder="1" applyAlignment="1" applyProtection="1">
      <alignment horizontal="left" vertical="center"/>
      <protection hidden="1"/>
    </xf>
    <xf numFmtId="167" fontId="4" fillId="0" borderId="9" xfId="0" applyNumberFormat="1" applyFont="1" applyFill="1" applyBorder="1" applyAlignment="1" applyProtection="1">
      <alignment horizontal="center" vertical="center"/>
      <protection hidden="1"/>
    </xf>
    <xf numFmtId="0" fontId="4" fillId="0" borderId="5" xfId="0" applyFont="1" applyFill="1" applyBorder="1" applyAlignment="1" applyProtection="1">
      <alignment vertical="center"/>
      <protection hidden="1"/>
    </xf>
    <xf numFmtId="0" fontId="0" fillId="0" borderId="2" xfId="0" applyFill="1" applyBorder="1" applyAlignment="1" applyProtection="1">
      <alignment vertical="center"/>
      <protection hidden="1"/>
    </xf>
    <xf numFmtId="0" fontId="4" fillId="0" borderId="2" xfId="0" applyFont="1" applyFill="1" applyBorder="1" applyAlignment="1" applyProtection="1">
      <alignment horizontal="left" vertical="center"/>
      <protection hidden="1"/>
    </xf>
    <xf numFmtId="167" fontId="4" fillId="0" borderId="2" xfId="0" applyNumberFormat="1" applyFont="1" applyFill="1" applyBorder="1" applyAlignment="1" applyProtection="1">
      <alignment horizontal="center" vertical="center"/>
      <protection hidden="1"/>
    </xf>
    <xf numFmtId="0" fontId="4" fillId="0" borderId="2" xfId="0" applyFont="1" applyFill="1" applyBorder="1" applyAlignment="1" applyProtection="1">
      <alignment vertical="center"/>
      <protection hidden="1"/>
    </xf>
    <xf numFmtId="0" fontId="59" fillId="0" borderId="4" xfId="0" applyFont="1" applyFill="1" applyBorder="1" applyAlignment="1" applyProtection="1">
      <alignment horizontal="left" vertical="center"/>
      <protection hidden="1"/>
    </xf>
    <xf numFmtId="0" fontId="4" fillId="13" borderId="29" xfId="0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1" fillId="0" borderId="7" xfId="0" applyFont="1" applyBorder="1" applyAlignment="1" applyProtection="1">
      <alignment horizontal="right" vertical="center" indent="1"/>
      <protection hidden="1"/>
    </xf>
    <xf numFmtId="0" fontId="1" fillId="0" borderId="0" xfId="0" applyFont="1" applyBorder="1" applyAlignment="1" applyProtection="1">
      <alignment horizontal="right" vertical="center" indent="1"/>
      <protection hidden="1"/>
    </xf>
    <xf numFmtId="0" fontId="1" fillId="0" borderId="10" xfId="0" applyFont="1" applyBorder="1" applyAlignment="1" applyProtection="1">
      <alignment horizontal="right" vertical="center" indent="1"/>
      <protection hidden="1"/>
    </xf>
    <xf numFmtId="0" fontId="21" fillId="6" borderId="0" xfId="0" applyFont="1" applyFill="1" applyAlignment="1" applyProtection="1">
      <alignment horizontal="left" vertical="center"/>
      <protection hidden="1"/>
    </xf>
    <xf numFmtId="0" fontId="0" fillId="0" borderId="0" xfId="0" applyBorder="1" applyAlignment="1" applyProtection="1">
      <alignment horizontal="right" vertical="center" indent="1"/>
      <protection hidden="1"/>
    </xf>
    <xf numFmtId="0" fontId="44" fillId="6" borderId="0" xfId="0" applyFont="1" applyFill="1" applyAlignment="1" applyProtection="1">
      <alignment horizontal="center" vertical="center"/>
      <protection hidden="1"/>
    </xf>
    <xf numFmtId="0" fontId="42" fillId="12" borderId="0" xfId="0" applyFont="1" applyFill="1" applyAlignment="1" applyProtection="1">
      <alignment horizontal="left" vertical="center"/>
      <protection hidden="1"/>
    </xf>
    <xf numFmtId="0" fontId="1" fillId="0" borderId="7" xfId="0" applyFont="1" applyBorder="1" applyAlignment="1" applyProtection="1">
      <alignment horizontal="right" vertical="center"/>
      <protection hidden="1"/>
    </xf>
    <xf numFmtId="0" fontId="1" fillId="0" borderId="0" xfId="0" applyFont="1" applyBorder="1" applyAlignment="1" applyProtection="1">
      <alignment horizontal="right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3" fillId="8" borderId="1" xfId="0" applyFont="1" applyFill="1" applyBorder="1" applyAlignment="1" applyProtection="1">
      <alignment horizontal="left" vertical="center"/>
      <protection hidden="1"/>
    </xf>
    <xf numFmtId="0" fontId="3" fillId="8" borderId="2" xfId="0" applyFont="1" applyFill="1" applyBorder="1" applyAlignment="1" applyProtection="1">
      <alignment horizontal="left" vertical="center"/>
      <protection hidden="1"/>
    </xf>
    <xf numFmtId="0" fontId="43" fillId="12" borderId="0" xfId="0" applyFont="1" applyFill="1" applyAlignment="1" applyProtection="1">
      <alignment horizontal="left" vertical="center"/>
      <protection hidden="1"/>
    </xf>
    <xf numFmtId="0" fontId="0" fillId="0" borderId="0" xfId="0" applyBorder="1" applyAlignment="1" applyProtection="1">
      <alignment horizontal="center" vertical="center"/>
      <protection locked="0" hidden="1"/>
    </xf>
    <xf numFmtId="0" fontId="58" fillId="3" borderId="0" xfId="0" applyFont="1" applyFill="1" applyBorder="1" applyAlignment="1" applyProtection="1">
      <alignment horizontal="center" vertical="center"/>
      <protection hidden="1"/>
    </xf>
    <xf numFmtId="0" fontId="5" fillId="6" borderId="6" xfId="0" applyFont="1" applyFill="1" applyBorder="1" applyAlignment="1" applyProtection="1">
      <alignment horizontal="center" vertical="center"/>
      <protection hidden="1"/>
    </xf>
    <xf numFmtId="0" fontId="5" fillId="6" borderId="22" xfId="0" applyFont="1" applyFill="1" applyBorder="1" applyAlignment="1" applyProtection="1">
      <alignment horizontal="center" vertical="center"/>
      <protection hidden="1"/>
    </xf>
    <xf numFmtId="0" fontId="5" fillId="6" borderId="21" xfId="0" applyFont="1" applyFill="1" applyBorder="1" applyAlignment="1" applyProtection="1">
      <alignment horizontal="center" vertical="center"/>
      <protection hidden="1"/>
    </xf>
    <xf numFmtId="1" fontId="5" fillId="6" borderId="22" xfId="0" applyNumberFormat="1" applyFont="1" applyFill="1" applyBorder="1" applyAlignment="1" applyProtection="1">
      <alignment horizontal="center" vertical="center"/>
      <protection hidden="1"/>
    </xf>
    <xf numFmtId="1" fontId="5" fillId="6" borderId="13" xfId="0" applyNumberFormat="1" applyFont="1" applyFill="1" applyBorder="1" applyAlignment="1" applyProtection="1">
      <alignment horizontal="center" vertical="center"/>
      <protection hidden="1"/>
    </xf>
    <xf numFmtId="1" fontId="5" fillId="6" borderId="21" xfId="0" applyNumberFormat="1" applyFont="1" applyFill="1" applyBorder="1" applyAlignment="1" applyProtection="1">
      <alignment horizontal="center" vertical="center"/>
      <protection hidden="1"/>
    </xf>
    <xf numFmtId="0" fontId="4" fillId="0" borderId="28" xfId="0" applyFont="1" applyFill="1" applyBorder="1" applyAlignment="1" applyProtection="1">
      <alignment horizontal="center" vertical="center"/>
      <protection hidden="1"/>
    </xf>
    <xf numFmtId="0" fontId="4" fillId="0" borderId="29" xfId="0" applyFont="1" applyFill="1" applyBorder="1" applyAlignment="1" applyProtection="1">
      <alignment horizontal="center" vertical="center"/>
      <protection hidden="1"/>
    </xf>
    <xf numFmtId="0" fontId="4" fillId="0" borderId="31" xfId="0" applyFont="1" applyFill="1" applyBorder="1" applyAlignment="1" applyProtection="1">
      <alignment horizontal="center" vertical="center"/>
      <protection hidden="1"/>
    </xf>
    <xf numFmtId="172" fontId="4" fillId="3" borderId="31" xfId="0" applyNumberFormat="1" applyFont="1" applyFill="1" applyBorder="1" applyAlignment="1" applyProtection="1">
      <alignment horizontal="center" vertical="center"/>
      <protection hidden="1"/>
    </xf>
    <xf numFmtId="172" fontId="4" fillId="3" borderId="32" xfId="0" applyNumberFormat="1" applyFont="1" applyFill="1" applyBorder="1" applyAlignment="1" applyProtection="1">
      <alignment horizontal="center" vertical="center"/>
      <protection hidden="1"/>
    </xf>
    <xf numFmtId="0" fontId="4" fillId="13" borderId="28" xfId="0" applyFont="1" applyFill="1" applyBorder="1" applyAlignment="1" applyProtection="1">
      <alignment horizontal="center" vertical="center"/>
      <protection hidden="1"/>
    </xf>
    <xf numFmtId="0" fontId="4" fillId="13" borderId="29" xfId="0" applyFont="1" applyFill="1" applyBorder="1" applyAlignment="1" applyProtection="1">
      <alignment horizontal="center" vertical="center"/>
      <protection hidden="1"/>
    </xf>
    <xf numFmtId="0" fontId="4" fillId="13" borderId="30" xfId="0" applyFont="1" applyFill="1" applyBorder="1" applyAlignment="1" applyProtection="1">
      <alignment horizontal="center" vertical="center"/>
      <protection hidden="1"/>
    </xf>
    <xf numFmtId="165" fontId="23" fillId="0" borderId="7" xfId="0" applyNumberFormat="1" applyFont="1" applyFill="1" applyBorder="1" applyAlignment="1" applyProtection="1">
      <alignment horizontal="right" vertical="center"/>
      <protection hidden="1"/>
    </xf>
    <xf numFmtId="165" fontId="23" fillId="0" borderId="0" xfId="0" applyNumberFormat="1" applyFont="1" applyFill="1" applyBorder="1" applyAlignment="1" applyProtection="1">
      <alignment horizontal="right" vertical="center"/>
      <protection hidden="1"/>
    </xf>
    <xf numFmtId="0" fontId="18" fillId="6" borderId="0" xfId="0" applyFont="1" applyFill="1" applyBorder="1" applyAlignment="1" applyProtection="1">
      <alignment horizontal="center" vertical="center"/>
      <protection hidden="1"/>
    </xf>
    <xf numFmtId="0" fontId="3" fillId="0" borderId="7" xfId="0" applyFont="1" applyBorder="1" applyAlignment="1" applyProtection="1">
      <alignment horizontal="center" vertical="center"/>
      <protection hidden="1"/>
    </xf>
    <xf numFmtId="0" fontId="3" fillId="0" borderId="0" xfId="0" applyFont="1" applyBorder="1" applyAlignment="1" applyProtection="1">
      <alignment horizontal="center" vertical="center"/>
      <protection hidden="1"/>
    </xf>
    <xf numFmtId="22" fontId="3" fillId="0" borderId="0" xfId="0" applyNumberFormat="1" applyFont="1" applyBorder="1" applyAlignment="1" applyProtection="1">
      <alignment horizontal="right" vertical="center"/>
      <protection hidden="1"/>
    </xf>
    <xf numFmtId="0" fontId="37" fillId="3" borderId="0" xfId="0" applyFont="1" applyFill="1" applyBorder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 vertical="center"/>
      <protection locked="0" hidden="1"/>
    </xf>
    <xf numFmtId="0" fontId="45" fillId="4" borderId="0" xfId="0" applyFont="1" applyFill="1" applyBorder="1" applyAlignment="1" applyProtection="1">
      <alignment horizontal="center" vertical="center"/>
      <protection hidden="1"/>
    </xf>
    <xf numFmtId="0" fontId="35" fillId="0" borderId="0" xfId="0" applyFont="1" applyBorder="1" applyAlignment="1" applyProtection="1">
      <alignment horizontal="center" vertical="center"/>
      <protection hidden="1"/>
    </xf>
    <xf numFmtId="172" fontId="3" fillId="0" borderId="0" xfId="0" applyNumberFormat="1" applyFont="1" applyBorder="1" applyAlignment="1" applyProtection="1">
      <alignment horizontal="center" vertical="center"/>
      <protection hidden="1"/>
    </xf>
    <xf numFmtId="0" fontId="46" fillId="0" borderId="0" xfId="0" applyFont="1" applyBorder="1" applyAlignment="1" applyProtection="1">
      <alignment horizontal="right" vertical="center"/>
      <protection hidden="1"/>
    </xf>
    <xf numFmtId="0" fontId="45" fillId="8" borderId="0" xfId="0" applyFont="1" applyFill="1" applyAlignment="1" applyProtection="1">
      <alignment horizontal="center" vertical="center"/>
      <protection hidden="1"/>
    </xf>
    <xf numFmtId="0" fontId="7" fillId="0" borderId="7" xfId="0" applyFont="1" applyBorder="1" applyAlignment="1" applyProtection="1">
      <alignment horizontal="center" vertical="center"/>
      <protection hidden="1"/>
    </xf>
    <xf numFmtId="0" fontId="7" fillId="0" borderId="0" xfId="0" applyFont="1" applyBorder="1" applyAlignment="1" applyProtection="1">
      <alignment horizontal="center" vertical="center"/>
      <protection hidden="1"/>
    </xf>
    <xf numFmtId="0" fontId="7" fillId="0" borderId="4" xfId="0" applyFont="1" applyBorder="1" applyAlignment="1" applyProtection="1">
      <alignment horizontal="center" vertical="center"/>
      <protection hidden="1"/>
    </xf>
    <xf numFmtId="0" fontId="45" fillId="2" borderId="0" xfId="0" applyFont="1" applyFill="1" applyBorder="1" applyAlignment="1" applyProtection="1">
      <alignment horizontal="center" vertical="center"/>
      <protection hidden="1"/>
    </xf>
    <xf numFmtId="0" fontId="39" fillId="0" borderId="0" xfId="0" applyFont="1" applyBorder="1" applyAlignment="1" applyProtection="1">
      <alignment horizontal="center" vertical="center"/>
      <protection locked="0" hidden="1"/>
    </xf>
    <xf numFmtId="0" fontId="4" fillId="14" borderId="23" xfId="0" applyFont="1" applyFill="1" applyBorder="1" applyAlignment="1" applyProtection="1">
      <alignment horizontal="left" vertical="center"/>
      <protection hidden="1"/>
    </xf>
    <xf numFmtId="0" fontId="4" fillId="14" borderId="24" xfId="0" applyFont="1" applyFill="1" applyBorder="1" applyAlignment="1" applyProtection="1">
      <alignment horizontal="left" vertical="center"/>
      <protection hidden="1"/>
    </xf>
    <xf numFmtId="0" fontId="4" fillId="14" borderId="25" xfId="0" applyFont="1" applyFill="1" applyBorder="1" applyAlignment="1" applyProtection="1">
      <alignment horizontal="left" vertical="center"/>
      <protection hidden="1"/>
    </xf>
    <xf numFmtId="0" fontId="23" fillId="0" borderId="7" xfId="0" applyFont="1" applyFill="1" applyBorder="1" applyAlignment="1" applyProtection="1">
      <alignment horizontal="right" vertical="center"/>
      <protection hidden="1"/>
    </xf>
    <xf numFmtId="0" fontId="23" fillId="0" borderId="0" xfId="0" applyFont="1" applyFill="1" applyBorder="1" applyAlignment="1" applyProtection="1">
      <alignment horizontal="right" vertical="center"/>
      <protection hidden="1"/>
    </xf>
    <xf numFmtId="0" fontId="23" fillId="0" borderId="7" xfId="0" applyFont="1" applyBorder="1" applyAlignment="1" applyProtection="1">
      <alignment horizontal="center" vertical="center"/>
      <protection hidden="1"/>
    </xf>
    <xf numFmtId="0" fontId="23" fillId="0" borderId="0" xfId="0" applyFont="1" applyBorder="1" applyAlignment="1" applyProtection="1">
      <alignment horizontal="center" vertical="center"/>
      <protection hidden="1"/>
    </xf>
    <xf numFmtId="171" fontId="0" fillId="0" borderId="0" xfId="0" applyNumberFormat="1" applyAlignment="1" applyProtection="1">
      <alignment horizontal="center" vertical="center"/>
      <protection locked="0" hidden="1"/>
    </xf>
    <xf numFmtId="0" fontId="1" fillId="0" borderId="0" xfId="0" applyFont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locked="0" hidden="1"/>
    </xf>
    <xf numFmtId="0" fontId="12" fillId="0" borderId="0" xfId="0" applyFont="1" applyFill="1" applyBorder="1" applyAlignment="1" applyProtection="1">
      <alignment horizontal="center" vertical="center"/>
      <protection locked="0" hidden="1"/>
    </xf>
    <xf numFmtId="0" fontId="10" fillId="0" borderId="0" xfId="0" applyFont="1" applyFill="1" applyBorder="1" applyAlignment="1" applyProtection="1">
      <alignment horizontal="center" vertical="center"/>
      <protection hidden="1"/>
    </xf>
    <xf numFmtId="0" fontId="23" fillId="0" borderId="7" xfId="0" applyFont="1" applyBorder="1" applyAlignment="1" applyProtection="1">
      <alignment horizontal="right" vertical="center"/>
      <protection hidden="1"/>
    </xf>
    <xf numFmtId="0" fontId="23" fillId="0" borderId="0" xfId="0" applyFont="1" applyBorder="1" applyAlignment="1" applyProtection="1">
      <alignment horizontal="right" vertical="center"/>
      <protection hidden="1"/>
    </xf>
    <xf numFmtId="0" fontId="27" fillId="0" borderId="0" xfId="0" applyFont="1" applyBorder="1" applyAlignment="1" applyProtection="1">
      <alignment horizontal="right"/>
      <protection hidden="1"/>
    </xf>
    <xf numFmtId="0" fontId="23" fillId="0" borderId="0" xfId="0" applyFont="1" applyFill="1" applyBorder="1" applyAlignment="1" applyProtection="1">
      <alignment horizontal="center" vertical="center"/>
      <protection hidden="1"/>
    </xf>
    <xf numFmtId="169" fontId="5" fillId="0" borderId="0" xfId="0" applyNumberFormat="1" applyFont="1" applyFill="1" applyAlignment="1">
      <alignment horizontal="center"/>
    </xf>
    <xf numFmtId="0" fontId="24" fillId="0" borderId="17" xfId="0" applyFont="1" applyFill="1" applyBorder="1" applyAlignment="1">
      <alignment horizontal="center"/>
    </xf>
    <xf numFmtId="0" fontId="24" fillId="0" borderId="0" xfId="0" applyFont="1" applyFill="1" applyBorder="1" applyAlignment="1">
      <alignment horizontal="center"/>
    </xf>
    <xf numFmtId="0" fontId="24" fillId="0" borderId="10" xfId="0" applyFont="1" applyFill="1" applyBorder="1" applyAlignment="1">
      <alignment horizontal="center"/>
    </xf>
    <xf numFmtId="0" fontId="5" fillId="0" borderId="17" xfId="0" applyFont="1" applyBorder="1" applyAlignment="1">
      <alignment horizontal="right" vertical="center"/>
    </xf>
    <xf numFmtId="0" fontId="5" fillId="0" borderId="10" xfId="0" applyFont="1" applyBorder="1" applyAlignment="1">
      <alignment horizontal="right" vertical="center"/>
    </xf>
    <xf numFmtId="0" fontId="5" fillId="0" borderId="7" xfId="0" applyFont="1" applyBorder="1" applyAlignment="1">
      <alignment horizontal="right" vertical="center"/>
    </xf>
    <xf numFmtId="0" fontId="5" fillId="0" borderId="0" xfId="0" applyFont="1" applyBorder="1" applyAlignment="1">
      <alignment horizontal="right" vertical="center"/>
    </xf>
    <xf numFmtId="0" fontId="5" fillId="0" borderId="26" xfId="0" applyFont="1" applyBorder="1" applyAlignment="1">
      <alignment horizontal="right" vertical="center"/>
    </xf>
    <xf numFmtId="0" fontId="49" fillId="11" borderId="0" xfId="0" applyFont="1" applyFill="1" applyBorder="1" applyAlignment="1">
      <alignment horizontal="center"/>
    </xf>
    <xf numFmtId="0" fontId="49" fillId="8" borderId="0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7" fillId="0" borderId="4" xfId="0" applyFont="1" applyFill="1" applyBorder="1" applyAlignment="1">
      <alignment horizontal="center"/>
    </xf>
    <xf numFmtId="1" fontId="5" fillId="3" borderId="6" xfId="0" applyNumberFormat="1" applyFont="1" applyFill="1" applyBorder="1" applyAlignment="1">
      <alignment horizontal="center" vertical="center"/>
    </xf>
    <xf numFmtId="1" fontId="5" fillId="3" borderId="8" xfId="0" applyNumberFormat="1" applyFont="1" applyFill="1" applyBorder="1" applyAlignment="1">
      <alignment horizontal="center" vertical="center"/>
    </xf>
    <xf numFmtId="0" fontId="31" fillId="7" borderId="7" xfId="0" applyFont="1" applyFill="1" applyBorder="1" applyAlignment="1" applyProtection="1">
      <alignment horizontal="left" vertical="center" indent="1"/>
      <protection hidden="1"/>
    </xf>
    <xf numFmtId="0" fontId="31" fillId="7" borderId="0" xfId="0" applyFont="1" applyFill="1" applyBorder="1" applyAlignment="1" applyProtection="1">
      <alignment horizontal="left" vertical="center" indent="1"/>
      <protection hidden="1"/>
    </xf>
    <xf numFmtId="0" fontId="31" fillId="7" borderId="4" xfId="0" applyFont="1" applyFill="1" applyBorder="1" applyAlignment="1" applyProtection="1">
      <alignment horizontal="left" vertical="center" indent="1"/>
      <protection hidden="1"/>
    </xf>
    <xf numFmtId="0" fontId="8" fillId="8" borderId="23" xfId="0" applyFont="1" applyFill="1" applyBorder="1" applyAlignment="1" applyProtection="1">
      <alignment vertical="center"/>
      <protection hidden="1"/>
    </xf>
    <xf numFmtId="0" fontId="8" fillId="8" borderId="24" xfId="0" applyFont="1" applyFill="1" applyBorder="1" applyAlignment="1" applyProtection="1">
      <alignment vertical="center"/>
      <protection hidden="1"/>
    </xf>
    <xf numFmtId="1" fontId="7" fillId="6" borderId="22" xfId="0" applyNumberFormat="1" applyFont="1" applyFill="1" applyBorder="1" applyAlignment="1">
      <alignment horizontal="center" vertical="center"/>
    </xf>
    <xf numFmtId="1" fontId="7" fillId="6" borderId="21" xfId="0" applyNumberFormat="1" applyFont="1" applyFill="1" applyBorder="1" applyAlignment="1">
      <alignment horizontal="center" vertical="center"/>
    </xf>
    <xf numFmtId="1" fontId="5" fillId="0" borderId="17" xfId="0" applyNumberFormat="1" applyFont="1" applyFill="1" applyBorder="1" applyAlignment="1">
      <alignment horizontal="right" vertical="center"/>
    </xf>
    <xf numFmtId="1" fontId="5" fillId="0" borderId="10" xfId="0" applyNumberFormat="1" applyFont="1" applyFill="1" applyBorder="1" applyAlignment="1">
      <alignment horizontal="right" vertical="center"/>
    </xf>
    <xf numFmtId="0" fontId="5" fillId="0" borderId="0" xfId="0" applyFont="1" applyFill="1" applyBorder="1" applyAlignment="1">
      <alignment horizontal="right" vertical="center"/>
    </xf>
    <xf numFmtId="0" fontId="18" fillId="0" borderId="2" xfId="0" applyFont="1" applyFill="1" applyBorder="1" applyAlignment="1">
      <alignment horizontal="center"/>
    </xf>
    <xf numFmtId="0" fontId="53" fillId="8" borderId="24" xfId="0" applyFont="1" applyFill="1" applyBorder="1" applyAlignment="1" applyProtection="1">
      <alignment horizontal="center" vertical="center"/>
      <protection hidden="1"/>
    </xf>
    <xf numFmtId="0" fontId="53" fillId="8" borderId="25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>
      <alignment horizontal="center" vertical="center"/>
    </xf>
    <xf numFmtId="164" fontId="5" fillId="15" borderId="27" xfId="0" applyNumberFormat="1" applyFont="1" applyFill="1" applyBorder="1" applyAlignment="1" applyProtection="1">
      <alignment horizontal="center" vertical="center"/>
      <protection locked="0" hidden="1"/>
    </xf>
    <xf numFmtId="164" fontId="5" fillId="15" borderId="0" xfId="0" applyNumberFormat="1" applyFont="1" applyFill="1" applyBorder="1" applyAlignment="1" applyProtection="1">
      <alignment horizontal="center" vertical="center"/>
      <protection locked="0" hidden="1"/>
    </xf>
    <xf numFmtId="0" fontId="47" fillId="8" borderId="0" xfId="0" applyFont="1" applyFill="1" applyBorder="1" applyAlignment="1">
      <alignment horizontal="center" vertical="center"/>
    </xf>
    <xf numFmtId="164" fontId="5" fillId="5" borderId="22" xfId="0" applyNumberFormat="1" applyFont="1" applyFill="1" applyBorder="1" applyAlignment="1" applyProtection="1">
      <alignment horizontal="center" vertical="center"/>
      <protection hidden="1"/>
    </xf>
    <xf numFmtId="164" fontId="5" fillId="5" borderId="21" xfId="0" applyNumberFormat="1" applyFont="1" applyFill="1" applyBorder="1" applyAlignment="1" applyProtection="1">
      <alignment horizontal="center" vertical="center"/>
      <protection hidden="1"/>
    </xf>
    <xf numFmtId="0" fontId="48" fillId="11" borderId="0" xfId="0" applyFont="1" applyFill="1" applyBorder="1" applyAlignment="1">
      <alignment horizontal="center" vertical="center"/>
    </xf>
    <xf numFmtId="0" fontId="50" fillId="13" borderId="0" xfId="2" applyFont="1" applyFill="1" applyAlignment="1">
      <alignment horizontal="center" vertical="center"/>
    </xf>
    <xf numFmtId="0" fontId="51" fillId="16" borderId="0" xfId="2" applyFont="1" applyFill="1" applyAlignment="1">
      <alignment horizontal="center" vertical="center"/>
    </xf>
    <xf numFmtId="0" fontId="52" fillId="17" borderId="0" xfId="2" applyFont="1" applyFill="1" applyAlignment="1">
      <alignment horizontal="center" vertical="center"/>
    </xf>
    <xf numFmtId="0" fontId="60" fillId="6" borderId="0" xfId="0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73">
    <dxf>
      <fill>
        <patternFill>
          <bgColor rgb="FFEAEAEA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rgb="FF9999FF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auto="1"/>
      </font>
    </dxf>
    <dxf>
      <font>
        <color auto="1"/>
      </font>
    </dxf>
    <dxf>
      <font>
        <color rgb="FFFF0000"/>
      </font>
    </dxf>
    <dxf>
      <fill>
        <patternFill>
          <bgColor rgb="FFCCCCFF"/>
        </patternFill>
      </fill>
    </dxf>
    <dxf>
      <fill>
        <patternFill>
          <bgColor theme="5" tint="0.79998168889431442"/>
        </patternFill>
      </fill>
    </dxf>
    <dxf>
      <font>
        <color rgb="FFFF0000"/>
      </font>
      <fill>
        <patternFill patternType="none">
          <bgColor indexed="65"/>
        </patternFill>
      </fill>
      <border>
        <left style="thin">
          <color rgb="FFFF0000"/>
        </left>
        <top style="thin">
          <color rgb="FFFF0000"/>
        </top>
        <bottom style="thin">
          <color rgb="FFFF0000"/>
        </bottom>
      </border>
    </dxf>
    <dxf>
      <fill>
        <patternFill>
          <bgColor rgb="FFCCCCFF"/>
        </patternFill>
      </fill>
    </dxf>
    <dxf>
      <fill>
        <patternFill>
          <bgColor theme="5" tint="0.79998168889431442"/>
        </patternFill>
      </fill>
    </dxf>
    <dxf>
      <font>
        <color rgb="FFFF0000"/>
      </font>
      <fill>
        <patternFill patternType="none">
          <bgColor indexed="65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theme="5" tint="0.79998168889431442"/>
        </patternFill>
      </fill>
      <border>
        <top style="thin">
          <color indexed="64"/>
        </top>
        <bottom style="thin">
          <color indexed="64"/>
        </bottom>
      </border>
    </dxf>
    <dxf>
      <fill>
        <patternFill>
          <bgColor rgb="FFCCFFFF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rgb="FFCCCCFF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rgb="FFCCFFFF"/>
        </patternFill>
      </fill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>
          <bgColor rgb="FFCCCCFF"/>
        </patternFill>
      </fill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>
          <bgColor theme="5" tint="0.79998168889431442"/>
        </patternFill>
      </fill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ont>
        <b/>
        <i val="0"/>
        <color rgb="FFFF0000"/>
      </font>
    </dxf>
    <dxf>
      <border>
        <left style="thin">
          <color indexed="64"/>
        </left>
        <top style="thin">
          <color indexed="64"/>
        </top>
      </border>
    </dxf>
    <dxf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</dxf>
    <dxf>
      <border>
        <left style="thin">
          <color rgb="FFFF0000"/>
        </lef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rgb="FFFF0000"/>
      </font>
    </dxf>
    <dxf>
      <font>
        <b/>
        <i val="0"/>
        <color theme="0"/>
      </font>
    </dxf>
    <dxf>
      <border>
        <left/>
        <right/>
        <top/>
        <bottom/>
      </border>
    </dxf>
    <dxf>
      <font>
        <color theme="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ill>
        <patternFill>
          <bgColor theme="3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  <color rgb="FFFF0000"/>
      </font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EAEAEA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E5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Lines="5" dropStyle="combo" dx="16" fmlaLink="$F$8" fmlaRange="$G$39:$G$43" noThreeD="1" val="0"/>
</file>

<file path=xl/ctrlProps/ctrlProp2.xml><?xml version="1.0" encoding="utf-8"?>
<formControlPr xmlns="http://schemas.microsoft.com/office/spreadsheetml/2009/9/main" objectType="Drop" dropLines="5" dropStyle="combo" dx="16" fmlaLink="$F$18" fmlaRange="$C$39:$D$43" noThreeD="1" val="0"/>
</file>

<file path=xl/ctrlProps/ctrlProp3.xml><?xml version="1.0" encoding="utf-8"?>
<formControlPr xmlns="http://schemas.microsoft.com/office/spreadsheetml/2009/9/main" objectType="Drop" dropLines="2" dropStyle="combo" dx="16" fmlaLink="$D$12" fmlaRange="$P$43:$P$44" noThreeD="1" val="0"/>
</file>

<file path=xl/ctrlProps/ctrlProp4.xml><?xml version="1.0" encoding="utf-8"?>
<formControlPr xmlns="http://schemas.microsoft.com/office/spreadsheetml/2009/9/main" objectType="Drop" dropLines="3" dropStyle="combo" dx="16" fmlaLink="$F$6" fmlaRange="$F$39:$F$41" noThreeD="1" val="0"/>
</file>

<file path=xl/ctrlProps/ctrlProp5.xml><?xml version="1.0" encoding="utf-8"?>
<formControlPr xmlns="http://schemas.microsoft.com/office/spreadsheetml/2009/9/main" objectType="Drop" dropLines="5" dropStyle="combo" dx="16" fmlaLink="$F$10" fmlaRange="$C$44:$C$48" noThreeD="1" val="0"/>
</file>

<file path=xl/ctrlProps/ctrlProp6.xml><?xml version="1.0" encoding="utf-8"?>
<formControlPr xmlns="http://schemas.microsoft.com/office/spreadsheetml/2009/9/main" objectType="Drop" dropLines="4" dropStyle="combo" dx="16" fmlaLink="$D$4" fmlaRange="$B$45:$B$48" noThreeD="1" val="0"/>
</file>

<file path=xl/ctrlProps/ctrlProp7.xml><?xml version="1.0" encoding="utf-8"?>
<formControlPr xmlns="http://schemas.microsoft.com/office/spreadsheetml/2009/9/main" objectType="Drop" dropLines="3" dropStyle="combo" dx="16" fmlaLink="$D$15" fmlaRange="$E$45:$E$47" noThreeD="1" val="0"/>
</file>

<file path=xl/ctrlProps/ctrlProp8.xml><?xml version="1.0" encoding="utf-8"?>
<formControlPr xmlns="http://schemas.microsoft.com/office/spreadsheetml/2009/9/main" objectType="Drop" dropLines="3" dropStyle="combo" dx="16" fmlaLink="$K$15" fmlaRange="$N$15:$N$17" noThreeD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6804</xdr:colOff>
      <xdr:row>2</xdr:row>
      <xdr:rowOff>62035</xdr:rowOff>
    </xdr:from>
    <xdr:ext cx="1245054" cy="232436"/>
    <xdr:sp macro="[0]!STclear" textlink="">
      <xdr:nvSpPr>
        <xdr:cNvPr id="6147" name="Rectangle 3"/>
        <xdr:cNvSpPr>
          <a:spLocks noChangeArrowheads="1"/>
        </xdr:cNvSpPr>
      </xdr:nvSpPr>
      <xdr:spPr bwMode="auto">
        <a:xfrm>
          <a:off x="6238875" y="538285"/>
          <a:ext cx="1245054" cy="232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horzOverflow="clip" wrap="square" lIns="91440" tIns="27432" rIns="91440" bIns="27432" anchor="ctr" upright="1">
          <a:spAutoFit/>
        </a:bodyPr>
        <a:lstStyle/>
        <a:p>
          <a:pPr algn="ctr" rtl="0">
            <a:defRPr sz="1000"/>
          </a:pPr>
          <a:r>
            <a:rPr lang="en-US" sz="1200" b="1" i="0" strike="noStrike">
              <a:solidFill>
                <a:srgbClr val="000000"/>
              </a:solidFill>
              <a:latin typeface="Arial"/>
              <a:cs typeface="Arial"/>
            </a:rPr>
            <a:t>  </a:t>
          </a:r>
        </a:p>
      </xdr:txBody>
    </xdr:sp>
    <xdr:clientData/>
  </xdr:oneCellAnchor>
  <xdr:twoCellAnchor editAs="oneCell">
    <xdr:from>
      <xdr:col>4</xdr:col>
      <xdr:colOff>247650</xdr:colOff>
      <xdr:row>22</xdr:row>
      <xdr:rowOff>9525</xdr:rowOff>
    </xdr:from>
    <xdr:to>
      <xdr:col>4</xdr:col>
      <xdr:colOff>1066800</xdr:colOff>
      <xdr:row>27</xdr:row>
      <xdr:rowOff>1080</xdr:rowOff>
    </xdr:to>
    <xdr:pic macro="[0]!OpenAb">
      <xdr:nvPicPr>
        <xdr:cNvPr id="6311" name="Picture 14" descr="pretygl.jp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1752" r="50359" b="48354"/>
        <a:stretch>
          <a:fillRect/>
        </a:stretch>
      </xdr:blipFill>
      <xdr:spPr bwMode="auto">
        <a:xfrm>
          <a:off x="3695700" y="2924175"/>
          <a:ext cx="819150" cy="685800"/>
        </a:xfrm>
        <a:prstGeom prst="rect">
          <a:avLst/>
        </a:prstGeom>
        <a:noFill/>
        <a:ln w="19050">
          <a:solidFill>
            <a:srgbClr val="0000FF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434058</xdr:colOff>
      <xdr:row>0</xdr:row>
      <xdr:rowOff>108508</xdr:rowOff>
    </xdr:from>
    <xdr:ext cx="1909112" cy="453137"/>
    <xdr:sp macro="" textlink="">
      <xdr:nvSpPr>
        <xdr:cNvPr id="2" name="TextBox 1"/>
        <xdr:cNvSpPr txBox="1"/>
      </xdr:nvSpPr>
      <xdr:spPr>
        <a:xfrm>
          <a:off x="880166" y="108508"/>
          <a:ext cx="1909112" cy="4531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400" b="1">
              <a:solidFill>
                <a:srgbClr val="0000CC"/>
              </a:solidFill>
              <a:latin typeface="+mj-lt"/>
            </a:rPr>
            <a:t>Claim Check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6178" name="Drop Down 34" hidden="1">
              <a:extLst>
                <a:ext uri="{63B3BB69-23CF-44E3-9099-C40C66FF867C}">
                  <a14:compatExt spid="_x0000_s6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6285" name="Drop Down 141" hidden="1">
              <a:extLst>
                <a:ext uri="{63B3BB69-23CF-44E3-9099-C40C66FF867C}">
                  <a14:compatExt spid="_x0000_s6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6</xdr:col>
          <xdr:colOff>11430</xdr:colOff>
          <xdr:row>12</xdr:row>
          <xdr:rowOff>11430</xdr:rowOff>
        </xdr:to>
        <xdr:sp macro="" textlink="">
          <xdr:nvSpPr>
            <xdr:cNvPr id="6286" name="Drop Down 142" hidden="1">
              <a:extLst>
                <a:ext uri="{63B3BB69-23CF-44E3-9099-C40C66FF867C}">
                  <a14:compatExt spid="_x0000_s6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76200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6287" name="Drop Down 143" hidden="1">
              <a:extLst>
                <a:ext uri="{63B3BB69-23CF-44E3-9099-C40C66FF867C}">
                  <a14:compatExt spid="_x0000_s6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6288" name="Drop Down 144" hidden="1">
              <a:extLst>
                <a:ext uri="{63B3BB69-23CF-44E3-9099-C40C66FF867C}">
                  <a14:compatExt spid="_x0000_s6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866775</xdr:colOff>
      <xdr:row>30</xdr:row>
      <xdr:rowOff>0</xdr:rowOff>
    </xdr:from>
    <xdr:to>
      <xdr:col>6</xdr:col>
      <xdr:colOff>219076</xdr:colOff>
      <xdr:row>34</xdr:row>
      <xdr:rowOff>190494</xdr:rowOff>
    </xdr:to>
    <xdr:pic macro="[0]!ConfirmWrit">
      <xdr:nvPicPr>
        <xdr:cNvPr id="8282" name="Picture 3" descr="pretygl.jp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1752" r="50359" b="48354"/>
        <a:stretch>
          <a:fillRect/>
        </a:stretch>
      </xdr:blipFill>
      <xdr:spPr bwMode="auto">
        <a:xfrm>
          <a:off x="5257800" y="4486275"/>
          <a:ext cx="847725" cy="685800"/>
        </a:xfrm>
        <a:prstGeom prst="rect">
          <a:avLst/>
        </a:prstGeom>
        <a:noFill/>
        <a:ln w="19050">
          <a:solidFill>
            <a:srgbClr val="0000FF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19050</xdr:colOff>
      <xdr:row>30</xdr:row>
      <xdr:rowOff>9525</xdr:rowOff>
    </xdr:from>
    <xdr:to>
      <xdr:col>13</xdr:col>
      <xdr:colOff>9525</xdr:colOff>
      <xdr:row>31</xdr:row>
      <xdr:rowOff>0</xdr:rowOff>
    </xdr:to>
    <xdr:sp macro="[0]!SeeList" textlink="">
      <xdr:nvSpPr>
        <xdr:cNvPr id="8283" name="Rectangle 1" hidden="1"/>
        <xdr:cNvSpPr>
          <a:spLocks noChangeArrowheads="1"/>
        </xdr:cNvSpPr>
      </xdr:nvSpPr>
      <xdr:spPr bwMode="auto">
        <a:xfrm>
          <a:off x="7324725" y="4495800"/>
          <a:ext cx="25812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 algn="ctr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47625</xdr:colOff>
      <xdr:row>19</xdr:row>
      <xdr:rowOff>76200</xdr:rowOff>
    </xdr:from>
    <xdr:to>
      <xdr:col>3</xdr:col>
      <xdr:colOff>142875</xdr:colOff>
      <xdr:row>19</xdr:row>
      <xdr:rowOff>161925</xdr:rowOff>
    </xdr:to>
    <xdr:sp macro="[1]!SVenter" textlink="">
      <xdr:nvSpPr>
        <xdr:cNvPr id="8284" name="Oval 14" hidden="1"/>
        <xdr:cNvSpPr>
          <a:spLocks noChangeArrowheads="1"/>
        </xdr:cNvSpPr>
      </xdr:nvSpPr>
      <xdr:spPr bwMode="auto">
        <a:xfrm>
          <a:off x="3590925" y="3076575"/>
          <a:ext cx="95250" cy="85725"/>
        </a:xfrm>
        <a:prstGeom prst="ellipse">
          <a:avLst/>
        </a:prstGeom>
        <a:solidFill>
          <a:srgbClr val="CCFFFF"/>
        </a:solidFill>
        <a:ln w="12700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47625</xdr:colOff>
      <xdr:row>21</xdr:row>
      <xdr:rowOff>66675</xdr:rowOff>
    </xdr:from>
    <xdr:to>
      <xdr:col>3</xdr:col>
      <xdr:colOff>133350</xdr:colOff>
      <xdr:row>21</xdr:row>
      <xdr:rowOff>152400</xdr:rowOff>
    </xdr:to>
    <xdr:sp macro="[1]!SVenter" textlink="">
      <xdr:nvSpPr>
        <xdr:cNvPr id="8285" name="Oval 16" hidden="1"/>
        <xdr:cNvSpPr>
          <a:spLocks noChangeArrowheads="1"/>
        </xdr:cNvSpPr>
      </xdr:nvSpPr>
      <xdr:spPr bwMode="auto">
        <a:xfrm>
          <a:off x="3590925" y="3343275"/>
          <a:ext cx="85725" cy="85725"/>
        </a:xfrm>
        <a:prstGeom prst="ellipse">
          <a:avLst/>
        </a:prstGeom>
        <a:solidFill>
          <a:srgbClr val="CCFFFF"/>
        </a:solidFill>
        <a:ln w="12700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47625</xdr:colOff>
      <xdr:row>23</xdr:row>
      <xdr:rowOff>66675</xdr:rowOff>
    </xdr:from>
    <xdr:to>
      <xdr:col>3</xdr:col>
      <xdr:colOff>142875</xdr:colOff>
      <xdr:row>23</xdr:row>
      <xdr:rowOff>161925</xdr:rowOff>
    </xdr:to>
    <xdr:sp macro="[1]!SVenter" textlink="">
      <xdr:nvSpPr>
        <xdr:cNvPr id="8286" name="Oval 18" hidden="1"/>
        <xdr:cNvSpPr>
          <a:spLocks noChangeArrowheads="1"/>
        </xdr:cNvSpPr>
      </xdr:nvSpPr>
      <xdr:spPr bwMode="auto">
        <a:xfrm>
          <a:off x="3590925" y="3619500"/>
          <a:ext cx="95250" cy="95250"/>
        </a:xfrm>
        <a:prstGeom prst="ellipse">
          <a:avLst/>
        </a:prstGeom>
        <a:solidFill>
          <a:srgbClr val="CCFFFF"/>
        </a:solidFill>
        <a:ln w="12700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47625</xdr:colOff>
      <xdr:row>25</xdr:row>
      <xdr:rowOff>66675</xdr:rowOff>
    </xdr:from>
    <xdr:to>
      <xdr:col>3</xdr:col>
      <xdr:colOff>142875</xdr:colOff>
      <xdr:row>25</xdr:row>
      <xdr:rowOff>152400</xdr:rowOff>
    </xdr:to>
    <xdr:sp macro="[1]!SVenter" textlink="">
      <xdr:nvSpPr>
        <xdr:cNvPr id="8287" name="Oval 20" hidden="1"/>
        <xdr:cNvSpPr>
          <a:spLocks noChangeArrowheads="1"/>
        </xdr:cNvSpPr>
      </xdr:nvSpPr>
      <xdr:spPr bwMode="auto">
        <a:xfrm>
          <a:off x="3590925" y="3895725"/>
          <a:ext cx="95250" cy="85725"/>
        </a:xfrm>
        <a:prstGeom prst="ellipse">
          <a:avLst/>
        </a:prstGeom>
        <a:solidFill>
          <a:srgbClr val="CCFFFF"/>
        </a:solidFill>
        <a:ln w="12700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47625</xdr:colOff>
      <xdr:row>27</xdr:row>
      <xdr:rowOff>66675</xdr:rowOff>
    </xdr:from>
    <xdr:to>
      <xdr:col>3</xdr:col>
      <xdr:colOff>142875</xdr:colOff>
      <xdr:row>27</xdr:row>
      <xdr:rowOff>152400</xdr:rowOff>
    </xdr:to>
    <xdr:sp macro="[1]!SVenter" textlink="">
      <xdr:nvSpPr>
        <xdr:cNvPr id="8288" name="Oval 22" hidden="1"/>
        <xdr:cNvSpPr>
          <a:spLocks noChangeArrowheads="1"/>
        </xdr:cNvSpPr>
      </xdr:nvSpPr>
      <xdr:spPr bwMode="auto">
        <a:xfrm>
          <a:off x="3590925" y="4171950"/>
          <a:ext cx="95250" cy="85725"/>
        </a:xfrm>
        <a:prstGeom prst="ellipse">
          <a:avLst/>
        </a:prstGeom>
        <a:solidFill>
          <a:srgbClr val="CCFFFF"/>
        </a:solidFill>
        <a:ln w="12700" algn="ctr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1047750</xdr:colOff>
          <xdr:row>3</xdr:row>
          <xdr:rowOff>0</xdr:rowOff>
        </xdr:from>
        <xdr:to>
          <xdr:col>5</xdr:col>
          <xdr:colOff>11430</xdr:colOff>
          <xdr:row>4</xdr:row>
          <xdr:rowOff>0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1047750</xdr:colOff>
          <xdr:row>13</xdr:row>
          <xdr:rowOff>64770</xdr:rowOff>
        </xdr:from>
        <xdr:to>
          <xdr:col>5</xdr:col>
          <xdr:colOff>11430</xdr:colOff>
          <xdr:row>15</xdr:row>
          <xdr:rowOff>11430</xdr:rowOff>
        </xdr:to>
        <xdr:sp macro="" textlink="">
          <xdr:nvSpPr>
            <xdr:cNvPr id="8230" name="Drop Down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941070</xdr:colOff>
          <xdr:row>13</xdr:row>
          <xdr:rowOff>64770</xdr:rowOff>
        </xdr:from>
        <xdr:to>
          <xdr:col>12</xdr:col>
          <xdr:colOff>11430</xdr:colOff>
          <xdr:row>15</xdr:row>
          <xdr:rowOff>19050</xdr:rowOff>
        </xdr:to>
        <xdr:sp macro="" textlink="">
          <xdr:nvSpPr>
            <xdr:cNvPr id="8237" name="Drop Down 45" hidden="1">
              <a:extLst>
                <a:ext uri="{63B3BB69-23CF-44E3-9099-C40C66FF867C}">
                  <a14:compatExt spid="_x0000_s8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1314450</xdr:colOff>
      <xdr:row>23</xdr:row>
      <xdr:rowOff>9525</xdr:rowOff>
    </xdr:from>
    <xdr:to>
      <xdr:col>5</xdr:col>
      <xdr:colOff>733425</xdr:colOff>
      <xdr:row>28</xdr:row>
      <xdr:rowOff>0</xdr:rowOff>
    </xdr:to>
    <xdr:pic macro="[0]!NewEV">
      <xdr:nvPicPr>
        <xdr:cNvPr id="9224" name="Picture 2" descr="pretygl.jp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1752" r="50359" b="48354"/>
        <a:stretch>
          <a:fillRect/>
        </a:stretch>
      </xdr:blipFill>
      <xdr:spPr bwMode="auto">
        <a:xfrm>
          <a:off x="4410075" y="3171825"/>
          <a:ext cx="866775" cy="714375"/>
        </a:xfrm>
        <a:prstGeom prst="rect">
          <a:avLst/>
        </a:prstGeom>
        <a:noFill/>
        <a:ln w="19050">
          <a:solidFill>
            <a:srgbClr val="0000FF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538686</xdr:colOff>
      <xdr:row>5</xdr:row>
      <xdr:rowOff>114300</xdr:rowOff>
    </xdr:from>
    <xdr:to>
      <xdr:col>12</xdr:col>
      <xdr:colOff>78765</xdr:colOff>
      <xdr:row>20</xdr:row>
      <xdr:rowOff>28575</xdr:rowOff>
    </xdr:to>
    <xdr:pic>
      <xdr:nvPicPr>
        <xdr:cNvPr id="10248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12615" y="908050"/>
          <a:ext cx="3214007" cy="2295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A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ved Way Points"/>
      <sheetName val="Calibration"/>
      <sheetName val="D"/>
    </sheetNames>
    <definedNames>
      <definedName name="SVenter"/>
    </definedNames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"/>
      <sheetName val="SUMMARY"/>
      <sheetName val="TPOrder"/>
      <sheetName val="YDWK2"/>
      <sheetName val="Worksheet"/>
      <sheetName val="VERIFY TASK"/>
      <sheetName val="YDWK1"/>
      <sheetName val="PRINT THIS!"/>
      <sheetName val="CLAIM CHECK"/>
      <sheetName val="CALIBRATION"/>
      <sheetName val="FREE ME"/>
      <sheetName val="Sheet11"/>
      <sheetName val="PO"/>
    </sheetNames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DWK3"/>
      <sheetName val="Sheet2"/>
      <sheetName val="Sheet3"/>
      <sheetName val="TASKS"/>
      <sheetName val="B"/>
    </sheetNames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R"/>
      <sheetName val="IMP"/>
      <sheetName val="Sheet1"/>
      <sheetName val="Sheet2"/>
      <sheetName val="PRS"/>
      <sheetName val="sunrise"/>
    </sheetNames>
  </externalBook>
</externalLink>
</file>

<file path=xl/queryTables/queryTable1.xml><?xml version="1.0" encoding="utf-8"?>
<queryTable xmlns="http://schemas.openxmlformats.org/spreadsheetml/2006/main" name="1" backgroundRefresh="0" growShrinkType="overwriteClear" adjustColumnWidth="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CC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CC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12" Type="http://schemas.openxmlformats.org/officeDocument/2006/relationships/queryTable" Target="../queryTables/queryTable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4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4" Type="http://schemas.openxmlformats.org/officeDocument/2006/relationships/printerSettings" Target="../printerSettings/printerSettings1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printerSettings" Target="../printerSettings/printerSettings15.bin"/><Relationship Id="rId7" Type="http://schemas.openxmlformats.org/officeDocument/2006/relationships/ctrlProp" Target="../ctrlProps/ctrlProp6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6.bin"/><Relationship Id="rId9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20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indexed="13"/>
    <pageSetUpPr autoPageBreaks="0" fitToPage="1"/>
  </sheetPr>
  <dimension ref="A1:Q70"/>
  <sheetViews>
    <sheetView showGridLines="0" showRowColHeaders="0" tabSelected="1" showRuler="0" showOutlineSymbols="0" zoomScale="173" zoomScaleNormal="173" zoomScaleSheetLayoutView="50" zoomScalePageLayoutView="112" workbookViewId="0">
      <selection activeCell="F6" sqref="F6"/>
    </sheetView>
  </sheetViews>
  <sheetFormatPr defaultColWidth="2.83203125" defaultRowHeight="12.75" customHeight="1" x14ac:dyDescent="0.4"/>
  <cols>
    <col min="1" max="1" width="6.71875" customWidth="1"/>
    <col min="2" max="2" width="7.71875" customWidth="1"/>
    <col min="3" max="3" width="26.5546875" customWidth="1"/>
    <col min="4" max="4" width="10.71875" customWidth="1"/>
    <col min="5" max="5" width="18.71875" customWidth="1"/>
    <col min="6" max="6" width="20" customWidth="1"/>
    <col min="7" max="7" width="18.71875" customWidth="1"/>
    <col min="8" max="8" width="13.71875" customWidth="1"/>
    <col min="9" max="9" width="11.71875" customWidth="1"/>
    <col min="10" max="10" width="2.71875" customWidth="1"/>
    <col min="11" max="11" width="14.71875" customWidth="1"/>
    <col min="12" max="12" width="12.71875" customWidth="1"/>
    <col min="13" max="16" width="13.71875" customWidth="1"/>
  </cols>
  <sheetData>
    <row r="1" spans="1:15" s="21" customFormat="1" ht="24" customHeight="1" x14ac:dyDescent="0.4">
      <c r="B1" s="143"/>
      <c r="D1" s="84"/>
      <c r="G1" s="84"/>
      <c r="H1" s="84"/>
      <c r="L1"/>
      <c r="M1"/>
      <c r="N1" s="164">
        <f>'[1]Saved Way Points'!$N$1</f>
        <v>0</v>
      </c>
      <c r="O1"/>
    </row>
    <row r="2" spans="1:15" s="21" customFormat="1" ht="14.1" customHeight="1" x14ac:dyDescent="0.4">
      <c r="A2" s="171">
        <v>28</v>
      </c>
      <c r="D2" s="215" t="s">
        <v>130</v>
      </c>
      <c r="E2" s="291" t="str">
        <f>IF(OR(F8=1,F10=1,D12=1,F14="",F16="",F18=1,F6=1,AND(F6=4,M1="")),"Data Entry Required","")</f>
        <v>Data Entry Required</v>
      </c>
      <c r="F2" s="291"/>
      <c r="G2" s="85"/>
      <c r="H2" s="84"/>
      <c r="L2"/>
      <c r="M2"/>
      <c r="N2" s="164">
        <f>'[1]Saved Way Points'!$N$2</f>
        <v>0</v>
      </c>
      <c r="O2"/>
    </row>
    <row r="3" spans="1:15" s="21" customFormat="1" ht="6" customHeight="1" thickBot="1" x14ac:dyDescent="0.45">
      <c r="A3" s="171">
        <v>29</v>
      </c>
      <c r="L3"/>
      <c r="M3"/>
      <c r="N3" s="164">
        <f>'[1]Saved Way Points'!$N$3</f>
        <v>0</v>
      </c>
      <c r="O3"/>
    </row>
    <row r="4" spans="1:15" s="21" customFormat="1" ht="17.100000000000001" customHeight="1" thickBot="1" x14ac:dyDescent="0.45">
      <c r="C4" s="302" t="s">
        <v>15</v>
      </c>
      <c r="D4" s="303"/>
      <c r="E4" s="303"/>
      <c r="F4" s="140" t="s">
        <v>14</v>
      </c>
      <c r="G4" s="141" t="s">
        <v>84</v>
      </c>
      <c r="H4" s="82"/>
      <c r="L4"/>
      <c r="M4"/>
      <c r="N4"/>
      <c r="O4"/>
    </row>
    <row r="5" spans="1:15" s="21" customFormat="1" ht="6" customHeight="1" x14ac:dyDescent="0.4">
      <c r="C5" s="24"/>
      <c r="D5" s="19"/>
      <c r="E5" s="25"/>
      <c r="F5" s="26"/>
      <c r="G5" s="27"/>
      <c r="H5" s="77"/>
    </row>
    <row r="6" spans="1:15" s="21" customFormat="1" ht="18" customHeight="1" x14ac:dyDescent="0.4">
      <c r="C6" s="299" t="str">
        <f>IF($F$6=1,"Default units:    ","Default units:   ")</f>
        <v xml:space="preserve">Default units:    </v>
      </c>
      <c r="D6" s="300"/>
      <c r="E6" s="300"/>
      <c r="F6" s="22">
        <v>1</v>
      </c>
      <c r="G6" s="139"/>
      <c r="H6" s="77"/>
    </row>
    <row r="7" spans="1:15" s="21" customFormat="1" ht="4" customHeight="1" x14ac:dyDescent="0.4">
      <c r="C7" s="86"/>
      <c r="D7" s="145"/>
      <c r="E7" s="145"/>
      <c r="F7" s="84"/>
      <c r="G7" s="87"/>
      <c r="H7" s="77"/>
    </row>
    <row r="8" spans="1:15" s="21" customFormat="1" ht="18" customHeight="1" x14ac:dyDescent="0.4">
      <c r="C8" s="299" t="str">
        <f>IF($F$8=1,"Aircraft Designation:    ","Aircraft Designation:   ")</f>
        <v xml:space="preserve">Aircraft Designation:    </v>
      </c>
      <c r="D8" s="300"/>
      <c r="E8" s="300"/>
      <c r="F8" s="22">
        <v>1</v>
      </c>
      <c r="G8" s="139"/>
      <c r="H8" s="77"/>
    </row>
    <row r="9" spans="1:15" s="21" customFormat="1" ht="4" customHeight="1" x14ac:dyDescent="0.4">
      <c r="C9" s="86"/>
      <c r="D9" s="147"/>
      <c r="E9" s="149"/>
      <c r="F9" s="84"/>
      <c r="G9" s="87"/>
      <c r="H9" s="77"/>
    </row>
    <row r="10" spans="1:15" s="21" customFormat="1" ht="18" customHeight="1" x14ac:dyDescent="0.4">
      <c r="A10" s="84"/>
      <c r="C10" s="299" t="str">
        <f>IF(OR($F$10=1,$D$12=1),"Region of Takeoff &amp; Time Zone:    ","Region of Takeoff &amp; Time Zone:   ")</f>
        <v xml:space="preserve">Region of Takeoff &amp; Time Zone:    </v>
      </c>
      <c r="D10" s="300"/>
      <c r="E10" s="300"/>
      <c r="F10" s="72">
        <v>1</v>
      </c>
      <c r="G10" s="139"/>
      <c r="H10" s="77"/>
    </row>
    <row r="11" spans="1:15" s="21" customFormat="1" ht="4" customHeight="1" x14ac:dyDescent="0.4">
      <c r="C11" s="86"/>
      <c r="D11" s="145"/>
      <c r="E11" s="148"/>
      <c r="F11" s="88"/>
      <c r="G11" s="87"/>
      <c r="H11" s="77"/>
    </row>
    <row r="12" spans="1:15" s="21" customFormat="1" ht="18" customHeight="1" x14ac:dyDescent="0.4">
      <c r="C12" s="89"/>
      <c r="D12" s="305">
        <v>1</v>
      </c>
      <c r="E12" s="305"/>
      <c r="F12" s="305"/>
      <c r="G12" s="139"/>
      <c r="H12" s="77"/>
    </row>
    <row r="13" spans="1:15" s="21" customFormat="1" ht="4" customHeight="1" x14ac:dyDescent="0.4">
      <c r="C13" s="292"/>
      <c r="D13" s="296"/>
      <c r="E13" s="296"/>
      <c r="F13" s="142"/>
      <c r="G13" s="90"/>
      <c r="H13" s="77"/>
    </row>
    <row r="14" spans="1:15" s="21" customFormat="1" ht="18" customHeight="1" x14ac:dyDescent="0.4">
      <c r="C14" s="292" t="str">
        <f>IF($F$6=2,"                                                  Take Off Site Elevation  (metres, MSL): ","                                        Take Off Site Elevation  (feet, MSL): ")</f>
        <v xml:space="preserve">                                        Take Off Site Elevation  (feet, MSL): </v>
      </c>
      <c r="D14" s="293"/>
      <c r="E14" s="293"/>
      <c r="F14" s="23"/>
      <c r="G14" s="139"/>
      <c r="H14" s="77"/>
      <c r="K14"/>
    </row>
    <row r="15" spans="1:15" s="21" customFormat="1" ht="4" customHeight="1" x14ac:dyDescent="0.4">
      <c r="C15" s="146"/>
      <c r="D15" s="147"/>
      <c r="E15" s="147"/>
      <c r="F15" s="92"/>
      <c r="G15" s="87"/>
      <c r="H15" s="77"/>
      <c r="K15"/>
    </row>
    <row r="16" spans="1:15" s="21" customFormat="1" ht="18" customHeight="1" x14ac:dyDescent="0.4">
      <c r="B16" s="91"/>
      <c r="C16" s="292" t="str">
        <f>IF($F$6=2,"                                         Landing Site elevation (metres, MSL): ","  Landing Site Elevation  (feet, MSL): ")</f>
        <v xml:space="preserve">  Landing Site Elevation  (feet, MSL): </v>
      </c>
      <c r="D16" s="293"/>
      <c r="E16" s="294"/>
      <c r="F16" s="101"/>
      <c r="G16" s="139"/>
      <c r="H16" s="77"/>
      <c r="K16"/>
    </row>
    <row r="17" spans="2:11" s="21" customFormat="1" ht="4" customHeight="1" x14ac:dyDescent="0.4">
      <c r="B17" s="150"/>
      <c r="C17" s="146"/>
      <c r="D17" s="147"/>
      <c r="E17" s="147"/>
      <c r="F17" s="92"/>
      <c r="G17" s="87"/>
      <c r="H17" s="77"/>
      <c r="K17"/>
    </row>
    <row r="18" spans="2:11" s="21" customFormat="1" ht="18" customHeight="1" x14ac:dyDescent="0.4">
      <c r="B18" s="91"/>
      <c r="C18" s="299" t="s">
        <v>87</v>
      </c>
      <c r="D18" s="300"/>
      <c r="E18" s="300"/>
      <c r="F18" s="22">
        <v>1</v>
      </c>
      <c r="G18" s="139"/>
      <c r="H18" s="77"/>
      <c r="K18"/>
    </row>
    <row r="19" spans="2:11" s="21" customFormat="1" ht="6" customHeight="1" thickBot="1" x14ac:dyDescent="0.45">
      <c r="B19" s="171"/>
      <c r="C19" s="93"/>
      <c r="D19" s="75"/>
      <c r="E19" s="75"/>
      <c r="F19" s="75"/>
      <c r="G19" s="20"/>
      <c r="H19" s="77"/>
      <c r="K19"/>
    </row>
    <row r="20" spans="2:11" s="21" customFormat="1" ht="3" customHeight="1" x14ac:dyDescent="0.4">
      <c r="B20" s="171"/>
      <c r="H20" s="77"/>
      <c r="K20"/>
    </row>
    <row r="21" spans="2:11" s="21" customFormat="1" ht="3" customHeight="1" x14ac:dyDescent="0.4">
      <c r="H21" s="77"/>
    </row>
    <row r="22" spans="2:11" s="21" customFormat="1" ht="3" customHeight="1" x14ac:dyDescent="0.4">
      <c r="B22" s="176">
        <f>'[2]VERIFY TASK'!$A$14</f>
        <v>0</v>
      </c>
      <c r="H22" s="77"/>
    </row>
    <row r="23" spans="2:11" s="21" customFormat="1" ht="16" customHeight="1" x14ac:dyDescent="0.4">
      <c r="B23" s="171">
        <f>[3]YDWK3!A1</f>
        <v>0</v>
      </c>
      <c r="C23" s="295" t="str">
        <f>IF(AND('DATA ENTRY CHECK'!F6&lt;&gt;0,E2="Data Entry Required"=FALSE),"        Click a tab below to continue",IF(E2="Data Entry Required"=FALSE,"      Click on the glider to continue",""))</f>
        <v/>
      </c>
      <c r="D23" s="295"/>
      <c r="E23" s="295"/>
      <c r="F23" s="297" t="str">
        <f>IF(OR(A3="",_1&gt;A3),"Update available at badgeflight.com","")</f>
        <v/>
      </c>
      <c r="G23" s="297"/>
      <c r="H23" s="77"/>
    </row>
    <row r="24" spans="2:11" s="21" customFormat="1" ht="4" customHeight="1" x14ac:dyDescent="0.4">
      <c r="H24" s="77"/>
    </row>
    <row r="25" spans="2:11" s="21" customFormat="1" ht="16" customHeight="1" x14ac:dyDescent="0.4">
      <c r="C25" s="304"/>
      <c r="D25" s="304"/>
      <c r="E25" s="304"/>
      <c r="F25" s="298"/>
      <c r="G25" s="298"/>
      <c r="H25" s="77"/>
    </row>
    <row r="26" spans="2:11" s="21" customFormat="1" ht="4" customHeight="1" x14ac:dyDescent="0.4">
      <c r="H26" s="77"/>
    </row>
    <row r="27" spans="2:11" s="21" customFormat="1" ht="16" customHeight="1" x14ac:dyDescent="0.4">
      <c r="C27" s="144"/>
      <c r="D27" s="144"/>
      <c r="E27" s="144"/>
      <c r="F27" s="144"/>
      <c r="G27" s="144"/>
      <c r="H27" s="77"/>
    </row>
    <row r="28" spans="2:11" s="21" customFormat="1" ht="16" customHeight="1" x14ac:dyDescent="0.4"/>
    <row r="29" spans="2:11" s="21" customFormat="1" ht="16" customHeight="1" x14ac:dyDescent="0.4">
      <c r="G29" s="301"/>
      <c r="H29" s="301"/>
    </row>
    <row r="30" spans="2:11" s="21" customFormat="1" ht="16" customHeight="1" x14ac:dyDescent="0.4"/>
    <row r="31" spans="2:11" s="21" customFormat="1" ht="16" customHeight="1" x14ac:dyDescent="0.4"/>
    <row r="32" spans="2:11" s="21" customFormat="1" ht="16" customHeight="1" x14ac:dyDescent="0.4"/>
    <row r="33" spans="3:17" s="21" customFormat="1" ht="16" customHeight="1" x14ac:dyDescent="0.4"/>
    <row r="34" spans="3:17" s="21" customFormat="1" ht="16" customHeight="1" x14ac:dyDescent="0.4"/>
    <row r="35" spans="3:17" s="21" customFormat="1" ht="16" customHeight="1" x14ac:dyDescent="0.4"/>
    <row r="36" spans="3:17" s="21" customFormat="1" ht="16" customHeight="1" x14ac:dyDescent="0.4"/>
    <row r="37" spans="3:17" s="21" customFormat="1" ht="16" customHeight="1" x14ac:dyDescent="0.4"/>
    <row r="38" spans="3:17" s="21" customFormat="1" ht="16" customHeight="1" x14ac:dyDescent="0.4">
      <c r="I38" s="171"/>
    </row>
    <row r="39" spans="3:17" s="21" customFormat="1" ht="16" customHeight="1" x14ac:dyDescent="0.4">
      <c r="C39" s="204" t="s">
        <v>97</v>
      </c>
      <c r="D39" s="171"/>
      <c r="E39" s="164"/>
      <c r="F39" s="204" t="s">
        <v>16</v>
      </c>
      <c r="G39" s="171" t="s">
        <v>16</v>
      </c>
      <c r="H39" s="164"/>
      <c r="I39" s="171"/>
    </row>
    <row r="40" spans="3:17" s="21" customFormat="1" ht="16" customHeight="1" x14ac:dyDescent="0.4">
      <c r="C40" s="204" t="s">
        <v>98</v>
      </c>
      <c r="D40" s="171"/>
      <c r="E40" s="164"/>
      <c r="F40" s="204" t="s">
        <v>113</v>
      </c>
      <c r="G40" s="171" t="s">
        <v>32</v>
      </c>
      <c r="H40" s="164"/>
      <c r="I40" s="171"/>
    </row>
    <row r="41" spans="3:17" s="21" customFormat="1" ht="16" customHeight="1" x14ac:dyDescent="0.4">
      <c r="C41" s="204" t="s">
        <v>99</v>
      </c>
      <c r="D41" s="171"/>
      <c r="E41" s="164"/>
      <c r="F41" s="171" t="s">
        <v>114</v>
      </c>
      <c r="G41" s="171" t="s">
        <v>31</v>
      </c>
      <c r="H41" s="164"/>
      <c r="I41" s="171"/>
    </row>
    <row r="42" spans="3:17" s="21" customFormat="1" ht="16" customHeight="1" x14ac:dyDescent="0.4">
      <c r="C42" s="171" t="s">
        <v>100</v>
      </c>
      <c r="D42" s="171"/>
      <c r="E42" s="171"/>
      <c r="F42" s="79"/>
      <c r="G42" s="171" t="s">
        <v>64</v>
      </c>
      <c r="H42" s="171"/>
      <c r="I42" s="171"/>
    </row>
    <row r="43" spans="3:17" s="21" customFormat="1" ht="16" customHeight="1" x14ac:dyDescent="0.4">
      <c r="C43" s="171" t="s">
        <v>108</v>
      </c>
      <c r="D43" s="171"/>
      <c r="E43" s="171"/>
      <c r="F43" s="204" t="s">
        <v>16</v>
      </c>
      <c r="G43" s="171" t="s">
        <v>65</v>
      </c>
      <c r="H43" s="171"/>
      <c r="I43" s="171"/>
      <c r="P43" s="79" t="s">
        <v>96</v>
      </c>
    </row>
    <row r="44" spans="3:17" s="21" customFormat="1" ht="16" customHeight="1" x14ac:dyDescent="0.4">
      <c r="C44" s="205" t="s">
        <v>16</v>
      </c>
      <c r="D44" s="171"/>
      <c r="E44" s="171"/>
      <c r="F44" s="204" t="s">
        <v>20</v>
      </c>
      <c r="G44" s="171"/>
      <c r="H44" s="206">
        <v>-10</v>
      </c>
      <c r="I44" s="205" t="s">
        <v>54</v>
      </c>
      <c r="J44" s="77"/>
      <c r="K44" s="77"/>
      <c r="L44" s="77"/>
      <c r="M44" s="77"/>
      <c r="N44" s="77"/>
      <c r="O44" s="77"/>
      <c r="P44" s="80" t="str">
        <f>IF(F10=2,"                    Universal Time Coordinated  (UTC)","")</f>
        <v/>
      </c>
      <c r="Q44" s="77"/>
    </row>
    <row r="45" spans="3:17" s="21" customFormat="1" ht="16" customHeight="1" x14ac:dyDescent="0.4">
      <c r="C45" s="171" t="s">
        <v>94</v>
      </c>
      <c r="D45" s="171"/>
      <c r="E45" s="171"/>
      <c r="F45" s="204" t="s">
        <v>21</v>
      </c>
      <c r="G45" s="171"/>
      <c r="H45" s="206">
        <v>-9</v>
      </c>
      <c r="I45" s="205" t="s">
        <v>53</v>
      </c>
      <c r="J45" s="77"/>
      <c r="K45" s="77"/>
      <c r="L45" s="77"/>
      <c r="M45" s="77"/>
      <c r="N45" s="77"/>
      <c r="O45" s="77"/>
      <c r="P45" s="77" t="str">
        <f t="shared" ref="P45:P50" si="0">IF($F$10=3,CONCATENATE("UTC ",H44," ",I44),IF($F$10=4,CONCATENATE("UTC +",H54," ",I54),IF($F$10=5,CONCATENATE("UTC +",H62," ",I62),"")))</f>
        <v/>
      </c>
      <c r="Q45" s="77"/>
    </row>
    <row r="46" spans="3:17" s="21" customFormat="1" ht="16" customHeight="1" x14ac:dyDescent="0.4">
      <c r="C46" s="205" t="s">
        <v>95</v>
      </c>
      <c r="D46" s="171"/>
      <c r="E46" s="171"/>
      <c r="F46" s="204" t="s">
        <v>22</v>
      </c>
      <c r="G46" s="171"/>
      <c r="H46" s="206">
        <v>-8</v>
      </c>
      <c r="I46" s="205" t="s">
        <v>52</v>
      </c>
      <c r="J46" s="77"/>
      <c r="K46" s="77"/>
      <c r="L46" s="77"/>
      <c r="M46" s="77"/>
      <c r="N46" s="77"/>
      <c r="O46" s="77"/>
      <c r="P46" s="77" t="str">
        <f t="shared" si="0"/>
        <v/>
      </c>
      <c r="Q46" s="77"/>
    </row>
    <row r="47" spans="3:17" s="21" customFormat="1" ht="16" customHeight="1" x14ac:dyDescent="0.4">
      <c r="C47" s="205" t="s">
        <v>66</v>
      </c>
      <c r="D47" s="171"/>
      <c r="E47" s="171"/>
      <c r="F47" s="204" t="s">
        <v>23</v>
      </c>
      <c r="G47" s="171"/>
      <c r="H47" s="206">
        <v>-7</v>
      </c>
      <c r="I47" s="205" t="s">
        <v>51</v>
      </c>
      <c r="J47" s="77"/>
      <c r="K47" s="77"/>
      <c r="L47" s="77"/>
      <c r="M47" s="77"/>
      <c r="N47" s="77"/>
      <c r="O47" s="77"/>
      <c r="P47" s="77" t="str">
        <f t="shared" si="0"/>
        <v/>
      </c>
      <c r="Q47" s="77"/>
    </row>
    <row r="48" spans="3:17" s="21" customFormat="1" ht="16" customHeight="1" x14ac:dyDescent="0.4">
      <c r="C48" s="205" t="s">
        <v>67</v>
      </c>
      <c r="D48" s="171"/>
      <c r="E48" s="171"/>
      <c r="F48" s="204" t="s">
        <v>24</v>
      </c>
      <c r="G48" s="171"/>
      <c r="H48" s="206">
        <v>-6</v>
      </c>
      <c r="I48" s="205" t="s">
        <v>50</v>
      </c>
      <c r="J48" s="77"/>
      <c r="K48" s="77"/>
      <c r="L48" s="77"/>
      <c r="M48" s="77"/>
      <c r="N48" s="77"/>
      <c r="O48" s="77"/>
      <c r="P48" s="77" t="str">
        <f t="shared" si="0"/>
        <v/>
      </c>
      <c r="Q48" s="77"/>
    </row>
    <row r="49" spans="3:17" s="21" customFormat="1" ht="16" customHeight="1" x14ac:dyDescent="0.4">
      <c r="C49" s="171"/>
      <c r="D49" s="171"/>
      <c r="E49" s="171"/>
      <c r="F49" s="204" t="s">
        <v>25</v>
      </c>
      <c r="G49" s="171"/>
      <c r="H49" s="206" t="s">
        <v>41</v>
      </c>
      <c r="I49" s="205" t="s">
        <v>49</v>
      </c>
      <c r="J49" s="77"/>
      <c r="K49" s="77"/>
      <c r="L49" s="77"/>
      <c r="M49" s="77"/>
      <c r="N49" s="77"/>
      <c r="O49" s="77"/>
      <c r="P49" s="77" t="str">
        <f t="shared" si="0"/>
        <v/>
      </c>
      <c r="Q49" s="77"/>
    </row>
    <row r="50" spans="3:17" s="21" customFormat="1" ht="16" customHeight="1" x14ac:dyDescent="0.4">
      <c r="C50" s="171"/>
      <c r="D50" s="171"/>
      <c r="E50" s="171"/>
      <c r="F50" s="204" t="s">
        <v>26</v>
      </c>
      <c r="G50" s="171"/>
      <c r="H50" s="206">
        <v>-4.5</v>
      </c>
      <c r="I50" s="205" t="s">
        <v>33</v>
      </c>
      <c r="J50" s="77"/>
      <c r="K50" s="77"/>
      <c r="L50" s="77"/>
      <c r="M50" s="77"/>
      <c r="N50" s="77"/>
      <c r="O50" s="77"/>
      <c r="P50" s="77" t="str">
        <f t="shared" si="0"/>
        <v/>
      </c>
      <c r="Q50" s="77"/>
    </row>
    <row r="51" spans="3:17" s="21" customFormat="1" ht="16" customHeight="1" x14ac:dyDescent="0.4">
      <c r="C51" s="171"/>
      <c r="D51" s="171"/>
      <c r="E51" s="171"/>
      <c r="F51" s="204" t="s">
        <v>27</v>
      </c>
      <c r="G51" s="171"/>
      <c r="H51" s="206" t="s">
        <v>42</v>
      </c>
      <c r="I51" s="205" t="s">
        <v>60</v>
      </c>
      <c r="J51" s="77"/>
      <c r="K51" s="77"/>
      <c r="L51" s="77"/>
      <c r="M51" s="77"/>
      <c r="N51" s="77"/>
      <c r="O51" s="77"/>
      <c r="P51" s="77" t="str">
        <f>IF($F$10=3,CONCATENATE("UTC ",H50,"  ",I50),IF($F$10=4,CONCATENATE("UTC +",H60," ",I60),IF($F$10=5,CONCATENATE("UTC +",H68,"  ",I68),"")))</f>
        <v/>
      </c>
      <c r="Q51" s="77"/>
    </row>
    <row r="52" spans="3:17" s="21" customFormat="1" ht="16" customHeight="1" x14ac:dyDescent="0.4">
      <c r="C52" s="171"/>
      <c r="D52" s="171"/>
      <c r="E52" s="171"/>
      <c r="F52" s="171"/>
      <c r="G52" s="171"/>
      <c r="H52" s="206" t="s">
        <v>43</v>
      </c>
      <c r="I52" s="205" t="s">
        <v>88</v>
      </c>
      <c r="J52" s="77"/>
      <c r="K52" s="77"/>
      <c r="L52" s="77"/>
      <c r="M52" s="77"/>
      <c r="N52" s="77"/>
      <c r="O52" s="77"/>
      <c r="P52" s="77" t="str">
        <f>IF($F$10=3,CONCATENATE("UTC ",H51," ",I51),IF($F$10=4,CONCATENATE("UTC +",H61," ",I61),IF($F$10=5,CONCATENATE("UTC+",H69," ",I69),"")))</f>
        <v/>
      </c>
      <c r="Q52" s="77"/>
    </row>
    <row r="53" spans="3:17" s="21" customFormat="1" ht="16" customHeight="1" x14ac:dyDescent="0.4">
      <c r="C53" s="171"/>
      <c r="D53" s="171"/>
      <c r="E53" s="171"/>
      <c r="F53" s="171"/>
      <c r="G53" s="171"/>
      <c r="H53" s="206">
        <v>-2</v>
      </c>
      <c r="I53" s="205" t="s">
        <v>81</v>
      </c>
      <c r="J53" s="77"/>
      <c r="K53" s="77"/>
      <c r="L53" s="77"/>
      <c r="M53" s="77"/>
      <c r="N53" s="77"/>
      <c r="O53" s="77"/>
      <c r="P53" s="77" t="str">
        <f>IF($F$10=3,CONCATENATE("UTC ",H52," ",I52),IF($F$10=4,CONCATENATE("UTC +",H70," ",I70),""))</f>
        <v/>
      </c>
      <c r="Q53" s="77"/>
    </row>
    <row r="54" spans="3:17" s="21" customFormat="1" ht="16" customHeight="1" x14ac:dyDescent="0.4">
      <c r="C54" s="171"/>
      <c r="D54" s="171"/>
      <c r="E54" s="171"/>
      <c r="F54" s="171"/>
      <c r="G54" s="171"/>
      <c r="H54" s="206" t="s">
        <v>68</v>
      </c>
      <c r="I54" s="205" t="s">
        <v>39</v>
      </c>
      <c r="J54" s="77"/>
      <c r="K54" s="77"/>
      <c r="L54" s="77"/>
      <c r="M54" s="77"/>
      <c r="N54" s="77"/>
      <c r="O54" s="77"/>
      <c r="P54" s="77" t="str">
        <f>IF($F$10=3,CONCATENATE("UTC",H53," ",I53),"")</f>
        <v/>
      </c>
      <c r="Q54" s="77"/>
    </row>
    <row r="55" spans="3:17" s="21" customFormat="1" ht="16" customHeight="1" x14ac:dyDescent="0.4">
      <c r="C55" s="171"/>
      <c r="D55" s="171"/>
      <c r="E55" s="171"/>
      <c r="F55" s="171"/>
      <c r="G55" s="171"/>
      <c r="H55" s="206" t="s">
        <v>69</v>
      </c>
      <c r="I55" s="205" t="s">
        <v>82</v>
      </c>
      <c r="J55" s="77"/>
      <c r="K55" s="77"/>
      <c r="L55" s="77"/>
      <c r="M55" s="77"/>
      <c r="N55" s="77"/>
      <c r="O55" s="77"/>
      <c r="P55" s="77"/>
      <c r="Q55" s="77"/>
    </row>
    <row r="56" spans="3:17" s="21" customFormat="1" ht="16" customHeight="1" x14ac:dyDescent="0.4">
      <c r="C56" s="171"/>
      <c r="D56" s="171"/>
      <c r="E56" s="171"/>
      <c r="F56" s="171"/>
      <c r="G56" s="171"/>
      <c r="H56" s="206" t="s">
        <v>70</v>
      </c>
      <c r="I56" s="205" t="s">
        <v>83</v>
      </c>
      <c r="J56" s="77"/>
      <c r="K56" s="77"/>
      <c r="L56" s="77"/>
      <c r="M56" s="77"/>
      <c r="N56" s="77"/>
      <c r="O56" s="77"/>
      <c r="P56" s="77"/>
      <c r="Q56" s="77"/>
    </row>
    <row r="57" spans="3:17" s="21" customFormat="1" ht="16" customHeight="1" x14ac:dyDescent="0.4">
      <c r="C57" s="171"/>
      <c r="D57" s="171"/>
      <c r="E57" s="171"/>
      <c r="F57" s="171"/>
      <c r="G57" s="171"/>
      <c r="H57" s="206" t="s">
        <v>71</v>
      </c>
      <c r="I57" s="205" t="s">
        <v>38</v>
      </c>
      <c r="J57" s="77"/>
      <c r="K57" s="77"/>
      <c r="L57" s="77"/>
      <c r="M57" s="77"/>
      <c r="N57" s="77"/>
      <c r="O57" s="77"/>
      <c r="P57" s="94">
        <f>IF(AND($F$10=3,$D$12=3),H44,IF(AND($F$10=3,$D$12=4),H45,IF(AND($F$10=3,$D$12=5),H46,IF(AND($F$10=3,$D$12=6),H47,IF(AND($F$10=3,$D$12=7),H48,0)))))</f>
        <v>0</v>
      </c>
      <c r="Q57" s="77">
        <f>IF(AND($F$10=3,$D$12=8),H49,IF(AND($F$10=3,$D$12=9),H50,IF(AND($F$10=3,$D$12=10),H51,IF(AND($F$10=3,$D$12=11),H52,IF(AND($F$10=3,$D$12=12),H53,0)))))</f>
        <v>0</v>
      </c>
    </row>
    <row r="58" spans="3:17" s="21" customFormat="1" ht="16" customHeight="1" x14ac:dyDescent="0.4">
      <c r="C58" s="171"/>
      <c r="D58" s="171"/>
      <c r="E58" s="171"/>
      <c r="F58" s="171"/>
      <c r="G58" s="171"/>
      <c r="H58" s="206" t="s">
        <v>72</v>
      </c>
      <c r="I58" s="205" t="s">
        <v>34</v>
      </c>
      <c r="J58" s="77"/>
      <c r="K58" s="77"/>
      <c r="L58" s="77"/>
      <c r="M58" s="77"/>
      <c r="N58" s="77"/>
      <c r="O58" s="77"/>
      <c r="P58" s="179">
        <f>IF(AND($F$10=4,$D$12=3),H54,IF(AND($F$10=4,$D$12=4),H55,IF(AND($F$10=4,$D$12=5),H56,IF(AND($F$10=4,$D$12=6),H57,0))))</f>
        <v>0</v>
      </c>
      <c r="Q58" s="77">
        <f>IF(AND($F$10=4,$D$12=7),H58,IF(AND($F$10=4,$D$12=8),H59,IF(AND($F$10=4,$D$12=9),H60,IF(AND($F$10=4,$D$12=10),H61,0))))</f>
        <v>0</v>
      </c>
    </row>
    <row r="59" spans="3:17" s="21" customFormat="1" ht="16" customHeight="1" x14ac:dyDescent="0.4">
      <c r="C59" s="171"/>
      <c r="D59" s="171"/>
      <c r="E59" s="171"/>
      <c r="F59" s="171"/>
      <c r="G59" s="171"/>
      <c r="H59" s="206" t="s">
        <v>44</v>
      </c>
      <c r="I59" s="205" t="s">
        <v>35</v>
      </c>
      <c r="J59" s="77"/>
      <c r="K59" s="77"/>
      <c r="L59" s="77"/>
      <c r="M59" s="77"/>
      <c r="N59" s="77"/>
      <c r="O59" s="77"/>
      <c r="P59" s="179">
        <f>IF(AND($F$10=5,$D$12=3),H62,IF(AND($F$10=5,$D$12=4),H63,IF(AND($F$10=5,$D$12=5),H64,IF(AND($F$10=5,$D$12=6),H65,IF(AND($F$10=5,$D$12=7),H66,0)))))</f>
        <v>0</v>
      </c>
      <c r="Q59" s="77">
        <f>IF(AND($F$10=5,$D$12=8),H67,IF(AND($F$10=5,$D$12=9),H68,IF(AND($F$10=5,$D$12=10),H69,IF(AND($F$10=5,$D$12=11),H70,0))))</f>
        <v>0</v>
      </c>
    </row>
    <row r="60" spans="3:17" s="21" customFormat="1" ht="16" customHeight="1" x14ac:dyDescent="0.4">
      <c r="C60" s="171"/>
      <c r="D60" s="171"/>
      <c r="E60" s="171"/>
      <c r="F60" s="171"/>
      <c r="G60" s="171"/>
      <c r="H60" s="206" t="s">
        <v>45</v>
      </c>
      <c r="I60" s="205" t="s">
        <v>36</v>
      </c>
      <c r="J60" s="77"/>
      <c r="K60" s="77"/>
      <c r="L60" s="77"/>
      <c r="M60" s="77"/>
      <c r="N60" s="77"/>
      <c r="O60" s="77"/>
      <c r="P60" s="95"/>
      <c r="Q60" s="77"/>
    </row>
    <row r="61" spans="3:17" s="21" customFormat="1" ht="16" customHeight="1" x14ac:dyDescent="0.4">
      <c r="C61" s="171"/>
      <c r="D61" s="171"/>
      <c r="E61" s="171"/>
      <c r="F61" s="171"/>
      <c r="G61" s="171"/>
      <c r="H61" s="206" t="s">
        <v>46</v>
      </c>
      <c r="I61" s="205" t="s">
        <v>37</v>
      </c>
      <c r="J61" s="77"/>
      <c r="K61" s="77"/>
      <c r="L61" s="77"/>
      <c r="M61" s="77"/>
      <c r="N61" s="77"/>
      <c r="O61" s="95"/>
      <c r="P61" s="77">
        <f>P57+Q57+P58+Q58+P59+Q59</f>
        <v>0</v>
      </c>
      <c r="Q61" s="77"/>
    </row>
    <row r="62" spans="3:17" s="21" customFormat="1" ht="16" customHeight="1" x14ac:dyDescent="0.4">
      <c r="C62" s="171"/>
      <c r="D62" s="171"/>
      <c r="E62" s="171"/>
      <c r="F62" s="171"/>
      <c r="G62" s="171"/>
      <c r="H62" s="206" t="s">
        <v>47</v>
      </c>
      <c r="I62" s="205" t="s">
        <v>63</v>
      </c>
      <c r="J62" s="77"/>
      <c r="K62" s="77"/>
      <c r="L62" s="77"/>
      <c r="M62" s="77"/>
      <c r="N62" s="77"/>
      <c r="O62" s="77"/>
      <c r="P62" s="80"/>
      <c r="Q62" s="77"/>
    </row>
    <row r="63" spans="3:17" s="21" customFormat="1" ht="16" customHeight="1" x14ac:dyDescent="0.4">
      <c r="C63" s="171"/>
      <c r="D63" s="171"/>
      <c r="E63" s="171"/>
      <c r="F63" s="171"/>
      <c r="G63" s="171"/>
      <c r="H63" s="206" t="s">
        <v>48</v>
      </c>
      <c r="I63" s="205" t="s">
        <v>59</v>
      </c>
      <c r="J63" s="77"/>
      <c r="K63" s="77"/>
      <c r="L63" s="77"/>
      <c r="M63" s="77"/>
      <c r="N63" s="77"/>
      <c r="O63" s="77"/>
      <c r="P63" s="80"/>
      <c r="Q63" s="77"/>
    </row>
    <row r="64" spans="3:17" s="21" customFormat="1" ht="16" customHeight="1" x14ac:dyDescent="0.4">
      <c r="C64" s="171"/>
      <c r="D64" s="171"/>
      <c r="E64" s="171"/>
      <c r="F64" s="171"/>
      <c r="G64" s="171"/>
      <c r="H64" s="206" t="s">
        <v>73</v>
      </c>
      <c r="I64" s="205" t="s">
        <v>56</v>
      </c>
      <c r="J64" s="77"/>
      <c r="K64" s="77"/>
      <c r="L64" s="77"/>
      <c r="M64" s="77"/>
      <c r="N64" s="77"/>
      <c r="O64" s="77"/>
      <c r="P64" s="80"/>
      <c r="Q64" s="77"/>
    </row>
    <row r="65" spans="3:17" s="21" customFormat="1" ht="16" customHeight="1" x14ac:dyDescent="0.4">
      <c r="C65" s="171"/>
      <c r="D65" s="171"/>
      <c r="E65" s="171"/>
      <c r="F65" s="171"/>
      <c r="G65" s="171"/>
      <c r="H65" s="206" t="s">
        <v>74</v>
      </c>
      <c r="I65" s="205" t="s">
        <v>55</v>
      </c>
      <c r="J65" s="77"/>
      <c r="K65" s="77"/>
      <c r="L65" s="77"/>
      <c r="M65" s="77"/>
      <c r="N65" s="77"/>
      <c r="O65" s="77"/>
      <c r="P65" s="80"/>
      <c r="Q65" s="77"/>
    </row>
    <row r="66" spans="3:17" s="21" customFormat="1" ht="16" customHeight="1" x14ac:dyDescent="0.4">
      <c r="C66" s="171"/>
      <c r="D66" s="171"/>
      <c r="E66" s="171"/>
      <c r="F66" s="171"/>
      <c r="G66" s="171"/>
      <c r="H66" s="206" t="s">
        <v>75</v>
      </c>
      <c r="I66" s="205" t="s">
        <v>62</v>
      </c>
      <c r="J66" s="77"/>
      <c r="K66" s="77"/>
      <c r="L66" s="77"/>
      <c r="M66" s="77"/>
      <c r="N66" s="77"/>
      <c r="O66" s="77"/>
      <c r="P66" s="77"/>
      <c r="Q66" s="77"/>
    </row>
    <row r="67" spans="3:17" s="21" customFormat="1" ht="16" customHeight="1" x14ac:dyDescent="0.4">
      <c r="C67" s="171"/>
      <c r="D67" s="171"/>
      <c r="E67" s="171"/>
      <c r="F67" s="171"/>
      <c r="G67" s="171"/>
      <c r="H67" s="206" t="s">
        <v>76</v>
      </c>
      <c r="I67" s="205" t="s">
        <v>61</v>
      </c>
      <c r="J67" s="77"/>
      <c r="K67" s="77"/>
      <c r="L67" s="77"/>
      <c r="M67" s="77"/>
      <c r="N67" s="77"/>
      <c r="O67" s="77"/>
      <c r="P67" s="77"/>
      <c r="Q67" s="77"/>
    </row>
    <row r="68" spans="3:17" s="21" customFormat="1" ht="16" customHeight="1" x14ac:dyDescent="0.4">
      <c r="C68" s="171"/>
      <c r="D68" s="171"/>
      <c r="E68" s="171"/>
      <c r="F68" s="171"/>
      <c r="G68" s="171"/>
      <c r="H68" s="206" t="s">
        <v>77</v>
      </c>
      <c r="I68" s="205" t="s">
        <v>40</v>
      </c>
      <c r="J68" s="77"/>
      <c r="K68" s="77"/>
      <c r="L68" s="77"/>
      <c r="M68" s="77"/>
      <c r="N68" s="77"/>
      <c r="O68" s="77"/>
      <c r="P68" s="77"/>
      <c r="Q68" s="77"/>
    </row>
    <row r="69" spans="3:17" s="21" customFormat="1" ht="16" customHeight="1" x14ac:dyDescent="0.4">
      <c r="C69" s="171"/>
      <c r="D69" s="171"/>
      <c r="E69" s="171"/>
      <c r="F69" s="171"/>
      <c r="G69" s="171"/>
      <c r="H69" s="206" t="s">
        <v>78</v>
      </c>
      <c r="I69" s="205" t="s">
        <v>57</v>
      </c>
      <c r="J69" s="77"/>
      <c r="K69" s="77"/>
      <c r="L69" s="77"/>
      <c r="M69" s="77"/>
      <c r="N69" s="77"/>
      <c r="O69" s="77"/>
      <c r="P69" s="77"/>
      <c r="Q69" s="77"/>
    </row>
    <row r="70" spans="3:17" s="21" customFormat="1" ht="16" customHeight="1" x14ac:dyDescent="0.4">
      <c r="C70" s="171"/>
      <c r="D70" s="171"/>
      <c r="E70" s="171"/>
      <c r="F70" s="171"/>
      <c r="G70" s="171"/>
      <c r="H70" s="206" t="s">
        <v>79</v>
      </c>
      <c r="I70" s="205" t="s">
        <v>58</v>
      </c>
      <c r="J70" s="77"/>
      <c r="K70" s="77"/>
      <c r="L70" s="77"/>
      <c r="M70" s="77"/>
      <c r="N70" s="77"/>
      <c r="O70" s="77"/>
      <c r="P70" s="77"/>
      <c r="Q70" s="77"/>
    </row>
  </sheetData>
  <sheetProtection password="C630" sheet="1" objects="1" scenarios="1" selectLockedCells="1"/>
  <customSheetViews>
    <customSheetView guid="{A921FC5E-826F-4CBA-9479-3BFF6B42C1E4}" scale="112" showGridLines="0" showRowCol="0" outlineSymbols="0" fitToPage="1" printArea="1" view="pageLayout" showRuler="0">
      <selection activeCell="C5" sqref="C5"/>
      <pageMargins left="1" right="1" top="0.5" bottom="0.75" header="0.5" footer="0.5"/>
      <printOptions horizontalCentered="1"/>
      <pageSetup scale="83" orientation="landscape" horizontalDpi="300" verticalDpi="300" r:id="rId1"/>
      <headerFooter alignWithMargins="0">
        <oddFooter>&amp;L&amp;D&amp;C&amp;A&amp;RPage &amp;P</oddFooter>
      </headerFooter>
    </customSheetView>
    <customSheetView guid="{5A90EFA9-31B0-4AB9-9C9D-5F587FBCF9F6}" scale="112" showGridLines="0" showRowCol="0" outlineSymbols="0" fitToPage="1" printArea="1" view="pageLayout" showRuler="0">
      <selection activeCell="C5" sqref="C5"/>
      <pageMargins left="1" right="1" top="0.5" bottom="0.75" header="0.5" footer="0.5"/>
      <printOptions horizontalCentered="1"/>
      <pageSetup scale="83" orientation="landscape" horizontalDpi="300" verticalDpi="300" r:id="rId2"/>
      <headerFooter alignWithMargins="0">
        <oddFooter>&amp;L&amp;D&amp;C&amp;A&amp;RPage &amp;P</oddFooter>
      </headerFooter>
    </customSheetView>
    <customSheetView guid="{0EEACCE0-EC3D-41E2-9461-B930F93FB082}" scale="120" showGridLines="0" showRowCol="0" outlineSymbols="0" fitToPage="1" showRuler="0">
      <selection activeCell="F6" sqref="F6"/>
      <pageMargins left="1" right="1" top="0.5" bottom="0.75" header="0.5" footer="0.5"/>
      <printOptions horizontalCentered="1"/>
      <pageSetup scale="83" orientation="landscape" horizontalDpi="300" verticalDpi="300" r:id="rId3"/>
      <headerFooter alignWithMargins="0">
        <oddFooter>&amp;L&amp;D&amp;C&amp;A&amp;RPage &amp;P</oddFooter>
      </headerFooter>
    </customSheetView>
  </customSheetViews>
  <mergeCells count="15">
    <mergeCell ref="F25:G25"/>
    <mergeCell ref="C18:E18"/>
    <mergeCell ref="G29:H29"/>
    <mergeCell ref="C4:E4"/>
    <mergeCell ref="C25:E25"/>
    <mergeCell ref="C10:E10"/>
    <mergeCell ref="C8:E8"/>
    <mergeCell ref="C6:E6"/>
    <mergeCell ref="D12:F12"/>
    <mergeCell ref="E2:F2"/>
    <mergeCell ref="C16:E16"/>
    <mergeCell ref="C23:E23"/>
    <mergeCell ref="C13:E13"/>
    <mergeCell ref="C14:E14"/>
    <mergeCell ref="F23:G23"/>
  </mergeCells>
  <phoneticPr fontId="2" type="noConversion"/>
  <conditionalFormatting sqref="C23">
    <cfRule type="expression" dxfId="72" priority="61" stopIfTrue="1">
      <formula>$E$2=""=FALSE</formula>
    </cfRule>
  </conditionalFormatting>
  <conditionalFormatting sqref="E2:F2">
    <cfRule type="expression" dxfId="71" priority="45" stopIfTrue="1">
      <formula>$E$2="Data Entry Required"</formula>
    </cfRule>
  </conditionalFormatting>
  <conditionalFormatting sqref="F14">
    <cfRule type="expression" dxfId="70" priority="9" stopIfTrue="1">
      <formula>$F$14=""</formula>
    </cfRule>
  </conditionalFormatting>
  <conditionalFormatting sqref="F16">
    <cfRule type="expression" dxfId="69" priority="8" stopIfTrue="1">
      <formula>$F$16=""</formula>
    </cfRule>
  </conditionalFormatting>
  <conditionalFormatting sqref="C6">
    <cfRule type="expression" dxfId="68" priority="141" stopIfTrue="1">
      <formula>$C$6="Default units:    "</formula>
    </cfRule>
  </conditionalFormatting>
  <conditionalFormatting sqref="C8:E8">
    <cfRule type="expression" dxfId="67" priority="7" stopIfTrue="1">
      <formula>$F$8=1</formula>
    </cfRule>
  </conditionalFormatting>
  <conditionalFormatting sqref="C14:E14">
    <cfRule type="expression" dxfId="66" priority="3" stopIfTrue="1">
      <formula>$F$14=""</formula>
    </cfRule>
  </conditionalFormatting>
  <conditionalFormatting sqref="C16:E16">
    <cfRule type="expression" dxfId="65" priority="2" stopIfTrue="1">
      <formula>$F$16=""</formula>
    </cfRule>
  </conditionalFormatting>
  <conditionalFormatting sqref="C18:E18">
    <cfRule type="expression" dxfId="64" priority="1" stopIfTrue="1">
      <formula>$F$18=1</formula>
    </cfRule>
  </conditionalFormatting>
  <conditionalFormatting sqref="C10:E10">
    <cfRule type="expression" dxfId="63" priority="156" stopIfTrue="1">
      <formula>OR($F$10=1,$D$12=1)</formula>
    </cfRule>
  </conditionalFormatting>
  <printOptions horizontalCentered="1"/>
  <pageMargins left="1" right="1" top="0.5" bottom="0.75" header="0.5" footer="0.5"/>
  <pageSetup scale="97" orientation="landscape" horizontalDpi="300" verticalDpi="300" r:id="rId4"/>
  <headerFooter alignWithMargins="0">
    <oddFooter>&amp;L&amp;D&amp;C&amp;A&amp;RPage &amp;P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78" r:id="rId7" name="Drop Down 34">
              <controlPr locked="0" defaultSize="0" autoLine="0" autoPict="0" macro="[0]!ChgSolo">
                <anchor moveWithCells="1">
                  <from>
                    <xdr:col>5</xdr:col>
                    <xdr:colOff>0</xdr:colOff>
                    <xdr:row>6</xdr:row>
                    <xdr:rowOff>49530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5" r:id="rId8" name="Drop Down 141">
              <controlPr locked="0" defaultSize="0" autoLine="0" autoPict="0" macro="[0]!Macro3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6" r:id="rId9" name="Drop Down 142">
              <controlPr locked="0" defaultSize="0" autoLine="0" autoPict="0" macro="[0]!CalDate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11430</xdr:colOff>
                    <xdr:row>12</xdr:row>
                    <xdr:rowOff>11430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7" r:id="rId10" name="Drop Down 143">
              <controlPr defaultSize="0" autoLine="0" autoPict="0">
                <anchor moveWithCells="1">
                  <from>
                    <xdr:col>5</xdr:col>
                    <xdr:colOff>0</xdr:colOff>
                    <xdr:row>4</xdr:row>
                    <xdr:rowOff>76200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8" r:id="rId11" name="Drop Down 144">
              <controlPr defaultSize="0" autoLine="0" autoPict="0" macro="[0]!CalDate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1:L64"/>
  <sheetViews>
    <sheetView zoomScaleNormal="75" workbookViewId="0"/>
  </sheetViews>
  <sheetFormatPr defaultRowHeight="13" customHeight="1" x14ac:dyDescent="0.4"/>
  <cols>
    <col min="1" max="1" width="17.5546875" customWidth="1"/>
    <col min="2" max="2" width="16.71875" customWidth="1"/>
    <col min="3" max="3" width="12.71875" customWidth="1"/>
    <col min="4" max="4" width="16.5546875" customWidth="1"/>
    <col min="5" max="5" width="12.71875" customWidth="1"/>
    <col min="6" max="6" width="11.71875" customWidth="1"/>
    <col min="7" max="7" width="18.71875" customWidth="1"/>
    <col min="8" max="8" width="14.44140625" customWidth="1"/>
    <col min="9" max="9" width="17" bestFit="1" customWidth="1"/>
  </cols>
  <sheetData>
    <row r="1" ht="12.3" x14ac:dyDescent="0.4"/>
    <row r="2" ht="12.3" x14ac:dyDescent="0.4"/>
    <row r="3" ht="12.3" x14ac:dyDescent="0.4"/>
    <row r="4" ht="12.3" x14ac:dyDescent="0.4"/>
    <row r="5" ht="12.3" x14ac:dyDescent="0.4"/>
    <row r="6" ht="12.3" x14ac:dyDescent="0.4"/>
    <row r="7" ht="12.3" x14ac:dyDescent="0.4"/>
    <row r="8" ht="12.3" x14ac:dyDescent="0.4"/>
    <row r="9" ht="12.3" x14ac:dyDescent="0.4"/>
    <row r="10" ht="12.3" x14ac:dyDescent="0.4"/>
    <row r="11" ht="12.3" x14ac:dyDescent="0.4"/>
    <row r="12" ht="12.3" x14ac:dyDescent="0.4"/>
    <row r="13" ht="12.3" x14ac:dyDescent="0.4"/>
    <row r="14" ht="12.3" x14ac:dyDescent="0.4"/>
    <row r="15" ht="12.3" x14ac:dyDescent="0.4"/>
    <row r="16" ht="12.3" x14ac:dyDescent="0.4"/>
    <row r="17" ht="12.3" x14ac:dyDescent="0.4"/>
    <row r="18" ht="12.3" x14ac:dyDescent="0.4"/>
    <row r="19" ht="12.3" x14ac:dyDescent="0.4"/>
    <row r="20" ht="12.3" x14ac:dyDescent="0.4"/>
    <row r="21" ht="12.3" x14ac:dyDescent="0.4"/>
    <row r="22" ht="12.3" x14ac:dyDescent="0.4"/>
    <row r="23" ht="12.3" x14ac:dyDescent="0.4"/>
    <row r="24" ht="12.3" x14ac:dyDescent="0.4"/>
    <row r="25" ht="12.3" x14ac:dyDescent="0.4"/>
    <row r="26" ht="12.3" x14ac:dyDescent="0.4"/>
    <row r="27" ht="12.3" x14ac:dyDescent="0.4"/>
    <row r="28" ht="12.3" x14ac:dyDescent="0.4"/>
    <row r="29" ht="12.3" x14ac:dyDescent="0.4"/>
    <row r="30" ht="12.3" x14ac:dyDescent="0.4"/>
    <row r="31" ht="12.3" x14ac:dyDescent="0.4"/>
    <row r="32" ht="12.3" x14ac:dyDescent="0.4"/>
    <row r="33" spans="3:12" ht="12.3" x14ac:dyDescent="0.4"/>
    <row r="34" spans="3:12" ht="12.3" x14ac:dyDescent="0.4"/>
    <row r="35" spans="3:12" ht="12.3" x14ac:dyDescent="0.4"/>
    <row r="36" spans="3:12" ht="12.3" x14ac:dyDescent="0.4"/>
    <row r="37" spans="3:12" ht="12.3" x14ac:dyDescent="0.4"/>
    <row r="38" spans="3:12" ht="12.3" x14ac:dyDescent="0.4"/>
    <row r="39" spans="3:12" ht="12.3" x14ac:dyDescent="0.4"/>
    <row r="40" spans="3:12" ht="12.3" x14ac:dyDescent="0.4"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</row>
    <row r="41" spans="3:12" ht="12.3" x14ac:dyDescent="0.4"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</row>
    <row r="42" spans="3:12" ht="12.3" x14ac:dyDescent="0.4"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</row>
    <row r="43" spans="3:12" ht="12.3" x14ac:dyDescent="0.4"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</row>
    <row r="44" spans="3:12" ht="12.3" x14ac:dyDescent="0.4"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</row>
    <row r="45" spans="3:12" ht="12.3" x14ac:dyDescent="0.4"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</row>
    <row r="46" spans="3:12" ht="12.3" x14ac:dyDescent="0.4"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</row>
    <row r="47" spans="3:12" ht="12.3" x14ac:dyDescent="0.4"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</row>
    <row r="48" spans="3:12" ht="12.3" x14ac:dyDescent="0.4"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</row>
    <row r="49" spans="3:12" ht="12.3" x14ac:dyDescent="0.4"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</row>
    <row r="50" spans="3:12" ht="12.3" x14ac:dyDescent="0.4"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</row>
    <row r="51" spans="3:12" ht="12.3" x14ac:dyDescent="0.4"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</row>
    <row r="52" spans="3:12" ht="12.3" x14ac:dyDescent="0.4"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</row>
    <row r="53" spans="3:12" ht="12.3" x14ac:dyDescent="0.4"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</row>
    <row r="54" spans="3:12" ht="12.3" x14ac:dyDescent="0.4"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</row>
    <row r="55" spans="3:12" ht="12.3" x14ac:dyDescent="0.4"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</row>
    <row r="56" spans="3:12" ht="12.3" x14ac:dyDescent="0.4"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</row>
    <row r="57" spans="3:12" ht="12.3" x14ac:dyDescent="0.4"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</row>
    <row r="58" spans="3:12" ht="12.3" x14ac:dyDescent="0.4"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</row>
    <row r="59" spans="3:12" ht="12.3" x14ac:dyDescent="0.4"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</row>
    <row r="60" spans="3:12" ht="12.3" x14ac:dyDescent="0.4"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</row>
    <row r="61" spans="3:12" ht="12.3" x14ac:dyDescent="0.4"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</row>
    <row r="62" spans="3:12" ht="12.3" x14ac:dyDescent="0.4"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</row>
    <row r="63" spans="3:12" ht="12.3" x14ac:dyDescent="0.4"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</row>
    <row r="64" spans="3:12" ht="12.3" x14ac:dyDescent="0.4"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</row>
  </sheetData>
  <customSheetViews>
    <customSheetView guid="{A921FC5E-826F-4CBA-9479-3BFF6B42C1E4}" state="hidden">
      <pageMargins left="0.75" right="0.75" top="1" bottom="1" header="0.5" footer="0.5"/>
      <pageSetup orientation="portrait" r:id="rId1"/>
      <headerFooter alignWithMargins="0"/>
    </customSheetView>
    <customSheetView guid="{5A90EFA9-31B0-4AB9-9C9D-5F587FBCF9F6}" state="hidden">
      <pageMargins left="0.75" right="0.75" top="1" bottom="1" header="0.5" footer="0.5"/>
      <pageSetup orientation="portrait" r:id="rId2"/>
      <headerFooter alignWithMargins="0"/>
    </customSheetView>
    <customSheetView guid="{0EEACCE0-EC3D-41E2-9461-B930F93FB082}" state="hidden">
      <pageMargins left="0.75" right="0.75" top="1" bottom="1" header="0.5" footer="0.5"/>
      <pageSetup scale="61" orientation="portrait" r:id="rId3"/>
      <headerFooter alignWithMargins="0"/>
    </customSheetView>
  </customSheetViews>
  <phoneticPr fontId="2" type="noConversion"/>
  <pageMargins left="0.75" right="0.75" top="1" bottom="1" header="0.5" footer="0.5"/>
  <pageSetup scale="61" orientation="portrait" r:id="rId4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indexed="27"/>
    <pageSetUpPr autoPageBreaks="0" fitToPage="1"/>
  </sheetPr>
  <dimension ref="A1:I24"/>
  <sheetViews>
    <sheetView showGridLines="0" showRowColHeaders="0" showOutlineSymbols="0" zoomScale="143" zoomScaleNormal="143" zoomScaleSheetLayoutView="68" workbookViewId="0"/>
  </sheetViews>
  <sheetFormatPr defaultColWidth="9.1640625" defaultRowHeight="12.75" customHeight="1" x14ac:dyDescent="0.4"/>
  <cols>
    <col min="1" max="1" width="12.71875" customWidth="1"/>
    <col min="2" max="7" width="15.71875" customWidth="1"/>
    <col min="8" max="8" width="16.27734375" customWidth="1"/>
    <col min="9" max="9" width="15.71875" customWidth="1"/>
  </cols>
  <sheetData>
    <row r="1" spans="1:9" s="21" customFormat="1" ht="16" customHeight="1" x14ac:dyDescent="0.4">
      <c r="A1"/>
    </row>
    <row r="2" spans="1:9" s="21" customFormat="1" ht="16" customHeight="1" x14ac:dyDescent="0.4">
      <c r="F2" s="245"/>
      <c r="G2" s="307" t="s">
        <v>8</v>
      </c>
      <c r="H2" s="307"/>
      <c r="I2" s="307"/>
    </row>
    <row r="3" spans="1:9" s="21" customFormat="1" ht="8.1" customHeight="1" thickBot="1" x14ac:dyDescent="0.45"/>
    <row r="4" spans="1:9" s="21" customFormat="1" ht="18" customHeight="1" x14ac:dyDescent="0.4">
      <c r="B4" s="318" t="s">
        <v>116</v>
      </c>
      <c r="C4" s="319"/>
      <c r="D4" s="290"/>
      <c r="E4" s="290"/>
      <c r="F4" s="319" t="str">
        <f>IF(I10&gt;3,"A maximum of 3 Turn Points are permitted","")</f>
        <v/>
      </c>
      <c r="G4" s="319"/>
      <c r="H4" s="319"/>
      <c r="I4" s="320"/>
    </row>
    <row r="5" spans="1:9" s="21" customFormat="1" ht="6" customHeight="1" x14ac:dyDescent="0.4">
      <c r="B5" s="246"/>
      <c r="C5" s="247"/>
      <c r="D5" s="247"/>
      <c r="E5" s="247"/>
      <c r="F5" s="247"/>
      <c r="G5" s="247"/>
      <c r="H5" s="247"/>
      <c r="I5" s="248"/>
    </row>
    <row r="6" spans="1:9" s="21" customFormat="1" ht="18" customHeight="1" x14ac:dyDescent="0.4">
      <c r="B6" s="86"/>
      <c r="C6" s="249" t="s">
        <v>117</v>
      </c>
      <c r="D6" s="308" t="str">
        <f>CONCATENATE([4]PRS!A1," , ",[4]PRS!B1)</f>
        <v>0 , 0</v>
      </c>
      <c r="E6" s="309"/>
      <c r="G6" s="249" t="s">
        <v>118</v>
      </c>
      <c r="H6" s="250">
        <f>[4]PRS!A2</f>
        <v>0</v>
      </c>
      <c r="I6" s="289"/>
    </row>
    <row r="7" spans="1:9" s="21" customFormat="1" ht="8.1" customHeight="1" x14ac:dyDescent="0.4">
      <c r="B7" s="86"/>
      <c r="C7" s="251"/>
      <c r="D7" s="252"/>
      <c r="E7" s="253"/>
      <c r="F7" s="84"/>
      <c r="G7" s="251"/>
      <c r="H7" s="247"/>
      <c r="I7" s="248"/>
    </row>
    <row r="8" spans="1:9" s="21" customFormat="1" ht="18" customHeight="1" x14ac:dyDescent="0.4">
      <c r="B8" s="254" t="s">
        <v>119</v>
      </c>
      <c r="C8" s="310">
        <f>IF([4]PRS!$B$4=0,[4]PRS!$A$4,CONCATENATE([4]PRS!$A$4," &amp; ",[4]PRS!$B$4))</f>
        <v>0</v>
      </c>
      <c r="D8" s="311"/>
      <c r="E8" s="312"/>
      <c r="F8" s="251" t="s">
        <v>129</v>
      </c>
      <c r="G8" s="308" t="str">
        <f>CONCATENATE([4]PRS!$A$5," , ",[4]PRS!$B$5)</f>
        <v>0 , 0</v>
      </c>
      <c r="H8" s="309"/>
      <c r="I8" s="248"/>
    </row>
    <row r="9" spans="1:9" s="21" customFormat="1" ht="6" customHeight="1" thickBot="1" x14ac:dyDescent="0.45">
      <c r="B9" s="246"/>
      <c r="C9" s="247"/>
      <c r="D9" s="247"/>
      <c r="E9" s="247"/>
      <c r="F9" s="247"/>
      <c r="G9" s="247"/>
      <c r="H9" s="247"/>
      <c r="I9" s="248"/>
    </row>
    <row r="10" spans="1:9" s="98" customFormat="1" ht="18" customHeight="1" x14ac:dyDescent="0.4">
      <c r="B10" s="313" t="s">
        <v>120</v>
      </c>
      <c r="C10" s="314"/>
      <c r="D10" s="315"/>
      <c r="E10" s="316">
        <f>IF('ALL CLAIMS'!$F$18=3,[4]IMP!$Y$2,MAX([4]IMP!$Y$1,[4]IMP!$Y$1021))</f>
        <v>0</v>
      </c>
      <c r="F10" s="317"/>
      <c r="G10" s="314" t="s">
        <v>121</v>
      </c>
      <c r="H10" s="314"/>
      <c r="I10" s="255">
        <f>[4]IMP!$Z$2</f>
        <v>0</v>
      </c>
    </row>
    <row r="11" spans="1:9" s="98" customFormat="1" ht="8.1" customHeight="1" x14ac:dyDescent="0.4">
      <c r="B11" s="256"/>
      <c r="C11" s="257"/>
      <c r="D11" s="258"/>
      <c r="G11" s="249"/>
      <c r="I11" s="259"/>
    </row>
    <row r="12" spans="1:9" s="98" customFormat="1" ht="18" customHeight="1" x14ac:dyDescent="0.4">
      <c r="B12" s="256"/>
      <c r="C12" s="257"/>
      <c r="D12" s="260"/>
      <c r="E12" s="97" t="s">
        <v>122</v>
      </c>
      <c r="F12" s="97" t="s">
        <v>123</v>
      </c>
      <c r="G12" s="249"/>
      <c r="H12" s="99" t="s">
        <v>124</v>
      </c>
      <c r="I12" s="261" t="s">
        <v>123</v>
      </c>
    </row>
    <row r="13" spans="1:9" s="98" customFormat="1" ht="18" customHeight="1" x14ac:dyDescent="0.4">
      <c r="B13" s="262" t="s">
        <v>2</v>
      </c>
      <c r="C13" s="263">
        <f>[4]IMP!$AO$1</f>
        <v>0</v>
      </c>
      <c r="D13" s="260"/>
      <c r="E13" s="264">
        <f>[4]IMP!$AI$2</f>
        <v>0</v>
      </c>
      <c r="F13" s="265">
        <f>[4]IMP!$AJ$2</f>
        <v>0</v>
      </c>
      <c r="G13" s="266"/>
      <c r="H13" s="264">
        <f>[4]IMP!$AL$2</f>
        <v>0</v>
      </c>
      <c r="I13" s="267">
        <f>[4]IMP!$AM$2</f>
        <v>0</v>
      </c>
    </row>
    <row r="14" spans="1:9" s="98" customFormat="1" ht="6" customHeight="1" x14ac:dyDescent="0.4">
      <c r="B14" s="254"/>
      <c r="C14" s="268"/>
      <c r="D14" s="260"/>
      <c r="E14" s="269"/>
      <c r="F14" s="270"/>
      <c r="G14" s="251"/>
      <c r="H14" s="269"/>
      <c r="I14" s="271"/>
    </row>
    <row r="15" spans="1:9" s="98" customFormat="1" ht="18" customHeight="1" x14ac:dyDescent="0.4">
      <c r="B15" s="262" t="s">
        <v>125</v>
      </c>
      <c r="C15" s="272" t="str">
        <f>IF(I10&gt;=1,[4]IMP!$AV$1,"None")</f>
        <v>None</v>
      </c>
      <c r="D15" s="273"/>
      <c r="E15" s="264" t="str">
        <f>IF(C15="NONE","",[4]IMP!$AP$2)</f>
        <v/>
      </c>
      <c r="F15" s="265" t="str">
        <f>IF(E15="","",[4]IMP!$AQ$2)</f>
        <v/>
      </c>
      <c r="G15" s="257"/>
      <c r="H15" s="264" t="str">
        <f>IF(F15="","",[4]IMP!$AS$2)</f>
        <v/>
      </c>
      <c r="I15" s="267" t="str">
        <f>IF(H15="","",[4]IMP!$AT$2)</f>
        <v/>
      </c>
    </row>
    <row r="16" spans="1:9" s="98" customFormat="1" ht="6" customHeight="1" x14ac:dyDescent="0.4">
      <c r="B16" s="256"/>
      <c r="C16" s="251"/>
      <c r="D16" s="251"/>
      <c r="E16" s="274"/>
      <c r="F16" s="275"/>
      <c r="G16" s="257"/>
      <c r="H16" s="276"/>
      <c r="I16" s="277"/>
    </row>
    <row r="17" spans="2:9" s="98" customFormat="1" ht="18" customHeight="1" x14ac:dyDescent="0.4">
      <c r="B17" s="262" t="s">
        <v>126</v>
      </c>
      <c r="C17" s="272" t="str">
        <f>IF(I10&gt;=2,[4]IMP!$BC$1,"None")</f>
        <v>None</v>
      </c>
      <c r="D17" s="273"/>
      <c r="E17" s="264" t="str">
        <f>IF(C17="NONE","",[4]IMP!$AW$2)</f>
        <v/>
      </c>
      <c r="F17" s="265" t="str">
        <f>IF(E17="","",[4]IMP!$AX$2)</f>
        <v/>
      </c>
      <c r="G17" s="257"/>
      <c r="H17" s="264" t="str">
        <f>IF(F17="","",[4]IMP!$AZ$2)</f>
        <v/>
      </c>
      <c r="I17" s="267" t="str">
        <f>IF(H17="","",[4]IMP!$BA$2)</f>
        <v/>
      </c>
    </row>
    <row r="18" spans="2:9" s="98" customFormat="1" ht="6" customHeight="1" x14ac:dyDescent="0.4">
      <c r="B18" s="256"/>
      <c r="C18" s="251"/>
      <c r="D18" s="251"/>
      <c r="E18" s="274"/>
      <c r="F18" s="275"/>
      <c r="G18" s="257"/>
      <c r="H18" s="276"/>
      <c r="I18" s="277"/>
    </row>
    <row r="19" spans="2:9" s="98" customFormat="1" ht="18" customHeight="1" x14ac:dyDescent="0.4">
      <c r="B19" s="262" t="s">
        <v>127</v>
      </c>
      <c r="C19" s="272" t="str">
        <f>IF(I10&gt;=3,[4]IMP!$BJ$1,"None")</f>
        <v>None</v>
      </c>
      <c r="D19" s="273"/>
      <c r="E19" s="264" t="str">
        <f>IF(I10&gt;=3,[4]IMP!$BD$2,"")</f>
        <v/>
      </c>
      <c r="F19" s="265" t="str">
        <f>IF(I10&gt;=3,[4]IMP!$BE$2,"")</f>
        <v/>
      </c>
      <c r="G19" s="257"/>
      <c r="H19" s="264" t="str">
        <f>IF(I10&gt;=3,[4]IMP!$BG$2,"")</f>
        <v/>
      </c>
      <c r="I19" s="267" t="str">
        <f>IF(I10&gt;=3,[4]IMP!$BH$2,"")</f>
        <v/>
      </c>
    </row>
    <row r="20" spans="2:9" s="98" customFormat="1" ht="6" customHeight="1" x14ac:dyDescent="0.4">
      <c r="B20" s="254"/>
      <c r="C20" s="268"/>
      <c r="D20" s="251"/>
      <c r="E20" s="269"/>
      <c r="F20" s="270"/>
      <c r="G20" s="251"/>
      <c r="H20" s="269"/>
      <c r="I20" s="278"/>
    </row>
    <row r="21" spans="2:9" s="98" customFormat="1" ht="18" customHeight="1" x14ac:dyDescent="0.4">
      <c r="B21" s="262" t="str">
        <f>IF(I10&lt;=3,"Finish Point","Invalid TP")</f>
        <v>Finish Point</v>
      </c>
      <c r="C21" s="279">
        <f>IF(I10=0,[4]IMP!$AV$1,IF(I10=1,[4]IMP!$BC$1,IF(I10=2,[4]IMP!$BJ$1,IF(OR(I10="Too Many",I10&gt;=3),[4]IMP!$BQ$1))))</f>
        <v>0</v>
      </c>
      <c r="D21" s="257"/>
      <c r="E21" s="264">
        <f>IF(I10=0,[4]IMP!$AP$2,IF(I10=1,[4]IMP!$AW$2,IF(I10=2,[4]IMP!$BD$2,IF(I10&gt;=3,[4]IMP!$BK$2,""))))</f>
        <v>0</v>
      </c>
      <c r="F21" s="265">
        <f>IF(I10=0,[4]IMP!$AQ$2,IF(I10=1,[4]IMP!$AX$2,IF(I10=2,[4]IMP!$BE$2,IF(I10&gt;=3,[4]IMP!$BL$2,""))))</f>
        <v>0</v>
      </c>
      <c r="G21" s="257"/>
      <c r="H21" s="264" t="str">
        <f>IF(10=0,[4]IMP!$AS$2,IF(I10=1,[4]IMP!$AZ$2,IF(I10=2,[4]IMP!$BG$2,IF(I10&gt;=3,[4]IMP!$BN$2,""))))</f>
        <v/>
      </c>
      <c r="I21" s="267">
        <f>IF(I10=0,[4]IMP!$AT$2,IF(I10=1,[4]IMP!$BA$2,IF(I10=2,[4]IMP!$BH$2,IF(I10&gt;=3,[4]IMP!$BO$2,""))))</f>
        <v>0</v>
      </c>
    </row>
    <row r="22" spans="2:9" s="84" customFormat="1" ht="6" customHeight="1" thickBot="1" x14ac:dyDescent="0.45">
      <c r="B22" s="280"/>
      <c r="C22" s="281"/>
      <c r="D22" s="282"/>
      <c r="E22" s="282"/>
      <c r="F22" s="282"/>
      <c r="G22" s="282"/>
      <c r="H22" s="283"/>
      <c r="I22" s="284"/>
    </row>
    <row r="23" spans="2:9" s="100" customFormat="1" ht="6" customHeight="1" x14ac:dyDescent="0.4">
      <c r="B23" s="285"/>
      <c r="C23" s="286"/>
      <c r="D23" s="286"/>
      <c r="E23" s="286"/>
      <c r="F23" s="286"/>
      <c r="G23" s="286"/>
      <c r="H23" s="287"/>
      <c r="I23" s="288"/>
    </row>
    <row r="24" spans="2:9" s="21" customFormat="1" ht="16" customHeight="1" x14ac:dyDescent="0.4">
      <c r="B24" s="306" t="s">
        <v>128</v>
      </c>
      <c r="C24" s="306"/>
      <c r="D24" s="306"/>
      <c r="E24" s="306"/>
      <c r="F24" s="306"/>
      <c r="G24" s="306"/>
      <c r="H24" s="306"/>
      <c r="I24" s="306"/>
    </row>
  </sheetData>
  <sheetProtection password="C630" sheet="1" objects="1" scenarios="1" selectLockedCells="1" selectUnlockedCells="1"/>
  <protectedRanges>
    <protectedRange sqref="G6:G7 C6:C7 B4:G5 F8:G9 H4:I9 B8:C8 E7:E9 D7 B9:D9" name="Range1_1_1" securityDescriptor="O:WDG:WDD:(A;;CC;;;S-1-5-21-1467035181-4279586865-2809505834-1006)"/>
  </protectedRanges>
  <customSheetViews>
    <customSheetView guid="{A921FC5E-826F-4CBA-9479-3BFF6B42C1E4}" scale="112" showGridLines="0" showRowCol="0" outlineSymbols="0" fitToPage="1" state="hidden">
      <selection activeCell="B2" sqref="B2:I2"/>
      <rowBreaks count="1" manualBreakCount="1">
        <brk id="21" min="1" max="10" man="1"/>
      </rowBreaks>
      <pageMargins left="0.75" right="0.75" top="0.75" bottom="0.75" header="0.5" footer="0.5"/>
      <printOptions horizontalCentered="1"/>
      <pageSetup scale="98" orientation="landscape" horizontalDpi="300" verticalDpi="300" r:id="rId1"/>
      <headerFooter alignWithMargins="0"/>
    </customSheetView>
    <customSheetView guid="{5A90EFA9-31B0-4AB9-9C9D-5F587FBCF9F6}" scale="112" showGridLines="0" showRowCol="0" outlineSymbols="0" fitToPage="1" state="hidden">
      <selection activeCell="B2" sqref="B2:I2"/>
      <rowBreaks count="1" manualBreakCount="1">
        <brk id="21" min="1" max="10" man="1"/>
      </rowBreaks>
      <pageMargins left="0.75" right="0.75" top="0.75" bottom="0.75" header="0.5" footer="0.5"/>
      <printOptions horizontalCentered="1"/>
      <pageSetup scale="98" orientation="landscape" horizontalDpi="300" verticalDpi="300" r:id="rId2"/>
      <headerFooter alignWithMargins="0"/>
    </customSheetView>
    <customSheetView guid="{0EEACCE0-EC3D-41E2-9461-B930F93FB082}" showGridLines="0" showRowCol="0" outlineSymbols="0" fitToPage="1" state="hidden">
      <selection activeCell="B2" sqref="B2:I2"/>
      <rowBreaks count="1" manualBreakCount="1">
        <brk id="21" min="1" max="10" man="1"/>
      </rowBreaks>
      <pageMargins left="0.75" right="0.75" top="0.75" bottom="0.75" header="0.5" footer="0.5"/>
      <printOptions horizontalCentered="1"/>
      <pageSetup scale="98" orientation="landscape" horizontalDpi="300" verticalDpi="300" r:id="rId3"/>
      <headerFooter alignWithMargins="0"/>
    </customSheetView>
  </customSheetViews>
  <mergeCells count="10">
    <mergeCell ref="B24:I24"/>
    <mergeCell ref="G2:I2"/>
    <mergeCell ref="D6:E6"/>
    <mergeCell ref="C8:E8"/>
    <mergeCell ref="G8:H8"/>
    <mergeCell ref="B10:D10"/>
    <mergeCell ref="E10:F10"/>
    <mergeCell ref="G10:H10"/>
    <mergeCell ref="B4:C4"/>
    <mergeCell ref="F4:I4"/>
  </mergeCells>
  <phoneticPr fontId="2" type="noConversion"/>
  <conditionalFormatting sqref="G2:I2">
    <cfRule type="expression" dxfId="62" priority="1" stopIfTrue="1">
      <formula>$G$2&lt;&gt;"Downloaded"</formula>
    </cfRule>
  </conditionalFormatting>
  <printOptions horizontalCentered="1"/>
  <pageMargins left="0.75" right="0.75" top="0.75" bottom="0.75" header="0.5" footer="0.5"/>
  <pageSetup scale="98" orientation="landscape" horizontalDpi="300" verticalDpi="300" r:id="rId4"/>
  <headerFooter alignWithMargins="0"/>
  <rowBreaks count="1" manualBreakCount="1">
    <brk id="21" min="1" max="10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indexed="44"/>
    <pageSetUpPr autoPageBreaks="0" fitToPage="1"/>
  </sheetPr>
  <dimension ref="A1:N68"/>
  <sheetViews>
    <sheetView showGridLines="0" showRowColHeaders="0" showOutlineSymbols="0" zoomScale="126" zoomScaleNormal="126" zoomScaleSheetLayoutView="68" workbookViewId="0">
      <selection activeCell="D4" sqref="D4:E4"/>
    </sheetView>
  </sheetViews>
  <sheetFormatPr defaultColWidth="9.1640625" defaultRowHeight="12.75" customHeight="1" x14ac:dyDescent="0.4"/>
  <cols>
    <col min="1" max="1" width="21.609375" customWidth="1"/>
    <col min="2" max="3" width="15.71875" customWidth="1"/>
    <col min="4" max="4" width="12.71875" customWidth="1"/>
    <col min="5" max="5" width="13.71875" customWidth="1"/>
    <col min="6" max="7" width="8.71875" customWidth="1"/>
    <col min="8" max="8" width="7.71875" customWidth="1"/>
    <col min="9" max="9" width="4.83203125" customWidth="1"/>
    <col min="10" max="10" width="13.71875" customWidth="1"/>
    <col min="11" max="12" width="8.71875" customWidth="1"/>
    <col min="13" max="13" width="7.71875" customWidth="1"/>
    <col min="14" max="14" width="10.71875" customWidth="1"/>
  </cols>
  <sheetData>
    <row r="1" spans="1:14" s="79" customFormat="1" ht="12" customHeight="1" thickBot="1" x14ac:dyDescent="0.45">
      <c r="A1" s="83"/>
    </row>
    <row r="2" spans="1:14" s="30" customFormat="1" ht="18" customHeight="1" thickBot="1" x14ac:dyDescent="0.45">
      <c r="A2" s="79"/>
      <c r="B2" s="340" t="str">
        <f>IF('ALL CLAIMS'!F18=4,"Custom Electronic Declaration - Pilot or Aircraft Correction","Written Declaration")</f>
        <v>Written Declaration</v>
      </c>
      <c r="C2" s="341"/>
      <c r="D2" s="341"/>
      <c r="E2" s="341"/>
      <c r="F2" s="341"/>
      <c r="G2" s="341"/>
      <c r="H2" s="341"/>
      <c r="I2" s="341"/>
      <c r="J2" s="341"/>
      <c r="K2" s="341"/>
      <c r="L2" s="341"/>
      <c r="M2" s="342"/>
      <c r="N2" s="171"/>
    </row>
    <row r="3" spans="1:14" s="30" customFormat="1" ht="6" customHeight="1" x14ac:dyDescent="0.4">
      <c r="B3" s="102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4"/>
      <c r="N3" s="171"/>
    </row>
    <row r="4" spans="1:14" s="30" customFormat="1" ht="18" customHeight="1" x14ac:dyDescent="0.4">
      <c r="B4" s="343" t="s">
        <v>80</v>
      </c>
      <c r="C4" s="344"/>
      <c r="D4" s="351">
        <f>1</f>
        <v>1</v>
      </c>
      <c r="E4" s="351"/>
      <c r="F4" s="352" t="str">
        <f>IF(AND($D$4=4,$B$48="            FAI Free Record"),"Pilot &amp; Aircraft data will be read from the IGC file",IF($G$8&lt;&gt;"","Complete all items. If no in-flight crew, enter 'none'",""))</f>
        <v>Complete all items. If no in-flight crew, enter 'none'</v>
      </c>
      <c r="G4" s="352"/>
      <c r="H4" s="352"/>
      <c r="I4" s="352"/>
      <c r="J4" s="352"/>
      <c r="K4" s="352"/>
      <c r="L4" s="151"/>
      <c r="M4" s="242">
        <f>IF(OR('ALL CLAIMS'!F8&gt;3,G8&lt;&gt;""),2,1)</f>
        <v>2</v>
      </c>
      <c r="N4" s="171"/>
    </row>
    <row r="5" spans="1:14" s="30" customFormat="1" ht="7" customHeight="1" x14ac:dyDescent="0.4">
      <c r="B5" s="105"/>
      <c r="C5" s="106"/>
      <c r="D5" s="106"/>
      <c r="E5" s="106"/>
      <c r="F5" s="106"/>
      <c r="G5" s="106"/>
      <c r="H5" s="106"/>
      <c r="I5" s="106"/>
      <c r="J5" s="106"/>
      <c r="K5" s="106"/>
      <c r="L5" s="106"/>
      <c r="M5" s="107"/>
      <c r="N5" s="171"/>
    </row>
    <row r="6" spans="1:14" s="30" customFormat="1" ht="17.100000000000001" customHeight="1" x14ac:dyDescent="0.4">
      <c r="B6" s="345" t="str">
        <f>IF(AND(B2="Written Declaration",$D$4&lt;&gt;4),"            Written Dec date:  ","")</f>
        <v xml:space="preserve">            Written Dec date:  </v>
      </c>
      <c r="C6" s="346"/>
      <c r="D6" s="347"/>
      <c r="E6" s="347"/>
      <c r="F6" s="346" t="str">
        <f>IF(B6="","",IF('ALL CLAIMS'!F10&gt;2,"   Written Dec time (Local):","   Written Dec time (UTC):"))</f>
        <v xml:space="preserve">   Written Dec time (UTC):</v>
      </c>
      <c r="G6" s="346"/>
      <c r="H6" s="346"/>
      <c r="I6" s="346"/>
      <c r="J6" s="241"/>
      <c r="K6" s="32" t="str">
        <f>IF(OR(J6="",'ALL CLAIMS'!$P$65=0),"",J6-'ALL CLAIMS'!$P$65/24)</f>
        <v/>
      </c>
      <c r="L6" s="33" t="str">
        <f>IF(K6="","","UTC")</f>
        <v/>
      </c>
      <c r="M6" s="243" t="str">
        <f>IF(AND(J6="",SUM(E20:E28)=0),"",IF(OR(AND(OR($D$4=2,$D$4=3),$J$4&gt;0,SUM(D6+J6)&gt;0,OR(D6+J6-([4]PRS!$B$2/24)&gt;=[4]PRS!$G$1,AND(Parsed!A15&lt;Parsed!G1,D6+J6-([4]PRS!$B$2/24)&lt;Parsed!A15)))),"INVALID",""))</f>
        <v/>
      </c>
      <c r="N6" s="176"/>
    </row>
    <row r="7" spans="1:14" s="30" customFormat="1" ht="5.0999999999999996" customHeight="1" x14ac:dyDescent="0.4">
      <c r="B7" s="191"/>
      <c r="C7" s="192"/>
      <c r="D7" s="29"/>
      <c r="E7" s="187"/>
      <c r="F7" s="192"/>
      <c r="G7" s="192"/>
      <c r="H7" s="192"/>
      <c r="I7" s="192"/>
      <c r="J7" s="31"/>
      <c r="K7" s="32"/>
      <c r="L7" s="33"/>
      <c r="M7" s="28"/>
      <c r="N7" s="176"/>
    </row>
    <row r="8" spans="1:14" s="108" customFormat="1" ht="16" customHeight="1" x14ac:dyDescent="0.4">
      <c r="B8" s="321" t="str">
        <f>IF(OR(AND(D4&lt;&gt;4,B48="            FAI Free Record"),AND($D$4=4,B48="                  Custom")),"Pilot Name:     ","")</f>
        <v xml:space="preserve">Pilot Name:     </v>
      </c>
      <c r="C8" s="322"/>
      <c r="D8" s="329"/>
      <c r="E8" s="329"/>
      <c r="F8" s="329"/>
      <c r="G8" s="356" t="str">
        <f>IF(AND($D$4=4,$B$48="            FAI Free Record"),"","In-Flight Crew:")</f>
        <v>In-Flight Crew:</v>
      </c>
      <c r="H8" s="356"/>
      <c r="I8" s="356"/>
      <c r="J8" s="348"/>
      <c r="K8" s="349"/>
      <c r="L8" s="349"/>
      <c r="M8" s="67"/>
      <c r="N8" s="177"/>
    </row>
    <row r="9" spans="1:14" s="30" customFormat="1" ht="5.0999999999999996" customHeight="1" x14ac:dyDescent="0.4">
      <c r="B9" s="68"/>
      <c r="C9" s="69"/>
      <c r="D9" s="69"/>
      <c r="E9" s="69"/>
      <c r="F9" s="69"/>
      <c r="G9" s="69"/>
      <c r="H9" s="69"/>
      <c r="I9" s="69"/>
      <c r="J9" s="69"/>
      <c r="K9" s="69"/>
      <c r="L9" s="69"/>
      <c r="M9" s="70"/>
      <c r="N9" s="171"/>
    </row>
    <row r="10" spans="1:14" s="30" customFormat="1" ht="16" customHeight="1" x14ac:dyDescent="0.4">
      <c r="B10" s="353" t="str">
        <f>IF(B8&lt;&gt;"","Aircraft make &amp; model:    ","")</f>
        <v xml:space="preserve">Aircraft make &amp; model:    </v>
      </c>
      <c r="C10" s="354"/>
      <c r="D10" s="329"/>
      <c r="E10" s="350"/>
      <c r="F10" s="350"/>
      <c r="G10" s="350"/>
      <c r="H10" s="346" t="str">
        <f>IF(B10="","","       Registration #:")</f>
        <v xml:space="preserve">       Registration #:</v>
      </c>
      <c r="I10" s="346"/>
      <c r="J10" s="346"/>
      <c r="K10" s="329"/>
      <c r="L10" s="350"/>
      <c r="M10" s="70"/>
      <c r="N10" s="171"/>
    </row>
    <row r="11" spans="1:14" s="30" customFormat="1" ht="5.0999999999999996" customHeight="1" x14ac:dyDescent="0.4">
      <c r="B11" s="68"/>
      <c r="C11" s="69"/>
      <c r="D11" s="69"/>
      <c r="E11" s="69"/>
      <c r="F11" s="69"/>
      <c r="G11" s="69"/>
      <c r="H11" s="69"/>
      <c r="I11" s="69"/>
      <c r="J11" s="69"/>
      <c r="K11" s="69"/>
      <c r="L11" s="69"/>
      <c r="M11" s="70"/>
      <c r="N11" s="171"/>
    </row>
    <row r="12" spans="1:14" s="30" customFormat="1" ht="16" customHeight="1" x14ac:dyDescent="0.5">
      <c r="B12" s="109"/>
      <c r="C12" s="355" t="str">
        <f>IF(OR($D$4=1,B48="                  Custom"),"",IF($D$4=3,"Transcribe the declared task below",IF($D$4=2,"Way Points will be evaluated ONLY", " DD:MM.mmm coordinate format must")))</f>
        <v/>
      </c>
      <c r="D12" s="355"/>
      <c r="E12" s="355"/>
      <c r="F12" s="240" t="str">
        <f>IF(C12="","",IF(C12="Way Points will be evaluated ONLY","if the task declared before flight is transcribed below",IF(C12="Transcribe the declared task below","as shown in the written pre-flight declaration","be used  -  claim Way Points in the order achieved")))</f>
        <v/>
      </c>
      <c r="H12" s="96"/>
      <c r="I12" s="96"/>
      <c r="J12" s="96"/>
      <c r="K12" s="96"/>
      <c r="L12" s="69"/>
      <c r="M12" s="70"/>
      <c r="N12" s="171"/>
    </row>
    <row r="13" spans="1:14" s="30" customFormat="1" ht="16" customHeight="1" x14ac:dyDescent="0.4">
      <c r="B13" s="335" t="str">
        <f>IF(OR($D$4=1,B48="                  Custom"),"",IF(D4=4,"If fewer than five waypoints are claimed, leave the corresponding place name &amp; coordinate data blocks blank","If fewer than five waypoints were declared, leave the corresponding place name &amp; coordinate data blocks blank"))</f>
        <v/>
      </c>
      <c r="C13" s="336"/>
      <c r="D13" s="336">
        <v>1</v>
      </c>
      <c r="E13" s="336"/>
      <c r="F13" s="336"/>
      <c r="G13" s="336"/>
      <c r="H13" s="336"/>
      <c r="I13" s="336"/>
      <c r="J13" s="336"/>
      <c r="K13" s="336"/>
      <c r="L13" s="336"/>
      <c r="M13" s="337"/>
      <c r="N13" s="171"/>
    </row>
    <row r="14" spans="1:14" s="30" customFormat="1" ht="5.0999999999999996" customHeight="1" x14ac:dyDescent="0.4">
      <c r="B14" s="188"/>
      <c r="C14" s="189"/>
      <c r="D14" s="189"/>
      <c r="E14" s="189"/>
      <c r="F14" s="189"/>
      <c r="G14" s="189"/>
      <c r="H14" s="189"/>
      <c r="I14" s="189"/>
      <c r="J14" s="189"/>
      <c r="K14" s="189"/>
      <c r="L14" s="189"/>
      <c r="M14" s="190"/>
      <c r="N14" s="171"/>
    </row>
    <row r="15" spans="1:14" s="30" customFormat="1" ht="18" customHeight="1" x14ac:dyDescent="0.4">
      <c r="B15" s="345" t="s">
        <v>10</v>
      </c>
      <c r="C15" s="346"/>
      <c r="D15" s="339">
        <f>1</f>
        <v>1</v>
      </c>
      <c r="E15" s="339"/>
      <c r="F15" s="199">
        <v>2</v>
      </c>
      <c r="G15" s="333" t="str">
        <f>IF(AND(B2="Written Declaration",D4=4),"",IF('[1]Saved Way Points'!$O$10&gt;0,"Use saved Way Point(s)?  ","Add saved Way Points?  "))</f>
        <v xml:space="preserve">Add saved Way Points?  </v>
      </c>
      <c r="H15" s="333"/>
      <c r="I15" s="333"/>
      <c r="J15" s="333"/>
      <c r="K15" s="331">
        <f>1</f>
        <v>1</v>
      </c>
      <c r="L15" s="331"/>
      <c r="M15" s="107"/>
      <c r="N15" s="171" t="s">
        <v>89</v>
      </c>
    </row>
    <row r="16" spans="1:14" s="30" customFormat="1" ht="6" customHeight="1" x14ac:dyDescent="0.4">
      <c r="B16" s="109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107"/>
      <c r="N16" s="171" t="s">
        <v>91</v>
      </c>
    </row>
    <row r="17" spans="1:14" s="30" customFormat="1" ht="18" customHeight="1" x14ac:dyDescent="0.4">
      <c r="B17" s="335" t="str">
        <f>IF(AND($D$15&gt;1,$K$15=2,$N$18=2),"To list a Saved Way Point, enter its Place Name and click the corresponding dot. To view or edit Saved Way Points, click below","To claim Release as the Start and/or Finish Point, enter 'Release' for the place name(s) and leave coordinates blank.")</f>
        <v>To claim Release as the Start and/or Finish Point, enter 'Release' for the place name(s) and leave coordinates blank.</v>
      </c>
      <c r="C17" s="336"/>
      <c r="D17" s="336"/>
      <c r="E17" s="336"/>
      <c r="F17" s="336"/>
      <c r="G17" s="336"/>
      <c r="H17" s="336"/>
      <c r="I17" s="336"/>
      <c r="J17" s="336"/>
      <c r="K17" s="336"/>
      <c r="L17" s="336"/>
      <c r="M17" s="337"/>
      <c r="N17" s="171" t="s">
        <v>90</v>
      </c>
    </row>
    <row r="18" spans="1:14" s="30" customFormat="1" ht="18" customHeight="1" x14ac:dyDescent="0.4">
      <c r="B18" s="324"/>
      <c r="C18" s="325"/>
      <c r="D18" s="328" t="s">
        <v>93</v>
      </c>
      <c r="E18" s="328"/>
      <c r="F18" s="328"/>
      <c r="G18" s="332" t="str">
        <f>IF(OR(D4=1,D6="",J6=""),"",D6+J6-'ALL CLAIMS'!$P61/24)</f>
        <v/>
      </c>
      <c r="H18" s="332"/>
      <c r="I18" s="332"/>
      <c r="J18" s="326" t="s">
        <v>92</v>
      </c>
      <c r="K18" s="326"/>
      <c r="L18" s="78" t="str">
        <f>IF(J18="","",IF(AND(E22&gt;0,E24&gt;0,E26&gt;0),3,IF(AND(E22&gt;0,E24&gt;0),2,IF(E22&gt;0,1,"None"))))</f>
        <v>None</v>
      </c>
      <c r="M18" s="110"/>
      <c r="N18" s="171">
        <f>IF(G15="Add saved Way Points?  ",1,2)</f>
        <v>1</v>
      </c>
    </row>
    <row r="19" spans="1:14" s="108" customFormat="1" ht="18" customHeight="1" x14ac:dyDescent="0.4">
      <c r="B19" s="111"/>
      <c r="C19" s="78" t="s">
        <v>1</v>
      </c>
      <c r="D19" s="152"/>
      <c r="E19" s="78" t="s">
        <v>18</v>
      </c>
      <c r="F19" s="78" t="s">
        <v>11</v>
      </c>
      <c r="G19" s="78" t="str">
        <f>IF(D15=3,"SS",IF(D15=2,".mmm",""))</f>
        <v/>
      </c>
      <c r="H19" s="78" t="s">
        <v>13</v>
      </c>
      <c r="I19" s="112"/>
      <c r="J19" s="113" t="s">
        <v>17</v>
      </c>
      <c r="K19" s="113" t="s">
        <v>11</v>
      </c>
      <c r="L19" s="78" t="str">
        <f>IF(D15=3,"SS",IF(D15=2,".mmm",""))</f>
        <v/>
      </c>
      <c r="M19" s="114" t="s">
        <v>12</v>
      </c>
      <c r="N19" s="115"/>
    </row>
    <row r="20" spans="1:14" s="30" customFormat="1" ht="18" customHeight="1" x14ac:dyDescent="0.4">
      <c r="B20" s="116" t="s">
        <v>2</v>
      </c>
      <c r="C20" s="136"/>
      <c r="D20" s="172"/>
      <c r="E20" s="163"/>
      <c r="F20" s="138"/>
      <c r="G20" s="165"/>
      <c r="H20" s="136"/>
      <c r="I20" s="153"/>
      <c r="J20" s="163"/>
      <c r="K20" s="138"/>
      <c r="L20" s="165"/>
      <c r="M20" s="137"/>
      <c r="N20" s="166"/>
    </row>
    <row r="21" spans="1:14" s="30" customFormat="1" ht="4" customHeight="1" x14ac:dyDescent="0.4">
      <c r="B21" s="118"/>
      <c r="C21" s="154"/>
      <c r="D21" s="173"/>
      <c r="E21" s="97"/>
      <c r="F21" s="155"/>
      <c r="G21" s="168"/>
      <c r="H21" s="156"/>
      <c r="I21" s="157"/>
      <c r="J21" s="158"/>
      <c r="K21" s="159"/>
      <c r="L21" s="167"/>
      <c r="M21" s="160"/>
      <c r="N21" s="117"/>
    </row>
    <row r="22" spans="1:14" s="30" customFormat="1" ht="18" customHeight="1" x14ac:dyDescent="0.4">
      <c r="B22" s="119" t="s">
        <v>4</v>
      </c>
      <c r="C22" s="136"/>
      <c r="D22" s="174"/>
      <c r="E22" s="163"/>
      <c r="F22" s="138"/>
      <c r="G22" s="165"/>
      <c r="H22" s="136"/>
      <c r="I22" s="157"/>
      <c r="J22" s="163"/>
      <c r="K22" s="138"/>
      <c r="L22" s="165"/>
      <c r="M22" s="137"/>
    </row>
    <row r="23" spans="1:14" s="108" customFormat="1" ht="4" customHeight="1" x14ac:dyDescent="0.4">
      <c r="B23" s="191"/>
      <c r="C23" s="154"/>
      <c r="D23" s="193"/>
      <c r="E23" s="99"/>
      <c r="F23" s="155"/>
      <c r="G23" s="169"/>
      <c r="H23" s="155"/>
      <c r="I23" s="81"/>
      <c r="J23" s="156"/>
      <c r="K23" s="161"/>
      <c r="L23" s="168"/>
      <c r="M23" s="162"/>
    </row>
    <row r="24" spans="1:14" s="30" customFormat="1" ht="18" customHeight="1" x14ac:dyDescent="0.4">
      <c r="B24" s="119" t="s">
        <v>5</v>
      </c>
      <c r="C24" s="136"/>
      <c r="D24" s="174"/>
      <c r="E24" s="163"/>
      <c r="F24" s="138"/>
      <c r="G24" s="165"/>
      <c r="H24" s="136"/>
      <c r="I24" s="157"/>
      <c r="J24" s="163"/>
      <c r="K24" s="138"/>
      <c r="L24" s="165"/>
      <c r="M24" s="137"/>
    </row>
    <row r="25" spans="1:14" s="108" customFormat="1" ht="4" customHeight="1" x14ac:dyDescent="0.4">
      <c r="B25" s="191"/>
      <c r="C25" s="154"/>
      <c r="D25" s="193"/>
      <c r="E25" s="99"/>
      <c r="F25" s="155"/>
      <c r="G25" s="169"/>
      <c r="H25" s="155"/>
      <c r="I25" s="81"/>
      <c r="J25" s="156"/>
      <c r="K25" s="161"/>
      <c r="L25" s="168"/>
      <c r="M25" s="162"/>
    </row>
    <row r="26" spans="1:14" s="30" customFormat="1" ht="18" customHeight="1" x14ac:dyDescent="0.4">
      <c r="B26" s="119" t="s">
        <v>6</v>
      </c>
      <c r="C26" s="136"/>
      <c r="D26" s="174"/>
      <c r="E26" s="163"/>
      <c r="F26" s="138"/>
      <c r="G26" s="165"/>
      <c r="H26" s="136"/>
      <c r="I26" s="157"/>
      <c r="J26" s="163"/>
      <c r="K26" s="138"/>
      <c r="L26" s="165"/>
      <c r="M26" s="137"/>
      <c r="N26" s="34"/>
    </row>
    <row r="27" spans="1:14" s="108" customFormat="1" ht="4" customHeight="1" x14ac:dyDescent="0.4">
      <c r="B27" s="118"/>
      <c r="C27" s="154"/>
      <c r="D27" s="175"/>
      <c r="E27" s="99"/>
      <c r="F27" s="155"/>
      <c r="G27" s="169"/>
      <c r="H27" s="155"/>
      <c r="I27" s="81"/>
      <c r="J27" s="156"/>
      <c r="K27" s="161"/>
      <c r="L27" s="168"/>
      <c r="M27" s="162"/>
    </row>
    <row r="28" spans="1:14" s="30" customFormat="1" ht="18" customHeight="1" x14ac:dyDescent="0.4">
      <c r="B28" s="116" t="s">
        <v>3</v>
      </c>
      <c r="C28" s="136"/>
      <c r="D28" s="175"/>
      <c r="E28" s="163"/>
      <c r="F28" s="138"/>
      <c r="G28" s="165"/>
      <c r="H28" s="136"/>
      <c r="I28" s="145"/>
      <c r="J28" s="163"/>
      <c r="K28" s="138"/>
      <c r="L28" s="165"/>
      <c r="M28" s="137"/>
    </row>
    <row r="29" spans="1:14" s="30" customFormat="1" ht="6" customHeight="1" thickBot="1" x14ac:dyDescent="0.45">
      <c r="B29" s="120"/>
      <c r="C29" s="121"/>
      <c r="D29" s="121"/>
      <c r="E29" s="121"/>
      <c r="F29" s="121"/>
      <c r="G29" s="121"/>
      <c r="H29" s="121"/>
      <c r="I29" s="121"/>
      <c r="J29" s="121"/>
      <c r="K29" s="121"/>
      <c r="L29" s="121"/>
      <c r="M29" s="122"/>
    </row>
    <row r="30" spans="1:14" s="30" customFormat="1" ht="6" customHeight="1" x14ac:dyDescent="0.4"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</row>
    <row r="31" spans="1:14" s="125" customFormat="1" ht="16" customHeight="1" x14ac:dyDescent="0.4">
      <c r="A31" s="34"/>
      <c r="B31" s="323" t="str">
        <f>IF(AND(L18&lt;&gt;"None",L18&gt;1,OR(G54&lt;10,G55&lt;10,G56&lt;10)),"Turn Points less than 10 km apart",IF(OR(D4=1,AND(D4&lt;&gt;4,E51=""),AND(D4=2,B2="Written Declaration",D15=1,E49=""),AND(D4&gt;2,B2="Written Declaration",OR(D15=1,E49="",E50="")),AND(D4&gt;2,B2&lt;&gt;"Written Declaration",E49="")),"Data Entry Required Above",IF(F32=1,"Click a tab below to continue","Done? Click on the Glider to Confirm!")))</f>
        <v>Data Entry Required Above</v>
      </c>
      <c r="C31" s="323"/>
      <c r="D31" s="323"/>
      <c r="E31" s="323"/>
      <c r="F31" s="123"/>
      <c r="G31" s="124"/>
      <c r="H31" s="178"/>
      <c r="I31" s="178"/>
      <c r="J31" s="327" t="str">
        <f>IF(AND($K$15=2,$N$18=2),"View or Edit Saved Way Points","")</f>
        <v/>
      </c>
      <c r="K31" s="327"/>
      <c r="L31" s="327"/>
      <c r="M31" s="327"/>
    </row>
    <row r="32" spans="1:14" s="129" customFormat="1" ht="4" customHeight="1" x14ac:dyDescent="0.4">
      <c r="A32" s="126"/>
      <c r="B32" s="127"/>
      <c r="C32" s="127"/>
      <c r="D32" s="127"/>
      <c r="E32" s="127"/>
      <c r="F32" s="127" t="str">
        <f>IF(Parsed!A1&lt;&gt;"",1,"")</f>
        <v/>
      </c>
      <c r="G32" s="127"/>
      <c r="H32" s="127"/>
      <c r="I32" s="127"/>
      <c r="J32" s="127"/>
      <c r="K32" s="127"/>
      <c r="L32" s="127"/>
      <c r="M32" s="128"/>
    </row>
    <row r="33" spans="1:14" s="108" customFormat="1" ht="16" customHeight="1" x14ac:dyDescent="0.4">
      <c r="A33" s="129"/>
      <c r="B33" s="334" t="str">
        <f>IF(AND('ALL CLAIMS'!F18=3,[4]PRS!$H$32&gt;500),"ERROR? Start Point more than 500 km from release","")</f>
        <v/>
      </c>
      <c r="C33" s="334"/>
      <c r="D33" s="334"/>
      <c r="E33" s="334"/>
      <c r="F33" s="71"/>
      <c r="G33" s="338" t="str">
        <f>IF(OR(AND(E20&lt;&gt;"",OR(H20="",M20="")),AND(E22&lt;&gt;"",OR(H22="",M22="")),AND(E24&lt;&gt;"",OR(H24="",M24="")),AND(E26&lt;&gt;"",OR(H26="",M26="")),AND(E28&lt;&gt;"",OR(H28="",M28=""))),"Hemisphere(s) missing above",IF(OR(AND(D15=2,OR(G20&gt;=1,G22&gt;=1,G24&gt;=1,G26&gt;=1,G28&gt;=1,L20&gt;=1,L22&gt;=1,L24&gt;=1,L26&gt;=1,L28&gt;=1)),AND(D15=3,OR(AND(G20&lt;&gt;0,OR(G20&gt;59,G20&lt;1)),AND(G22&lt;&gt;0,OR(G22&gt;59,G22&lt;1)),AND(G24&lt;&gt;0,OR(G24&gt;59,G24&lt;1)),AND(G26&lt;&gt;0,OR(G26&gt;59,G26&lt;1)),AND(G28&lt;&gt;0,OR(G28&gt;59,G28&lt;1)),AND(L20&lt;&gt;0,OR(L20&gt;59,L20&lt;1)),AND(L22&lt;&gt;0,OR(L22&gt;59,L22&lt;1)),AND(L24&lt;&gt;0,OR(L24&gt;59,L24&lt;1)),AND(L26&lt;&gt;0,OR(L26&gt;59,L26&lt;1)),AND(L28&lt;&gt;0,OR(L28&gt;59,L28&lt;1))))),"Coordinate format(s) incorrect above",""))</f>
        <v/>
      </c>
      <c r="H33" s="338"/>
      <c r="I33" s="338"/>
      <c r="J33" s="338"/>
      <c r="K33" s="338"/>
      <c r="L33" s="338"/>
      <c r="M33" s="338"/>
      <c r="N33" s="130"/>
    </row>
    <row r="34" spans="1:14" s="30" customFormat="1" ht="4" customHeight="1" x14ac:dyDescent="0.4">
      <c r="M34" s="34"/>
    </row>
    <row r="35" spans="1:14" s="30" customFormat="1" ht="16" customHeight="1" x14ac:dyDescent="0.4">
      <c r="B35" s="131"/>
      <c r="C35" s="132"/>
      <c r="D35" s="132"/>
      <c r="E35" s="132"/>
      <c r="F35" s="132"/>
      <c r="G35" s="330"/>
      <c r="H35" s="330"/>
      <c r="I35" s="330"/>
      <c r="J35" s="330"/>
      <c r="K35" s="330"/>
      <c r="L35" s="330"/>
      <c r="M35" s="330"/>
    </row>
    <row r="36" spans="1:14" s="30" customFormat="1" ht="16" customHeight="1" x14ac:dyDescent="0.4">
      <c r="C36" s="133"/>
      <c r="M36" s="34"/>
    </row>
    <row r="37" spans="1:14" s="30" customFormat="1" ht="16" customHeight="1" x14ac:dyDescent="0.4">
      <c r="I37" s="134"/>
      <c r="M37" s="34"/>
    </row>
    <row r="38" spans="1:14" s="30" customFormat="1" ht="16" customHeight="1" x14ac:dyDescent="0.4">
      <c r="F38" s="134"/>
      <c r="G38" s="134"/>
      <c r="H38" s="134"/>
      <c r="I38" s="135"/>
      <c r="J38" s="134"/>
      <c r="M38" s="34"/>
    </row>
    <row r="39" spans="1:14" s="30" customFormat="1" ht="16" customHeight="1" x14ac:dyDescent="0.4">
      <c r="B39" s="79"/>
      <c r="C39" s="79"/>
      <c r="D39" s="79"/>
      <c r="E39" s="79"/>
      <c r="F39" s="170"/>
      <c r="G39" s="79"/>
      <c r="H39" s="79"/>
      <c r="I39" s="79"/>
      <c r="J39" s="79"/>
      <c r="K39" s="79"/>
      <c r="L39" s="79"/>
      <c r="M39" s="79"/>
    </row>
    <row r="40" spans="1:14" s="30" customFormat="1" ht="16" customHeight="1" x14ac:dyDescent="0.4">
      <c r="B40" s="79"/>
      <c r="C40" s="79"/>
      <c r="D40" s="79"/>
      <c r="E40" s="79"/>
      <c r="F40" s="79"/>
      <c r="G40" s="79"/>
      <c r="H40" s="79"/>
      <c r="I40" s="79"/>
      <c r="J40" s="79"/>
      <c r="K40" s="79"/>
      <c r="L40" s="79"/>
      <c r="M40" s="79"/>
    </row>
    <row r="41" spans="1:14" s="30" customFormat="1" ht="16" customHeight="1" x14ac:dyDescent="0.4">
      <c r="B41" s="79"/>
      <c r="C41" s="79"/>
      <c r="D41" s="79"/>
      <c r="E41" s="79"/>
      <c r="F41" s="79"/>
      <c r="G41" s="79"/>
      <c r="H41" s="79"/>
      <c r="I41" s="79"/>
      <c r="J41" s="79"/>
      <c r="K41" s="79"/>
      <c r="L41" s="79"/>
      <c r="M41" s="79"/>
    </row>
    <row r="42" spans="1:14" s="30" customFormat="1" ht="16" customHeight="1" x14ac:dyDescent="0.4">
      <c r="B42" s="79"/>
      <c r="C42" s="79"/>
      <c r="D42" s="79"/>
      <c r="E42" s="79"/>
      <c r="F42" s="79"/>
      <c r="G42" s="79"/>
      <c r="H42" s="79"/>
      <c r="I42" s="79"/>
      <c r="J42" s="79"/>
      <c r="K42" s="79"/>
      <c r="L42" s="79"/>
      <c r="M42" s="79"/>
    </row>
    <row r="43" spans="1:14" s="30" customFormat="1" ht="16" customHeight="1" x14ac:dyDescent="0.4">
      <c r="B43" s="79"/>
      <c r="C43" s="79"/>
      <c r="D43" s="79"/>
      <c r="E43" s="79"/>
      <c r="F43" s="79"/>
      <c r="G43" s="79"/>
      <c r="H43" s="79"/>
      <c r="I43" s="79"/>
      <c r="J43" s="79"/>
      <c r="K43" s="79"/>
      <c r="L43" s="79"/>
      <c r="M43" s="79"/>
    </row>
    <row r="44" spans="1:14" s="30" customFormat="1" ht="16" customHeight="1" x14ac:dyDescent="0.4">
      <c r="B44" s="177"/>
      <c r="C44" s="177"/>
      <c r="D44" s="177"/>
      <c r="E44" s="177"/>
      <c r="F44" s="177"/>
      <c r="G44" s="177"/>
      <c r="H44" s="177"/>
      <c r="I44" s="177"/>
      <c r="J44" s="177"/>
      <c r="K44" s="79"/>
      <c r="L44" s="79"/>
      <c r="M44" s="79"/>
    </row>
    <row r="45" spans="1:14" s="30" customFormat="1" ht="16" customHeight="1" x14ac:dyDescent="0.4">
      <c r="B45" s="177" t="s">
        <v>30</v>
      </c>
      <c r="C45" s="177"/>
      <c r="D45" s="177"/>
      <c r="E45" s="177" t="s">
        <v>19</v>
      </c>
      <c r="F45" s="177"/>
      <c r="G45" s="177"/>
      <c r="H45" s="236"/>
      <c r="I45" s="236"/>
      <c r="J45" s="236"/>
      <c r="K45"/>
      <c r="L45"/>
      <c r="M45"/>
    </row>
    <row r="46" spans="1:14" s="30" customFormat="1" ht="16" customHeight="1" x14ac:dyDescent="0.4">
      <c r="B46" s="177" t="str">
        <f>IF('ALL CLAIMS'!F18=4,""," Altitude, Duration or Straight Dist")</f>
        <v xml:space="preserve"> Altitude, Duration or Straight Dist</v>
      </c>
      <c r="C46" s="177"/>
      <c r="D46" s="177" t="str">
        <f>IF(AND($D$4&gt;1,$D$4&lt;=3),"Written Pre-Flight",IF(AND(B48="            FAI Free Record",$D$4=4),"Pilot &amp; Aircraft per IGC file",IF($D$4=5,"List Pilot &amp; Aircraft Below","")))</f>
        <v/>
      </c>
      <c r="E46" s="177" t="s">
        <v>109</v>
      </c>
      <c r="F46" s="177"/>
      <c r="G46" s="177"/>
      <c r="H46" s="236"/>
      <c r="I46" s="236"/>
      <c r="J46" s="236"/>
      <c r="K46"/>
      <c r="L46"/>
      <c r="M46"/>
    </row>
    <row r="47" spans="1:14" s="30" customFormat="1" ht="16" customHeight="1" x14ac:dyDescent="0.4">
      <c r="B47" s="177" t="str">
        <f>IF('ALL CLAIMS'!F18=4,"","        FAI Declared Distance")</f>
        <v xml:space="preserve">        FAI Declared Distance</v>
      </c>
      <c r="C47" s="177"/>
      <c r="D47" s="177"/>
      <c r="E47" s="177" t="s">
        <v>110</v>
      </c>
      <c r="F47" s="177"/>
      <c r="G47" s="177"/>
      <c r="H47" s="177"/>
      <c r="I47" s="177"/>
      <c r="J47" s="177"/>
      <c r="K47" s="79"/>
      <c r="L47" s="79"/>
      <c r="M47" s="79"/>
    </row>
    <row r="48" spans="1:14" s="30" customFormat="1" ht="16" customHeight="1" x14ac:dyDescent="0.4">
      <c r="B48" s="177" t="str">
        <f>IF('ALL CLAIMS'!F18=4,"                  Custom","            FAI Free Record")</f>
        <v xml:space="preserve">            FAI Free Record</v>
      </c>
      <c r="C48" s="184"/>
      <c r="D48" s="184"/>
      <c r="E48" s="184"/>
      <c r="F48" s="184"/>
      <c r="G48" s="184"/>
      <c r="H48" s="184"/>
      <c r="I48" s="184"/>
      <c r="J48" s="177"/>
      <c r="K48" s="79"/>
      <c r="L48" s="79"/>
      <c r="M48" s="79"/>
    </row>
    <row r="49" spans="2:13" s="30" customFormat="1" ht="16" customHeight="1" x14ac:dyDescent="0.4">
      <c r="B49" s="184"/>
      <c r="C49" s="184"/>
      <c r="D49" s="184"/>
      <c r="E49" s="184" t="str">
        <f>IF(OR(AND(B2="Written Declaration",D4=4),AND($G$8="",D8&lt;&gt;"",D10&lt;&gt;"",K10&lt;&gt;""),AND($G$8&lt;&gt;"",D8&lt;&gt;"",J8&lt;&gt;"",D10&lt;&gt;"",K10&lt;&gt;"")),"Name,AC OK","")</f>
        <v/>
      </c>
      <c r="F49" s="184"/>
      <c r="G49" s="184"/>
      <c r="H49" s="184"/>
      <c r="I49" s="184"/>
      <c r="J49" s="177"/>
      <c r="K49" s="79"/>
      <c r="L49" s="79"/>
      <c r="M49" s="79"/>
    </row>
    <row r="50" spans="2:13" s="30" customFormat="1" ht="16" customHeight="1" x14ac:dyDescent="0.4">
      <c r="B50" s="177"/>
      <c r="C50" s="177"/>
      <c r="D50" s="177"/>
      <c r="E50" s="177" t="str">
        <f>IF(AND($D$4&gt;1,$D$15&gt;1,G33="",OR(AND(C20="release",SUM(E22:G28,J22:L28)&gt;0),AND(C28="release",SUM(E20:G26,J20:L26)&gt;0),AND(C20="release",C28="release",SUM(E22:G26,J22:L26)&gt;0),AND(C20&lt;&gt;"",C28&lt;&gt;"",SUM(E20:G28,J20:L28)&gt;0),OR(AND(L18=1,C22&lt;&gt;""),AND(L18=2,C24&lt;&gt;"")),AND(L18=3,C26&lt;&gt;""))),"Free Task OK","")</f>
        <v/>
      </c>
      <c r="F50" s="177"/>
      <c r="G50" s="177"/>
      <c r="H50" s="177"/>
      <c r="I50" s="177"/>
      <c r="J50" s="177"/>
      <c r="K50" s="79"/>
      <c r="L50" s="79"/>
      <c r="M50" s="79"/>
    </row>
    <row r="51" spans="2:13" s="30" customFormat="1" ht="16" customHeight="1" x14ac:dyDescent="0.4">
      <c r="B51" s="177"/>
      <c r="C51" s="177"/>
      <c r="D51" s="177"/>
      <c r="E51" s="177" t="str">
        <f>IF(AND(E49&lt;&gt;"",D4=2,D6&lt;&gt;"",J6&lt;&gt;""),"A/D OK",IF(AND(D6&lt;&gt;"",J6&lt;&gt;"",E49&lt;&gt;""),"Task OK",""))</f>
        <v/>
      </c>
      <c r="F51" s="177"/>
      <c r="G51" s="177"/>
      <c r="H51" s="177"/>
      <c r="I51" s="177"/>
      <c r="J51" s="177"/>
      <c r="K51" s="79"/>
      <c r="L51" s="79"/>
      <c r="M51" s="79"/>
    </row>
    <row r="52" spans="2:13" s="30" customFormat="1" ht="16" customHeight="1" x14ac:dyDescent="0.4">
      <c r="B52" s="177"/>
      <c r="C52" s="177"/>
      <c r="D52" s="177"/>
      <c r="E52" s="177"/>
      <c r="F52" s="177"/>
      <c r="G52" s="177"/>
      <c r="H52" s="177"/>
      <c r="I52" s="177"/>
      <c r="J52" s="177"/>
      <c r="K52" s="79"/>
      <c r="L52" s="79"/>
      <c r="M52" s="79"/>
    </row>
    <row r="53" spans="2:13" s="30" customFormat="1" ht="16" customHeight="1" x14ac:dyDescent="0.4">
      <c r="B53" s="177"/>
      <c r="C53" s="177"/>
      <c r="D53" s="177"/>
      <c r="E53" s="177"/>
      <c r="F53" s="177"/>
      <c r="G53" s="177"/>
      <c r="H53" s="177"/>
      <c r="I53" s="177"/>
      <c r="J53" s="177"/>
      <c r="K53" s="79"/>
      <c r="L53" s="79"/>
      <c r="M53" s="79"/>
    </row>
    <row r="54" spans="2:13" s="30" customFormat="1" ht="16" customHeight="1" x14ac:dyDescent="0.4">
      <c r="B54" s="177"/>
      <c r="C54" s="177"/>
      <c r="D54" s="177"/>
      <c r="E54" s="237">
        <f>RADIANS(E62+(F62/60))</f>
        <v>0</v>
      </c>
      <c r="F54" s="237">
        <f>RADIANS(I62+(J62/60))</f>
        <v>0</v>
      </c>
      <c r="G54" s="237">
        <f>IF(L18&gt;1,6371*ACOS(SIN(E54)*SIN(E55)+COS(E54)*COS(E55)*COS(F54-F55)),"")</f>
        <v>0</v>
      </c>
      <c r="H54" s="237"/>
      <c r="I54" s="177"/>
      <c r="J54" s="177"/>
      <c r="K54" s="79"/>
      <c r="L54" s="79"/>
      <c r="M54" s="79"/>
    </row>
    <row r="55" spans="2:13" s="30" customFormat="1" ht="16" customHeight="1" x14ac:dyDescent="0.4">
      <c r="B55" s="177"/>
      <c r="C55" s="177"/>
      <c r="D55" s="177"/>
      <c r="E55" s="237">
        <f>RADIANS(E64+(F64/60))</f>
        <v>0</v>
      </c>
      <c r="F55" s="237">
        <f>RADIANS(I64+(J64/60))</f>
        <v>0</v>
      </c>
      <c r="G55" s="237">
        <f>IF(L18&gt;2,6371*ACOS(SIN(E55)*SIN(E56)+COS(E55)*COS(E56)*COS(F55-F56)),"")</f>
        <v>0</v>
      </c>
      <c r="H55" s="237"/>
      <c r="I55" s="177"/>
      <c r="J55" s="177"/>
      <c r="K55" s="79"/>
      <c r="L55" s="79"/>
      <c r="M55" s="79"/>
    </row>
    <row r="56" spans="2:13" s="30" customFormat="1" ht="16" customHeight="1" x14ac:dyDescent="0.4">
      <c r="B56" s="177"/>
      <c r="C56" s="177"/>
      <c r="D56" s="177"/>
      <c r="E56" s="237">
        <f>RADIANS(E66+(F66/60))</f>
        <v>0</v>
      </c>
      <c r="F56" s="237">
        <f>RADIANS(I66+(J66/60))</f>
        <v>0</v>
      </c>
      <c r="G56" s="237">
        <f>IF(L18&gt;2,6371*ACOS(SIN(E56)*SIN(E54)+COS(E56)*COS(E54)*COS(F56-F54)),"")</f>
        <v>0</v>
      </c>
      <c r="H56" s="237"/>
      <c r="I56" s="177"/>
      <c r="J56" s="177"/>
      <c r="K56" s="79"/>
      <c r="L56" s="79"/>
      <c r="M56" s="79"/>
    </row>
    <row r="57" spans="2:13" s="30" customFormat="1" ht="16" customHeight="1" x14ac:dyDescent="0.4">
      <c r="B57" s="177"/>
      <c r="C57" s="177"/>
      <c r="D57" s="177"/>
      <c r="E57" s="177"/>
      <c r="F57" s="177"/>
      <c r="G57" s="177"/>
      <c r="H57" s="177"/>
      <c r="I57" s="177"/>
      <c r="J57" s="177"/>
      <c r="K57" s="79"/>
      <c r="L57" s="79"/>
      <c r="M57" s="79"/>
    </row>
    <row r="58" spans="2:13" s="30" customFormat="1" ht="16" customHeight="1" x14ac:dyDescent="0.4">
      <c r="B58" s="177"/>
      <c r="C58" s="177"/>
      <c r="D58" s="177"/>
      <c r="E58" s="177"/>
      <c r="F58" s="177"/>
      <c r="G58" s="177"/>
      <c r="H58" s="177"/>
      <c r="I58" s="177"/>
      <c r="J58" s="177"/>
      <c r="K58" s="79"/>
      <c r="L58" s="79"/>
      <c r="M58" s="79"/>
    </row>
    <row r="59" spans="2:13" s="30" customFormat="1" ht="16" customHeight="1" x14ac:dyDescent="0.4">
      <c r="B59" s="177"/>
      <c r="C59" s="177"/>
      <c r="D59" s="177"/>
      <c r="E59" s="177"/>
      <c r="F59" s="177"/>
      <c r="G59" s="177"/>
      <c r="H59" s="177"/>
      <c r="I59" s="177"/>
      <c r="J59" s="177"/>
      <c r="K59" s="79"/>
      <c r="L59" s="79"/>
      <c r="M59" s="79"/>
    </row>
    <row r="60" spans="2:13" s="30" customFormat="1" ht="16" customHeight="1" x14ac:dyDescent="0.4">
      <c r="B60" s="177"/>
      <c r="C60" s="177"/>
      <c r="D60" s="177"/>
      <c r="E60" s="238">
        <f>IF(AND(H20="N",$H$31=""),E20,IF(AND($H$31="",H20="S"),-1*E20,0))</f>
        <v>0</v>
      </c>
      <c r="F60" s="239">
        <f>IF($H$31=""=FALSE,"",IF(AND($D$15=2,H20="N",F20=""=FALSE),F20+VALUE(G20),IF(AND($D$15=2,H20="S",F20=""=FALSE),-1*(F20+VALUE(G20)),IF(AND($D$15=3,H20="N"),F20+(VALUE(G20)/60),IF(AND($D$15=3,H20="S"),-1*(F20+(VALUE(G20)/60)),0)))))</f>
        <v>0</v>
      </c>
      <c r="G60" s="177"/>
      <c r="H60" s="177"/>
      <c r="I60" s="238">
        <f>IF(AND($H$31="",M20="E"),J20,IF(AND($H$31="",M20="W"),-1*J20,0))</f>
        <v>0</v>
      </c>
      <c r="J60" s="239">
        <f>IF($H$31=""=FALSE,"",IF(AND($D$15=2,K20=""=FALSE,M20="E"),K20+VALUE(L20),IF(AND($D$15=2,K20=""=FALSE,M20="W"),-1*(K20+VALUE(L20)),IF(AND($D$15=3,M20="E"),K20+(VALUE(L20)/60),IF(AND($D$15=3,M20="W"),-1*(K20+(VALUE(L20)/60)),0)))))</f>
        <v>0</v>
      </c>
      <c r="K60" s="79"/>
      <c r="L60" s="79"/>
      <c r="M60" s="79"/>
    </row>
    <row r="61" spans="2:13" s="30" customFormat="1" ht="16" customHeight="1" x14ac:dyDescent="0.4">
      <c r="B61" s="177"/>
      <c r="C61" s="177"/>
      <c r="D61" s="177"/>
      <c r="E61" s="238"/>
      <c r="F61" s="239"/>
      <c r="G61" s="177"/>
      <c r="H61" s="177"/>
      <c r="I61" s="238"/>
      <c r="J61" s="239"/>
      <c r="K61" s="79"/>
      <c r="L61" s="79"/>
      <c r="M61" s="79"/>
    </row>
    <row r="62" spans="2:13" s="30" customFormat="1" ht="16" customHeight="1" x14ac:dyDescent="0.4">
      <c r="B62" s="177"/>
      <c r="C62" s="177"/>
      <c r="D62" s="177"/>
      <c r="E62" s="238">
        <f>IF(AND(H22="N",$H$31=""),E22,IF(AND($H$31="",H22="S"),-1*E22,0))</f>
        <v>0</v>
      </c>
      <c r="F62" s="239">
        <f>IF($H$31=""=FALSE,"",IF(AND($D$15=2,H22="N",F22=""=FALSE),F22+VALUE(G22),IF(AND($D$15=2,H22="S",F22=""=FALSE),-1*(F22+VALUE(G22)),IF(AND($D$15=3,H22="N"),F22+(VALUE(G22)/60),IF(AND($D$15=3,H22="S"),-1*(F22+(VALUE(G22)/60)),0)))))</f>
        <v>0</v>
      </c>
      <c r="G62" s="177"/>
      <c r="H62" s="177"/>
      <c r="I62" s="238">
        <f>IF(AND($H$31="",M22="E"),J22,IF(AND($H$31="",M22="W"),-1*J22,0))</f>
        <v>0</v>
      </c>
      <c r="J62" s="239">
        <f>IF($H$31=""=FALSE,"",IF(AND($D$15=2,K22=""=FALSE,M22="E"),K22+VALUE(L22),IF(AND($D$15=2,K22=""=FALSE,M22="W"),-1*(K22+VALUE(L22)),IF(AND($D$15=3,M22="E"),K22+(VALUE(L22)/60),IF(AND($D$15=3,M22="W"),-1*(K22+(VALUE(L22)/60)),0)))))</f>
        <v>0</v>
      </c>
      <c r="K62" s="79"/>
      <c r="L62" s="79"/>
      <c r="M62" s="79"/>
    </row>
    <row r="63" spans="2:13" s="30" customFormat="1" ht="16" customHeight="1" x14ac:dyDescent="0.4">
      <c r="B63" s="177"/>
      <c r="C63" s="177"/>
      <c r="D63" s="177"/>
      <c r="E63" s="238"/>
      <c r="F63" s="239"/>
      <c r="G63" s="177"/>
      <c r="H63" s="177"/>
      <c r="I63" s="238"/>
      <c r="J63" s="239"/>
      <c r="K63" s="79"/>
      <c r="L63" s="79"/>
      <c r="M63" s="79"/>
    </row>
    <row r="64" spans="2:13" s="30" customFormat="1" ht="16" customHeight="1" x14ac:dyDescent="0.4">
      <c r="B64" s="177"/>
      <c r="C64" s="177"/>
      <c r="D64" s="177"/>
      <c r="E64" s="238">
        <f>IF(AND(H24="N",$H$31=""),E24,IF(AND($H$31="",H24="S"),-1*E24,0))</f>
        <v>0</v>
      </c>
      <c r="F64" s="239">
        <f>IF($H$31=""=FALSE,"",IF(AND($D$15=2,H24="N",F24=""=FALSE),F24+VALUE(G24),IF(AND($D$15=2,H24="S",F24=""=FALSE,G24=""=FALSE),-1*(F24+VALUE(G24)),IF(AND($D$15=3,H24="N"),F24+(VALUE(G24)/60),IF(AND($D$15=3,H24="S"),-1*(F24+(VALUE(G24)/60)),0)))))</f>
        <v>0</v>
      </c>
      <c r="G64" s="177"/>
      <c r="H64" s="177"/>
      <c r="I64" s="238">
        <f>IF(AND($H$31="",M24="E"),J24,IF(AND($H$31="",M24="W"),-1*J24,0))</f>
        <v>0</v>
      </c>
      <c r="J64" s="239">
        <f>IF($H$31=""=FALSE,"",IF(AND($D$15=2,K24=""=FALSE,M24="E"),K24+VALUE(L24),IF(AND($D$15=2,K24=""=FALSE,M24="W"),-1*(K24+VALUE(L24)),IF(AND($D$15=3,M24="E"),K24+(VALUE(L24)/60),IF(AND($D$15=3,M24="W"),-1*(K24+(VALUE(L24)/60)),0)))))</f>
        <v>0</v>
      </c>
      <c r="K64" s="79"/>
      <c r="L64" s="79"/>
      <c r="M64" s="79"/>
    </row>
    <row r="65" spans="2:13" s="30" customFormat="1" ht="16" customHeight="1" x14ac:dyDescent="0.4">
      <c r="B65" s="177"/>
      <c r="C65" s="177"/>
      <c r="D65" s="177"/>
      <c r="E65" s="238"/>
      <c r="F65" s="239"/>
      <c r="G65" s="177"/>
      <c r="H65" s="177"/>
      <c r="I65" s="238"/>
      <c r="J65" s="239"/>
      <c r="K65" s="79"/>
      <c r="L65" s="79"/>
      <c r="M65" s="79"/>
    </row>
    <row r="66" spans="2:13" s="30" customFormat="1" ht="16" customHeight="1" x14ac:dyDescent="0.4">
      <c r="B66" s="177"/>
      <c r="C66" s="177"/>
      <c r="D66" s="177"/>
      <c r="E66" s="238">
        <f>IF(AND(H26="N",$H$31=""),E26,IF(AND($H$31="",H26="S"),-1*E26,0))</f>
        <v>0</v>
      </c>
      <c r="F66" s="239">
        <f>IF($H$31=""=FALSE,"",IF(AND($D$15=2,H26="N",F26=""=FALSE),F26+VALUE(G26),IF(AND($D$15=2,H26="S",F26=""=FALSE),-1*(F26+VALUE(G26)),IF(AND($D$15=3,H26="N"),F26+(VALUE(G26)/60),IF(AND($D$15=3,H26="S"),-1*(F26+(VALUE(G26)/60)),0)))))</f>
        <v>0</v>
      </c>
      <c r="G66" s="177"/>
      <c r="H66" s="177"/>
      <c r="I66" s="238">
        <f>IF(AND($H$31="",M26="E"),J26,IF(AND($H$31="",M26="W"),-1*J26,0))</f>
        <v>0</v>
      </c>
      <c r="J66" s="239">
        <f>IF($H$31=""=FALSE,"",IF(AND($D$15=2,K26=""=FALSE,L26=""=FALSE,M26="E"),K26+VALUE(L26),IF(AND($D$15=2,K26=""=FALSE,M26="W"),-1*(K26+VALUE(L26)),IF(AND($D$15=3,M26="E"),K26+(VALUE(L26)/60),IF(AND($D$15=3,M26="W"),-1*(K26+(VALUE(L26)/60)),0)))))</f>
        <v>0</v>
      </c>
      <c r="K66" s="79"/>
      <c r="L66" s="79"/>
      <c r="M66" s="79"/>
    </row>
    <row r="67" spans="2:13" s="30" customFormat="1" ht="16" customHeight="1" x14ac:dyDescent="0.4">
      <c r="B67" s="177"/>
      <c r="C67" s="177"/>
      <c r="D67" s="177"/>
      <c r="E67" s="238"/>
      <c r="F67" s="239"/>
      <c r="G67" s="177"/>
      <c r="H67" s="177"/>
      <c r="I67" s="238"/>
      <c r="J67" s="239"/>
      <c r="K67" s="79"/>
      <c r="L67" s="79"/>
      <c r="M67" s="79"/>
    </row>
    <row r="68" spans="2:13" s="30" customFormat="1" ht="16" customHeight="1" x14ac:dyDescent="0.4">
      <c r="B68" s="177"/>
      <c r="C68" s="177"/>
      <c r="D68" s="177"/>
      <c r="E68" s="238">
        <f>IF(AND(H28="N",$H$31=""),E28,IF(AND($H$31="",H28="S"),-1*E28,0))</f>
        <v>0</v>
      </c>
      <c r="F68" s="239">
        <f>IF($H$31=""=FALSE,"",IF(AND($D$15=2,H28="N",F28=""=FALSE),F28+VALUE(G28),IF(AND($D$15=2,H28="S",F28=""=FALSE),-1*(F28+VALUE(G28)),IF(AND($D$15=3,H28="N"),F28+(VALUE(G28)/60),IF(AND($D$15=3,H28="S"),-1*(F28+(VALUE(G28)/60)),0)))))</f>
        <v>0</v>
      </c>
      <c r="G68" s="177"/>
      <c r="H68" s="177"/>
      <c r="I68" s="238">
        <f>IF(AND($H$31="",M28="E"),J28,IF(AND($H$31="",M28="W"),-1*J28,0))</f>
        <v>0</v>
      </c>
      <c r="J68" s="239">
        <f>IF($H$31=""=FALSE,"",IF(AND($D$15=2,K28=""=FALSE,M28="E"),K28+VALUE(L28),IF(AND($D$15=2,K28=""=FALSE,M28="W"),-1*(K28+VALUE(L28)),IF(AND($D$15=3,M28="E"),K28+(VALUE(L28)/60),IF(AND($D$15=3,M28="W"),-1*(K28+(VALUE(L28)/60)),0)))))</f>
        <v>0</v>
      </c>
    </row>
  </sheetData>
  <sheetProtection password="C630" sheet="1" objects="1" scenarios="1" selectLockedCells="1"/>
  <protectedRanges>
    <protectedRange password="C630" sqref="E2:H3 B18 G18 F4 B17:L17 L29:L35 B19:H19 J18:L19 B20:B30 C34 J29:K32 C29:I30 F13:G14 B6:B11 E5 B2:D5 G8 D34:K35 B32:I32 B34:B35 B15 G15:L15 C12 C8:E11 C31:F31 B13:C14 F12 H8:L14 D13:E15 F9:G11 J5 H4:H5 G5 I2:I5 K2:L5 J2:J3 F5" name="Range1_1" securityDescriptor="O:WDG:WDD:(A;;CC;;;S-1-5-21-1467035181-4279586865-2809505834-1006)"/>
  </protectedRanges>
  <customSheetViews>
    <customSheetView guid="{A921FC5E-826F-4CBA-9479-3BFF6B42C1E4}" scale="110" showGridLines="0" showRowCol="0" outlineSymbols="0" fitToPage="1" state="hidden">
      <selection activeCell="D4" sqref="D4:F4"/>
      <rowBreaks count="1" manualBreakCount="1">
        <brk id="30" min="1" max="10" man="1"/>
      </rowBreaks>
      <pageMargins left="1.25" right="1.25" top="0.75" bottom="0.75" header="0.5" footer="0.5"/>
      <printOptions horizontalCentered="1"/>
      <pageSetup scale="96" orientation="landscape" horizontalDpi="300" verticalDpi="300" r:id="rId1"/>
      <headerFooter alignWithMargins="0"/>
    </customSheetView>
    <customSheetView guid="{5A90EFA9-31B0-4AB9-9C9D-5F587FBCF9F6}" scale="110" showGridLines="0" showRowCol="0" outlineSymbols="0" fitToPage="1" state="hidden">
      <selection activeCell="D4" sqref="D4:F4"/>
      <rowBreaks count="1" manualBreakCount="1">
        <brk id="30" min="1" max="10" man="1"/>
      </rowBreaks>
      <pageMargins left="1.25" right="1.25" top="0.75" bottom="0.75" header="0.5" footer="0.5"/>
      <printOptions horizontalCentered="1"/>
      <pageSetup scale="96" orientation="landscape" horizontalDpi="300" verticalDpi="300" r:id="rId2"/>
      <headerFooter alignWithMargins="0"/>
    </customSheetView>
    <customSheetView guid="{0EEACCE0-EC3D-41E2-9461-B930F93FB082}" showGridLines="0" showRowCol="0" outlineSymbols="0" fitToPage="1" state="hidden">
      <selection activeCell="D4" sqref="D4:F4"/>
      <rowBreaks count="1" manualBreakCount="1">
        <brk id="30" min="1" max="10" man="1"/>
      </rowBreaks>
      <pageMargins left="1.25" right="1.25" top="0.75" bottom="0.75" header="0.5" footer="0.5"/>
      <printOptions horizontalCentered="1"/>
      <pageSetup scale="96" orientation="landscape" horizontalDpi="300" verticalDpi="300" r:id="rId3"/>
      <headerFooter alignWithMargins="0"/>
    </customSheetView>
  </customSheetViews>
  <mergeCells count="31">
    <mergeCell ref="B2:M2"/>
    <mergeCell ref="B4:C4"/>
    <mergeCell ref="B15:C15"/>
    <mergeCell ref="F6:I6"/>
    <mergeCell ref="B6:C6"/>
    <mergeCell ref="D6:E6"/>
    <mergeCell ref="J8:L8"/>
    <mergeCell ref="H10:J10"/>
    <mergeCell ref="K10:L10"/>
    <mergeCell ref="D4:E4"/>
    <mergeCell ref="F4:K4"/>
    <mergeCell ref="B13:M13"/>
    <mergeCell ref="B10:C10"/>
    <mergeCell ref="D10:G10"/>
    <mergeCell ref="C12:E12"/>
    <mergeCell ref="G8:I8"/>
    <mergeCell ref="G35:M35"/>
    <mergeCell ref="K15:L15"/>
    <mergeCell ref="G18:I18"/>
    <mergeCell ref="G15:J15"/>
    <mergeCell ref="B33:E33"/>
    <mergeCell ref="B17:M17"/>
    <mergeCell ref="G33:M33"/>
    <mergeCell ref="D15:E15"/>
    <mergeCell ref="B8:C8"/>
    <mergeCell ref="B31:E31"/>
    <mergeCell ref="B18:C18"/>
    <mergeCell ref="J18:K18"/>
    <mergeCell ref="J31:M31"/>
    <mergeCell ref="D18:F18"/>
    <mergeCell ref="D8:F8"/>
  </mergeCells>
  <phoneticPr fontId="2" type="noConversion"/>
  <conditionalFormatting sqref="G18">
    <cfRule type="expression" dxfId="61" priority="83" stopIfTrue="1">
      <formula>OR($B$49=1,$D$49=1)</formula>
    </cfRule>
  </conditionalFormatting>
  <conditionalFormatting sqref="B15:C15">
    <cfRule type="expression" dxfId="60" priority="106" stopIfTrue="1">
      <formula>AND($D$4&gt;2,$D$15=1)</formula>
    </cfRule>
  </conditionalFormatting>
  <conditionalFormatting sqref="F6:I7">
    <cfRule type="expression" dxfId="59" priority="119" stopIfTrue="1">
      <formula>$J$6=""</formula>
    </cfRule>
  </conditionalFormatting>
  <conditionalFormatting sqref="B4:C4">
    <cfRule type="expression" dxfId="58" priority="120" stopIfTrue="1">
      <formula>$D$4=1</formula>
    </cfRule>
  </conditionalFormatting>
  <conditionalFormatting sqref="B6:C7">
    <cfRule type="expression" dxfId="57" priority="121" stopIfTrue="1">
      <formula>$D$6=""</formula>
    </cfRule>
  </conditionalFormatting>
  <conditionalFormatting sqref="B8">
    <cfRule type="expression" dxfId="56" priority="81" stopIfTrue="1">
      <formula>$D$8=""</formula>
    </cfRule>
  </conditionalFormatting>
  <conditionalFormatting sqref="B10:C10">
    <cfRule type="expression" dxfId="55" priority="79" stopIfTrue="1">
      <formula>$D$10=""</formula>
    </cfRule>
  </conditionalFormatting>
  <conditionalFormatting sqref="H10:J10">
    <cfRule type="expression" dxfId="54" priority="78" stopIfTrue="1">
      <formula>$K$10=""</formula>
    </cfRule>
  </conditionalFormatting>
  <conditionalFormatting sqref="G8:I8">
    <cfRule type="expression" dxfId="53" priority="73" stopIfTrue="1">
      <formula>AND($G$8="In-Flight Crew:",$J$8="")</formula>
    </cfRule>
  </conditionalFormatting>
  <conditionalFormatting sqref="B31">
    <cfRule type="expression" dxfId="52" priority="195" stopIfTrue="1">
      <formula>OR($B$31="Turn Points less than 10 km apart",$B$31="Data Entry Required Above")</formula>
    </cfRule>
  </conditionalFormatting>
  <conditionalFormatting sqref="K6:L6">
    <cfRule type="expression" dxfId="51" priority="66" stopIfTrue="1">
      <formula>$J$6=""</formula>
    </cfRule>
    <cfRule type="expression" dxfId="50" priority="82" stopIfTrue="1">
      <formula>$K$6:$L$6=""</formula>
    </cfRule>
  </conditionalFormatting>
  <conditionalFormatting sqref="G15">
    <cfRule type="expression" dxfId="49" priority="41" stopIfTrue="1">
      <formula>$D$15=1</formula>
    </cfRule>
    <cfRule type="expression" dxfId="48" priority="43" stopIfTrue="1">
      <formula>$K$15=1</formula>
    </cfRule>
  </conditionalFormatting>
  <conditionalFormatting sqref="J31:M31">
    <cfRule type="expression" dxfId="47" priority="42" stopIfTrue="1">
      <formula>$J$31="View or Edit Saved Way Points"</formula>
    </cfRule>
  </conditionalFormatting>
  <conditionalFormatting sqref="G20">
    <cfRule type="expression" dxfId="46" priority="39" stopIfTrue="1">
      <formula>OR(AND($D$15=2,G20&gt;=1),AND($D$15=3,G20&lt;&gt;0,OR(G20&lt;1,G20&gt;59)))</formula>
    </cfRule>
  </conditionalFormatting>
  <conditionalFormatting sqref="G22">
    <cfRule type="expression" dxfId="45" priority="29" stopIfTrue="1">
      <formula>OR(AND($D$15=2,G22&gt;=1),AND($D$15=3,G22&lt;&gt;0,OR(G22&lt;1,G22&gt;59)))</formula>
    </cfRule>
  </conditionalFormatting>
  <conditionalFormatting sqref="G24">
    <cfRule type="expression" dxfId="44" priority="28" stopIfTrue="1">
      <formula>OR(AND($D$15=2,G24&gt;=1),AND($D$15=3,G24&lt;&gt;0,OR(G24&lt;1,G24&gt;59)))</formula>
    </cfRule>
  </conditionalFormatting>
  <conditionalFormatting sqref="G26">
    <cfRule type="expression" dxfId="43" priority="27" stopIfTrue="1">
      <formula>OR(AND($D$15=2,G26&gt;=1),AND($D$15=3,G26&lt;&gt;0,OR(G26&lt;1,G26&gt;59)))</formula>
    </cfRule>
  </conditionalFormatting>
  <conditionalFormatting sqref="G28">
    <cfRule type="expression" dxfId="42" priority="26" stopIfTrue="1">
      <formula>OR(AND($D$15=2,G28&gt;=1),AND($D$15=3,G28&lt;&gt;0,OR(G28&lt;1,G28&gt;59)))</formula>
    </cfRule>
  </conditionalFormatting>
  <conditionalFormatting sqref="L20">
    <cfRule type="expression" dxfId="41" priority="25" stopIfTrue="1">
      <formula>OR(AND($D$15=2,L20&gt;=1),AND($D$15=3,L20&lt;&gt;0,OR(L20&lt;1,L20&gt;59)))</formula>
    </cfRule>
  </conditionalFormatting>
  <conditionalFormatting sqref="L22">
    <cfRule type="expression" dxfId="40" priority="24" stopIfTrue="1">
      <formula>OR(AND($D$15=2,L22&gt;=1),AND($D$15=3,L22&lt;&gt;0,OR(L22&lt;1,L22&gt;59)))</formula>
    </cfRule>
  </conditionalFormatting>
  <conditionalFormatting sqref="L24">
    <cfRule type="expression" dxfId="39" priority="23" stopIfTrue="1">
      <formula>OR(AND($D$15=2,L24&gt;=1),AND($D$15=3,L24&lt;&gt;0,OR(L24&lt;1,L24&gt;59)))</formula>
    </cfRule>
  </conditionalFormatting>
  <conditionalFormatting sqref="L26">
    <cfRule type="expression" dxfId="38" priority="22" stopIfTrue="1">
      <formula>OR(AND($D$15=2,L26&gt;=1),AND($D$15=3,L26&lt;&gt;0,OR(L26&lt;1,L26&gt;59)))</formula>
    </cfRule>
  </conditionalFormatting>
  <conditionalFormatting sqref="L28">
    <cfRule type="expression" dxfId="37" priority="21" stopIfTrue="1">
      <formula>OR(AND($D$15=2,L28&gt;=1),AND($D$15=3,L28&lt;&gt;0,OR(L28&lt;1,L28&gt;59)))</formula>
    </cfRule>
  </conditionalFormatting>
  <conditionalFormatting sqref="H20">
    <cfRule type="expression" dxfId="36" priority="20" stopIfTrue="1">
      <formula>AND($E20&lt;&gt;"",$F20&lt;&gt;"",$H20="")</formula>
    </cfRule>
  </conditionalFormatting>
  <conditionalFormatting sqref="H22">
    <cfRule type="expression" dxfId="35" priority="17" stopIfTrue="1">
      <formula>AND($E22&lt;&gt;"",$F22&lt;&gt;"",$H22="")</formula>
    </cfRule>
  </conditionalFormatting>
  <conditionalFormatting sqref="H24">
    <cfRule type="expression" dxfId="34" priority="16" stopIfTrue="1">
      <formula>AND($E24&lt;&gt;"",$F24&lt;&gt;"",$H24="")</formula>
    </cfRule>
  </conditionalFormatting>
  <conditionalFormatting sqref="H26">
    <cfRule type="expression" dxfId="33" priority="15" stopIfTrue="1">
      <formula>AND($E26&lt;&gt;"",$F26&lt;&gt;"",$H26="")</formula>
    </cfRule>
  </conditionalFormatting>
  <conditionalFormatting sqref="H28">
    <cfRule type="expression" dxfId="32" priority="14" stopIfTrue="1">
      <formula>AND($E28&lt;&gt;"",$F28&lt;&gt;"",$H28="")</formula>
    </cfRule>
  </conditionalFormatting>
  <conditionalFormatting sqref="M20">
    <cfRule type="expression" dxfId="31" priority="13" stopIfTrue="1">
      <formula>AND($J20&lt;&gt;"",$K20&lt;&gt;"",$M20="")</formula>
    </cfRule>
  </conditionalFormatting>
  <conditionalFormatting sqref="M22">
    <cfRule type="expression" dxfId="30" priority="12" stopIfTrue="1">
      <formula>AND($J22&lt;&gt;"",$K22&lt;&gt;"",$M22="")</formula>
    </cfRule>
  </conditionalFormatting>
  <conditionalFormatting sqref="M24">
    <cfRule type="expression" dxfId="29" priority="11" stopIfTrue="1">
      <formula>AND($J24&lt;&gt;"",$K24&lt;&gt;"",$M24="")</formula>
    </cfRule>
  </conditionalFormatting>
  <conditionalFormatting sqref="M26">
    <cfRule type="expression" dxfId="28" priority="10" stopIfTrue="1">
      <formula>AND($J26&lt;&gt;"",$K26&lt;&gt;"",$M26="")</formula>
    </cfRule>
  </conditionalFormatting>
  <conditionalFormatting sqref="M28">
    <cfRule type="expression" dxfId="27" priority="9" stopIfTrue="1">
      <formula>AND($J28&lt;&gt;"",$K28&lt;&gt;"",$M28="")</formula>
    </cfRule>
  </conditionalFormatting>
  <conditionalFormatting sqref="C20 C22 C24 C26 C28">
    <cfRule type="expression" dxfId="26" priority="8" stopIfTrue="1">
      <formula>AND($G$35&lt;&gt;"",OR(AND($D$15=2,$G20&gt;=1),AND($D$15=3,OR($G20&lt;1,$G20&gt;59))))</formula>
    </cfRule>
  </conditionalFormatting>
  <conditionalFormatting sqref="D6:E6">
    <cfRule type="expression" dxfId="25" priority="6" stopIfTrue="1">
      <formula>$B$6&lt;&gt;""</formula>
    </cfRule>
  </conditionalFormatting>
  <conditionalFormatting sqref="D8:F8">
    <cfRule type="expression" dxfId="24" priority="5" stopIfTrue="1">
      <formula>$B$8&lt;&gt;""</formula>
    </cfRule>
  </conditionalFormatting>
  <conditionalFormatting sqref="D10:G10">
    <cfRule type="expression" dxfId="23" priority="4" stopIfTrue="1">
      <formula>$B$10&lt;&gt;""</formula>
    </cfRule>
  </conditionalFormatting>
  <conditionalFormatting sqref="J6">
    <cfRule type="expression" dxfId="22" priority="3" stopIfTrue="1">
      <formula>$F$6&lt;&gt;""</formula>
    </cfRule>
  </conditionalFormatting>
  <conditionalFormatting sqref="K10:L10">
    <cfRule type="expression" dxfId="21" priority="2" stopIfTrue="1">
      <formula>$H$10&lt;&gt;""</formula>
    </cfRule>
  </conditionalFormatting>
  <conditionalFormatting sqref="J8:L8">
    <cfRule type="expression" dxfId="20" priority="1" stopIfTrue="1">
      <formula>$G$8&lt;&gt;""</formula>
    </cfRule>
  </conditionalFormatting>
  <dataValidations count="5">
    <dataValidation type="whole" allowBlank="1" showInputMessage="1" showErrorMessage="1" error="0 to 90" sqref="E20 E22 E24 E26 E28">
      <formula1>0</formula1>
      <formula2>90</formula2>
    </dataValidation>
    <dataValidation type="whole" allowBlank="1" showInputMessage="1" showErrorMessage="1" error="0 to 180" sqref="J20 J22 J24 J26 J28">
      <formula1>0</formula1>
      <formula2>180</formula2>
    </dataValidation>
    <dataValidation type="whole" allowBlank="1" showInputMessage="1" showErrorMessage="1" error="0 to 59" sqref="F20 F22 F26 F28 K20 K22 K24 K26 K28 F24">
      <formula1>0</formula1>
      <formula2>59</formula2>
    </dataValidation>
    <dataValidation type="list" allowBlank="1" showDropDown="1" showInputMessage="1" showErrorMessage="1" error="N or S" sqref="H20 H22 H24 H26 H28">
      <formula1>"n,N,s,S"</formula1>
    </dataValidation>
    <dataValidation type="list" allowBlank="1" showDropDown="1" showInputMessage="1" showErrorMessage="1" error="E or W" sqref="M20 M22 M24 M26 M28">
      <formula1>"E,e,W,w"</formula1>
    </dataValidation>
  </dataValidations>
  <printOptions horizontalCentered="1"/>
  <pageMargins left="1.25" right="1.25" top="0.75" bottom="0.75" header="0.5" footer="0.5"/>
  <pageSetup orientation="landscape" horizontalDpi="300" verticalDpi="300" r:id="rId4"/>
  <headerFooter alignWithMargins="0"/>
  <rowBreaks count="1" manualBreakCount="1">
    <brk id="34" min="1" max="10" man="1"/>
  </rowBreaks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7" r:id="rId7" name="Drop Down 5">
              <controlPr locked="0" defaultSize="0" autoLine="0" autoPict="0" macro="[0]!Module129.DecAltDist">
                <anchor moveWithCells="1" sizeWithCells="1">
                  <from>
                    <xdr:col>2</xdr:col>
                    <xdr:colOff>1047750</xdr:colOff>
                    <xdr:row>3</xdr:row>
                    <xdr:rowOff>0</xdr:rowOff>
                  </from>
                  <to>
                    <xdr:col>5</xdr:col>
                    <xdr:colOff>11430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8" name="Drop Down 38">
              <controlPr locked="0" defaultSize="0" autoLine="0" autoPict="0" macro="[0]!Coord">
                <anchor moveWithCells="1" sizeWithCells="1">
                  <from>
                    <xdr:col>2</xdr:col>
                    <xdr:colOff>1047750</xdr:colOff>
                    <xdr:row>13</xdr:row>
                    <xdr:rowOff>64770</xdr:rowOff>
                  </from>
                  <to>
                    <xdr:col>5</xdr:col>
                    <xdr:colOff>11430</xdr:colOff>
                    <xdr:row>15</xdr:row>
                    <xdr:rowOff>11430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9" name="Drop Down 45">
              <controlPr locked="0" defaultSize="0" autoLine="0" autoPict="0" macro="[0]!OpenD">
                <anchor moveWithCells="1" sizeWithCells="1">
                  <from>
                    <xdr:col>9</xdr:col>
                    <xdr:colOff>941070</xdr:colOff>
                    <xdr:row>13</xdr:row>
                    <xdr:rowOff>64770</xdr:rowOff>
                  </from>
                  <to>
                    <xdr:col>12</xdr:col>
                    <xdr:colOff>11430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24"/>
    <pageSetUpPr autoPageBreaks="0" fitToPage="1"/>
  </sheetPr>
  <dimension ref="A1:K62"/>
  <sheetViews>
    <sheetView showGridLines="0" showRowColHeaders="0" showOutlineSymbols="0" zoomScale="147" zoomScaleNormal="147" workbookViewId="0">
      <selection activeCell="G12" sqref="G12:H12"/>
    </sheetView>
  </sheetViews>
  <sheetFormatPr defaultRowHeight="13" customHeight="1" x14ac:dyDescent="0.4"/>
  <cols>
    <col min="1" max="1" width="5.71875" customWidth="1"/>
    <col min="2" max="2" width="4.71875" customWidth="1"/>
    <col min="3" max="3" width="19.27734375" customWidth="1"/>
    <col min="4" max="4" width="16.71875" customWidth="1"/>
    <col min="5" max="5" width="21.71875" customWidth="1"/>
    <col min="6" max="6" width="16.71875" customWidth="1"/>
    <col min="7" max="7" width="6.27734375" customWidth="1"/>
    <col min="8" max="8" width="10.27734375" customWidth="1"/>
    <col min="9" max="10" width="16.71875" customWidth="1"/>
    <col min="11" max="11" width="9.71875" customWidth="1"/>
  </cols>
  <sheetData>
    <row r="1" spans="1:11" ht="20.100000000000001" customHeight="1" x14ac:dyDescent="0.4">
      <c r="A1" s="7"/>
      <c r="C1" s="195"/>
      <c r="G1" s="73"/>
      <c r="H1" s="73"/>
      <c r="J1" s="195"/>
      <c r="K1" s="194"/>
    </row>
    <row r="2" spans="1:11" s="14" customFormat="1" ht="16" customHeight="1" x14ac:dyDescent="0.5">
      <c r="A2" s="15"/>
      <c r="C2" s="41" t="s">
        <v>8</v>
      </c>
      <c r="D2" s="39" t="s">
        <v>0</v>
      </c>
      <c r="E2" s="357" t="str">
        <f>IF(AND('ALL CLAIMS'!$F$18=3,OTHER!$B$31="Data Entry Required Above"),"Declaration Incomplete",IF('ALL CLAIMS'!$F$18=4,"Custom Electronic Declaration",IF(OR(AND('ALL CLAIMS'!$F$18=5,'E-DEC'!$G$2&lt;&gt;"Downloaded"),E3="Free-W",E3="Free-E"),"Free Task",IF(OR(E3="Electronic",E3="Written"),CONCATENATE(E3," Pre-flight Declaration"),IF(E3="Free-W inv","Free Written Dec Invalid",IF(E3="W inv","Written declaration invalid",IF(OR(E3="Free-E inv",E3="E INV"),"Electronic declaration invalid")))))))</f>
        <v>Electronic Pre-flight Declaration</v>
      </c>
      <c r="F2" s="357"/>
      <c r="G2" s="358" t="str">
        <f>IF(AND('ALL CLAIMS'!$F$18=4,OR([4]PRS!$A$4&lt;&gt;[4]PRS!$A$8,[4]PRS!$A$5&lt;&gt;[4]PRS!$A$9,[4]PRS!$B$5&lt;&gt;[4]PRS!$B$9)),"User Changes","")</f>
        <v/>
      </c>
      <c r="H2" s="359"/>
      <c r="I2" s="360"/>
      <c r="J2" s="74" t="s">
        <v>9</v>
      </c>
    </row>
    <row r="3" spans="1:11" ht="6" customHeight="1" thickBot="1" x14ac:dyDescent="0.45">
      <c r="A3" s="7"/>
      <c r="C3" s="197">
        <f>G12+F6</f>
        <v>0</v>
      </c>
      <c r="D3" s="182"/>
      <c r="E3" s="164" t="str">
        <f>[4]PRS!$D$11</f>
        <v>Electronic</v>
      </c>
      <c r="F3" s="164" t="str">
        <f>[4]PRS!$C$3</f>
        <v>DF</v>
      </c>
      <c r="G3" s="200" t="str">
        <f>IF(AND([4]PRS!$B$13="ENL",[4]PRS!$G$2&lt;&gt;0,OR('ALL CLAIMS'!F8=3,'ALL CLAIMS'!F8=5)),"mop","")</f>
        <v/>
      </c>
      <c r="H3" s="201">
        <f>'ALL CLAIMS'!F18</f>
        <v>1</v>
      </c>
      <c r="I3" s="183"/>
    </row>
    <row r="4" spans="1:11" s="3" customFormat="1" ht="17.100000000000001" customHeight="1" thickBot="1" x14ac:dyDescent="0.55000000000000004">
      <c r="A4" s="16"/>
      <c r="C4" s="375" t="s">
        <v>7</v>
      </c>
      <c r="D4" s="376"/>
      <c r="E4" s="383"/>
      <c r="F4" s="383"/>
      <c r="G4" s="383"/>
      <c r="H4" s="383"/>
      <c r="I4" s="383"/>
      <c r="J4" s="384"/>
      <c r="K4" s="10"/>
    </row>
    <row r="5" spans="1:11" ht="4" customHeight="1" x14ac:dyDescent="0.55000000000000004">
      <c r="C5" s="4"/>
      <c r="D5" s="5"/>
      <c r="E5" s="5"/>
      <c r="F5" s="5"/>
      <c r="G5" s="5"/>
      <c r="H5" s="5"/>
      <c r="I5" s="5"/>
      <c r="J5" s="6"/>
    </row>
    <row r="6" spans="1:11" s="14" customFormat="1" ht="16" customHeight="1" x14ac:dyDescent="0.5">
      <c r="A6"/>
      <c r="C6" s="37" t="str">
        <f>IF(OR([4]PRS!$A$10="PR",[4]PRS!$A$17="PR/PA"),"PR file","FR &amp; Serial #")</f>
        <v>FR &amp; Serial #</v>
      </c>
      <c r="D6" s="57" t="str">
        <f>CONCATENATE(Parsed!A1," ",Parsed!B1)</f>
        <v xml:space="preserve"> </v>
      </c>
      <c r="E6" s="45" t="s">
        <v>29</v>
      </c>
      <c r="F6" s="76">
        <f>Parsed!A2</f>
        <v>0</v>
      </c>
      <c r="G6" s="379" t="str">
        <f>IF(OR('ALL CLAIMS'!$F$8=2,'ALL CLAIMS'!$F$8=4),"Sailplane  ","Motorglider  ")</f>
        <v xml:space="preserve">Motorglider  </v>
      </c>
      <c r="H6" s="380"/>
      <c r="I6" s="370" t="str">
        <f>IF(OR('ALL CLAIMS'!$F$18=5,AND('ALL CLAIMS'!$F$18&gt;=2,'ALL CLAIMS'!$F$18&lt;4,E3&lt;&gt;"Written")),'E-DEC'!G8,IF(OTHER!D10="",CONCATENATE("TYPE? ,",OTHER!K10),CONCATENATE(OTHER!D10,", ",OTHER!K10)))</f>
        <v>TYPE? ,</v>
      </c>
      <c r="J6" s="371"/>
    </row>
    <row r="7" spans="1:11" s="14" customFormat="1" ht="4" customHeight="1" x14ac:dyDescent="0.5">
      <c r="C7" s="37"/>
      <c r="D7" s="58"/>
      <c r="E7" s="46"/>
      <c r="F7" s="59"/>
      <c r="G7" s="42"/>
      <c r="H7" s="42"/>
      <c r="I7" s="60"/>
      <c r="J7" s="61"/>
    </row>
    <row r="8" spans="1:11" s="16" customFormat="1" ht="16" customHeight="1" x14ac:dyDescent="0.5">
      <c r="C8" s="37" t="str">
        <f>IF(OR(E3=" written",E2="Custom Electronic Declaration",[4]PRS!$B$4&lt;&gt;""),"Pilot Name","Pilot Name(s)")</f>
        <v>Pilot Name</v>
      </c>
      <c r="D8" s="377" t="str">
        <f>IF(OR('ALL CLAIMS'!$F$18=5,AND('ALL CLAIMS'!$F$18&gt;=2,'ALL CLAIMS'!$F$18&lt;4,$E$3&lt;&gt;"Written")),[4]PRS!$A$4,IF(OTHER!D8="","UNSPECIFIED",OTHER!D8))</f>
        <v>UNSPECIFIED</v>
      </c>
      <c r="E8" s="378"/>
      <c r="F8" s="66" t="str">
        <f>IF(E3="Written","W",IF('ALL CLAIMS'!$F$18=4,"OO",""))</f>
        <v/>
      </c>
      <c r="G8" s="381" t="str">
        <f>IF(I8="","","Flight Crew  ")</f>
        <v xml:space="preserve">Flight Crew  </v>
      </c>
      <c r="H8" s="381"/>
      <c r="I8" s="368">
        <f>IF(OR(AND(OR('ALL CLAIMS'!$F$18=2,'ALL CLAIMS'!$F$18=5),[4]PRS!$B$4=0),AND(OTHER!J8="None",OR('ALL CLAIMS'!$F$18=3,[4]PRS!$B$4=0))),"",[4]PRS!$B$4)</f>
        <v>0</v>
      </c>
      <c r="J8" s="369"/>
      <c r="K8" s="198">
        <v>0</v>
      </c>
    </row>
    <row r="9" spans="1:11" ht="4" customHeight="1" x14ac:dyDescent="0.5">
      <c r="C9" s="50"/>
      <c r="D9" s="9"/>
      <c r="E9" s="48"/>
      <c r="F9" s="48"/>
      <c r="G9" s="48"/>
      <c r="H9" s="48"/>
      <c r="I9" s="48"/>
      <c r="J9" s="51"/>
    </row>
    <row r="10" spans="1:11" ht="16" customHeight="1" x14ac:dyDescent="0.4">
      <c r="C10" s="37" t="str">
        <f>IF([4]PRS!$D$1=0,"First Data Pt",IF([4]PRS!$B$2=0,"Take Off, UTC","Take Off, LCL"))</f>
        <v>First Data Pt</v>
      </c>
      <c r="D10" s="38">
        <f>IF(AND(C10="First Data Pt",[4]PRS!$B$2=0),[4]PRS!$G$1,IF(AND(C10="First Data Pt",[4]PRS!$B$2&lt;&gt;0),[4]PRS!$G$1+[4]PRS!$B$2/24,IF([4]PRS!$B$2=0,[4]PRS!$G$18,[4]PRS!$G$18+[4]PRS!$B$2/24)))</f>
        <v>0</v>
      </c>
      <c r="E10" s="361" t="str">
        <f>IF(AND(C10="First Data Pt, LCL  ",D10=G10),"First Data Pt, LCL  ",IF(AND([4]PRS!$B$2&lt;&gt;0,[4]PRS!$G$2=[4]PRS!$G$3),"MoP Stop, LCL  ",IF(AND([4]PRS!$B$2=0,[4]PRS!$G$2=[4]PRS!$G$3),"MoP Stop, UTC  ",IF([4]PRS!$B$2=0,"Default Release Time, UTC  ","Default Release Time, LCL "))))</f>
        <v xml:space="preserve">MoP Stop, UTC  </v>
      </c>
      <c r="F10" s="362"/>
      <c r="G10" s="389">
        <f>IF(AND(OR('ALL CLAIMS'!F8=3,'ALL CLAIMS'!F8=5),[4]PRS!G2&gt;0),[4]PRS!G2+[4]PRS!$B$2/24,[4]PRS!G3+[4]PRS!$B$2/24)</f>
        <v>0</v>
      </c>
      <c r="H10" s="390"/>
      <c r="I10" s="52" t="str">
        <f>IF(AND([4]PRS!$B$2=0,[4]PRS!$G$6&gt;0,[4]PRS!$G$6&lt;[4]PRS!$G$10),"MG Fini, UTC",IF(AND([4]PRS!$B$2=0,[4]PRS!$G$6=0),"Landing, UTC",IF(AND([4]PRS!$G$6&gt;0,[4]PRS!$G$6&lt;[4]PRS!$G$10),"MG Fini, LCL","Landing, LCL")))</f>
        <v>Landing, UTC</v>
      </c>
      <c r="J10" s="40">
        <f>IF(I10="Landing, UTC",[4]PRS!$G$10,IF(AND([4]PRS!$B$2=0,I10="MG Fini, UTC"),[4]PRS!$G$6,IF(I10="Landing, LCL",[4]PRS!G10+[4]PRS!$B$2/24,[4]PRS!G6+[4]PRS!$B$2/24)))</f>
        <v>0</v>
      </c>
      <c r="K10" s="164">
        <f>IF(OR(G12="",AND(G3="mop",ABS(TIME(HOUR(G12),MINUTE(G12),SECOND(G12))-TIME(HOUR(G10),MINUTE(G10),SECOND(G10)))&lt;0.00068287037037037),AND(G3&lt;&gt;"mop",C3&gt;D10,C3&lt;J10)),0,1)</f>
        <v>0</v>
      </c>
    </row>
    <row r="11" spans="1:11" s="14" customFormat="1" ht="4" customHeight="1" x14ac:dyDescent="0.5">
      <c r="C11" s="35"/>
      <c r="D11" s="15"/>
      <c r="E11" s="15"/>
      <c r="F11" s="15"/>
      <c r="G11" s="15"/>
      <c r="H11" s="15"/>
      <c r="I11" s="15"/>
      <c r="J11" s="36"/>
    </row>
    <row r="12" spans="1:11" s="14" customFormat="1" ht="16" customHeight="1" x14ac:dyDescent="0.5">
      <c r="C12" s="363" t="str">
        <f>IF(G12="","Confirm or Correct Release Time here:  ","Release Time Confirmed as:  ")</f>
        <v xml:space="preserve">Confirm or Correct Release Time here:  </v>
      </c>
      <c r="D12" s="364"/>
      <c r="E12" s="364"/>
      <c r="F12" s="365"/>
      <c r="G12" s="386"/>
      <c r="H12" s="387"/>
      <c r="I12" s="49" t="s">
        <v>28</v>
      </c>
      <c r="J12" s="17"/>
      <c r="K12" s="196"/>
    </row>
    <row r="13" spans="1:11" ht="8.1" customHeight="1" thickBot="1" x14ac:dyDescent="0.45">
      <c r="C13" s="226"/>
      <c r="D13" s="227"/>
      <c r="E13" s="227"/>
      <c r="F13" s="227"/>
      <c r="G13" s="227"/>
      <c r="H13" s="227"/>
      <c r="I13" s="227"/>
      <c r="J13" s="228"/>
    </row>
    <row r="14" spans="1:11" ht="4" customHeight="1" x14ac:dyDescent="0.4">
      <c r="C14" s="218"/>
      <c r="D14" s="219"/>
      <c r="E14" s="221"/>
      <c r="F14" s="221"/>
      <c r="G14" s="222"/>
      <c r="H14" s="222"/>
      <c r="I14" s="223"/>
      <c r="J14" s="224"/>
    </row>
    <row r="15" spans="1:11" ht="15" customHeight="1" x14ac:dyDescent="0.4">
      <c r="C15" s="229" t="str">
        <f>IF(Parsed!A10&lt;&gt;"PR",C49,IF(Parsed!A10="PR",C50))</f>
        <v/>
      </c>
      <c r="D15" s="220"/>
      <c r="E15" s="220"/>
      <c r="F15" s="220"/>
      <c r="G15" s="62"/>
      <c r="H15" s="62"/>
      <c r="I15" s="220"/>
      <c r="J15" s="225"/>
    </row>
    <row r="16" spans="1:11" s="10" customFormat="1" ht="15" customHeight="1" x14ac:dyDescent="0.5">
      <c r="A16" s="12"/>
      <c r="B16" s="11"/>
      <c r="C16" s="230" t="str">
        <f>C51</f>
        <v xml:space="preserve">NOTE: Claim Check has no saved barographic calibration data for  </v>
      </c>
      <c r="D16" s="62"/>
      <c r="E16" s="62"/>
      <c r="F16" s="186"/>
      <c r="G16" s="202"/>
      <c r="H16" s="217"/>
      <c r="I16" s="217"/>
      <c r="J16" s="185"/>
      <c r="K16" s="18"/>
    </row>
    <row r="17" spans="1:11" s="10" customFormat="1" ht="15" customHeight="1" x14ac:dyDescent="0.5">
      <c r="A17" s="13"/>
      <c r="B17" s="11"/>
      <c r="C17" s="207" t="str">
        <f>IF([4]Sheet1!$T$4=0,C32,IF(OR([4]PRS!$D$1-[4]PRS!$D$2&gt;152,[4]PRS!$D$8&gt;[4]PRS!$D$7+152,[4]PRS!$D$9="Last DP"),C33,IF(OR([4]PRS!$D$2-[4]PRS!$D$1&gt;152,[4]PRS!$D$7-[4]PRS!$D$8&gt;152),C34,"")))</f>
        <v>NOTE: The IGC file appears to begin with the glider in motion. Manual review may be required</v>
      </c>
      <c r="D17" s="62"/>
      <c r="E17" s="62"/>
      <c r="F17" s="62"/>
      <c r="G17" s="62"/>
      <c r="H17" s="62"/>
      <c r="I17" s="62"/>
      <c r="J17" s="64"/>
    </row>
    <row r="18" spans="1:11" s="10" customFormat="1" ht="15" customHeight="1" x14ac:dyDescent="0.5">
      <c r="A18" s="13"/>
      <c r="B18" s="11"/>
      <c r="C18" s="208" t="str">
        <f>IF('ALL CLAIMS'!F18=5,C43,IF(AND(C6="PR file",E3&lt;&gt;"Written"),C36,IF(E2="Declaration Incomplete",C37,IF(OR(E3="Free-W inv",AND(E3="W inv",'ALL CLAIMS'!$F$18&gt;=2,'ALL CLAIMS'!F18&lt;4,OTHER!J6&lt;&gt;"",OR(OTHER!G18&gt;Parsed!$G$1,OTHER!G18&lt;[4]PRS!$A$15))),C38,IF(C39&lt;&gt;"",C39,IF(OR(E3="Written",AND('ALL CLAIMS'!$F$18&lt;&gt;5,E2="Free Task")),C40,""))))))</f>
        <v/>
      </c>
      <c r="D18" s="62"/>
      <c r="E18" s="62"/>
      <c r="F18" s="62"/>
      <c r="G18" s="62"/>
      <c r="H18" s="62"/>
      <c r="I18" s="62"/>
      <c r="J18" s="63"/>
    </row>
    <row r="19" spans="1:11" s="10" customFormat="1" ht="15" customHeight="1" x14ac:dyDescent="0.5">
      <c r="A19" s="13"/>
      <c r="B19" s="11"/>
      <c r="C19" s="372" t="str">
        <f>IF(AND($F$3=0,Parsed!$A$15&lt;MIN(Parsed!$G$1,Parsed!$G$18),'ALL CLAIMS'!$F$18&lt;&gt;4,OR($E$3="E inv",$E$3="Free-E inv")),$C$42,IF(OR(Parsed!$C$3="DF",Parsed!$C$3="SC"),$C$46, IF(OR(AND($E$3&lt;&gt;"Written",[4]PRS!$A$15&gt;[4]PRS!$G$1),AND(OR($E$3="Einv",$E$3="Free-E inv"),[4]PRS!$D$12&lt;10),AND('ALL CLAIMS'!$F$18=2,[4]PRS!$B$14&gt;3)),$C$45,IF(AND('ALL CLAIMS'!$F$18&gt;1,OR($E$3="Electronic",$E$2="Custom Electronic Declaration")),$C$47,""))))</f>
        <v/>
      </c>
      <c r="D19" s="373"/>
      <c r="E19" s="373"/>
      <c r="F19" s="373"/>
      <c r="G19" s="373"/>
      <c r="H19" s="373"/>
      <c r="I19" s="373"/>
      <c r="J19" s="374"/>
    </row>
    <row r="20" spans="1:11" s="10" customFormat="1" ht="15" customHeight="1" x14ac:dyDescent="0.5">
      <c r="A20" s="13"/>
      <c r="B20" s="11"/>
      <c r="C20" s="216" t="str">
        <f>IF($C$44&lt;&gt;"",$C$44,IF(AND(Parsed!$B$13="No ENL",OR('ALL CLAIMS'!F8=3,'ALL CLAIMS'!F8=5)),"ERROR: Motorglider was selected at 'ALL CLAIMS', but no ENL data was recorded. See SC3 4.3.2 &amp; 4.5.4",""))</f>
        <v/>
      </c>
      <c r="D20" s="209"/>
      <c r="E20" s="209"/>
      <c r="F20" s="209"/>
      <c r="G20" s="209"/>
      <c r="H20" s="209"/>
      <c r="I20" s="209"/>
      <c r="J20" s="210"/>
    </row>
    <row r="21" spans="1:11" s="10" customFormat="1" ht="15" customHeight="1" x14ac:dyDescent="0.5">
      <c r="A21" s="12"/>
      <c r="B21" s="11"/>
      <c r="C21" s="211" t="str">
        <f>IF(Parsed!A3="X","ERROR: The data file was not generated by an approved recorder. Accuracy of evaluation in question",IF(OR([4]PRS!$G$10&gt;[4]PRS!$G$13,AND([4]PRS!$G$18&lt;&gt;0,[4]PRS!$G$18&lt;[4]PRS!$G$17),AND([4]PRS!$G$18=0,[4]PRS!$G$1&lt;[4]PRS!$G$17)),"TIME ALERT: Check sunrise and sunset times. SC3 4.4.2a",""))</f>
        <v>TIME ALERT: Check sunrise and sunset times. SC3 4.4.2a</v>
      </c>
      <c r="D21" s="212"/>
      <c r="E21" s="212"/>
      <c r="F21" s="213"/>
      <c r="G21" s="212"/>
      <c r="H21" s="212"/>
      <c r="I21" s="212"/>
      <c r="J21" s="214"/>
    </row>
    <row r="22" spans="1:11" s="10" customFormat="1" ht="4" customHeight="1" thickBot="1" x14ac:dyDescent="0.55000000000000004">
      <c r="A22" s="12"/>
      <c r="B22" s="11"/>
      <c r="C22" s="53"/>
      <c r="D22" s="43"/>
      <c r="E22" s="43"/>
      <c r="F22" s="43"/>
      <c r="G22" s="43"/>
      <c r="H22" s="43"/>
      <c r="I22" s="43"/>
      <c r="J22" s="44"/>
    </row>
    <row r="23" spans="1:11" s="10" customFormat="1" ht="6" customHeight="1" x14ac:dyDescent="0.5">
      <c r="A23" s="9"/>
      <c r="B23" s="8"/>
      <c r="C23" s="382"/>
      <c r="D23" s="382"/>
      <c r="E23" s="382"/>
      <c r="F23" s="382"/>
      <c r="G23" s="382"/>
      <c r="H23" s="382"/>
      <c r="I23" s="382"/>
      <c r="J23" s="382"/>
      <c r="K23" s="7"/>
    </row>
    <row r="24" spans="1:11" s="8" customFormat="1" ht="17.100000000000001" customHeight="1" x14ac:dyDescent="0.5">
      <c r="A24"/>
      <c r="B24" s="7"/>
      <c r="C24" s="385" t="str">
        <f>IF(OR(E2="Declaration Incomplete",E3="W inv",E3="Free-W inv",E3="Free-E inv",E3="E inv",C20&lt;&gt;"",AND(C6="PR file",E3&lt;&gt;"written",E3&lt;&gt;"Free-E")),"  Select a tab below",IF(OR(G12="",K10=1),"Confirm or correct Release Time above",IF(H3&lt;&gt;5," Click on the glider to continue","Click on the glider to continue")))</f>
        <v>Confirm or correct Release Time above</v>
      </c>
      <c r="D24" s="385"/>
      <c r="E24" s="385"/>
      <c r="F24" s="54"/>
      <c r="G24" s="395" t="str">
        <f>CONCATENATE([4]PRS!$B$10," fixes recorded; avg. interval ",[4]PRS!$D$10, " second(s)")</f>
        <v>0 fixes recorded; avg. interval 0 second(s)</v>
      </c>
      <c r="H24" s="395"/>
      <c r="I24" s="395"/>
      <c r="J24" s="395"/>
      <c r="K24" s="7"/>
    </row>
    <row r="25" spans="1:11" ht="4" customHeight="1" x14ac:dyDescent="0.5">
      <c r="A25" s="2"/>
      <c r="C25" s="180"/>
      <c r="D25" s="55"/>
      <c r="E25" s="55"/>
      <c r="F25" s="55"/>
      <c r="G25" s="55"/>
      <c r="H25" s="55"/>
      <c r="I25" s="55"/>
      <c r="J25" s="55"/>
      <c r="K25" s="181"/>
    </row>
    <row r="26" spans="1:11" ht="17.100000000000001" customHeight="1" x14ac:dyDescent="0.5">
      <c r="B26" s="7"/>
      <c r="C26" s="367" t="str">
        <f>IF(OR(C19=C42,C19=C45,AND(C19&lt;&gt;"",C19=C46),C28&lt;&gt;"",C20&lt;&gt;"",C21&lt;&gt;"",G2="User Changes",AND(OR('ALL CLAIMS'!F18=2,AND('ALL CLAIMS'!F18=3,OTHER!$D$4=4,OTHER!$F$4=2)),'DATA ENTRY CHECK'!F3&lt;&gt;"OK"))," This claim will require manual review","")</f>
        <v xml:space="preserve"> This claim will require manual review</v>
      </c>
      <c r="D26" s="367"/>
      <c r="E26" s="367"/>
      <c r="F26" s="65">
        <f>IF(SUM(Parsed!I22:I26)&gt;0,1,0)</f>
        <v>0</v>
      </c>
      <c r="G26" s="388">
        <f>Parsed!$A$16</f>
        <v>0</v>
      </c>
      <c r="H26" s="388"/>
      <c r="I26" s="388"/>
      <c r="J26" s="388"/>
      <c r="K26" s="7"/>
    </row>
    <row r="27" spans="1:11" ht="4" customHeight="1" x14ac:dyDescent="0.5">
      <c r="B27" s="1"/>
      <c r="C27" s="9"/>
      <c r="D27" s="9"/>
      <c r="E27" s="9"/>
      <c r="F27" s="56"/>
      <c r="G27" s="9"/>
      <c r="H27" s="9"/>
      <c r="I27" s="9"/>
      <c r="J27" s="9"/>
      <c r="K27" s="7"/>
    </row>
    <row r="28" spans="1:11" ht="17.100000000000001" customHeight="1" x14ac:dyDescent="0.5">
      <c r="A28" s="1"/>
      <c r="C28" s="366" t="str">
        <f>IF(G26="Recorder?","Data Recorder not recognized","")</f>
        <v/>
      </c>
      <c r="D28" s="366"/>
      <c r="E28" s="366"/>
      <c r="F28" s="203"/>
      <c r="G28" s="391" t="str">
        <f>IF([4]PRS!$K$2&lt;&gt;"",[4]PRS!$K$2,IF(OR(Parsed!$B$16="?",Parsed!$B$17="?"),"Check IGC file for Hardware &amp; Firmware",CONCATENATE(" Hardware:  ",Parsed!$B$16,"   Firmware:  ",Parsed!$B$17)))</f>
        <v xml:space="preserve"> Hardware:     Firmware:  </v>
      </c>
      <c r="H28" s="391"/>
      <c r="I28" s="391"/>
      <c r="J28" s="391"/>
      <c r="K28" s="7"/>
    </row>
    <row r="29" spans="1:11" ht="12.75" customHeight="1" x14ac:dyDescent="0.4"/>
    <row r="30" spans="1:11" ht="12.75" customHeight="1" x14ac:dyDescent="0.4"/>
    <row r="31" spans="1:11" ht="12.75" customHeight="1" x14ac:dyDescent="0.4">
      <c r="C31" s="47"/>
    </row>
    <row r="32" spans="1:11" ht="12.75" customHeight="1" x14ac:dyDescent="0.4">
      <c r="C32" s="164" t="s">
        <v>101</v>
      </c>
      <c r="D32" s="47"/>
      <c r="E32" s="47"/>
      <c r="F32" s="47"/>
      <c r="G32" s="47"/>
      <c r="H32" s="47"/>
      <c r="I32" s="47"/>
      <c r="J32" s="47"/>
    </row>
    <row r="33" spans="3:11" ht="12.75" customHeight="1" x14ac:dyDescent="0.4">
      <c r="C33" s="164" t="s">
        <v>102</v>
      </c>
      <c r="D33" s="47"/>
      <c r="E33" s="47"/>
      <c r="F33" s="47"/>
      <c r="G33" s="47"/>
      <c r="H33" s="47"/>
      <c r="I33" s="47"/>
      <c r="J33" s="47"/>
    </row>
    <row r="34" spans="3:11" ht="12.75" customHeight="1" x14ac:dyDescent="0.4">
      <c r="C34" s="164" t="s">
        <v>105</v>
      </c>
      <c r="D34" s="47"/>
      <c r="E34" s="47"/>
      <c r="F34" s="47"/>
      <c r="G34" s="47"/>
      <c r="H34" s="47"/>
      <c r="I34" s="47"/>
      <c r="J34" s="47"/>
    </row>
    <row r="35" spans="3:11" ht="12.75" customHeight="1" x14ac:dyDescent="0.4">
      <c r="C35" s="164"/>
      <c r="D35" s="47"/>
      <c r="E35" s="47"/>
      <c r="F35" s="47"/>
      <c r="G35" s="47"/>
      <c r="H35" s="47"/>
      <c r="I35" s="47"/>
      <c r="J35" s="47"/>
    </row>
    <row r="36" spans="3:11" ht="12.75" customHeight="1" x14ac:dyDescent="0.4">
      <c r="C36" s="164" t="s">
        <v>111</v>
      </c>
      <c r="D36" s="47"/>
      <c r="E36" s="47"/>
      <c r="F36" s="47"/>
      <c r="G36" s="47"/>
      <c r="H36" s="47"/>
      <c r="I36" s="47"/>
      <c r="J36" s="47"/>
    </row>
    <row r="37" spans="3:11" ht="12.75" customHeight="1" x14ac:dyDescent="0.4">
      <c r="C37" s="164" t="s">
        <v>103</v>
      </c>
      <c r="D37" s="47"/>
      <c r="E37" s="47"/>
      <c r="F37" s="47"/>
      <c r="G37" s="47"/>
      <c r="H37" s="47"/>
      <c r="I37" s="47"/>
      <c r="J37" s="47"/>
    </row>
    <row r="38" spans="3:11" ht="12.75" customHeight="1" x14ac:dyDescent="0.4">
      <c r="C38" s="164" t="s">
        <v>115</v>
      </c>
      <c r="D38" s="47"/>
      <c r="E38" s="47"/>
      <c r="F38" s="47"/>
      <c r="G38" s="47"/>
      <c r="H38" s="47"/>
      <c r="I38" s="47"/>
      <c r="J38" s="47"/>
    </row>
    <row r="39" spans="3:11" ht="12.75" customHeight="1" x14ac:dyDescent="0.4">
      <c r="C39" s="164" t="str">
        <f>IF(AND($F$6&lt;42278,OR(AND([4]PRS!B14=3,MIN([4]PRS!K30,[4]PRS!K32,[4]PRS!K34)&lt;10),AND([4]PRS!B14=2,MIN([4]PRS!K30,[4]PRS!K32)&lt;10))),"ERROR: On this flight date, Distance via Up to 3 TPs required Turn Points at least 10 km apart","")</f>
        <v/>
      </c>
      <c r="D39" s="47"/>
      <c r="E39" s="47"/>
      <c r="F39" s="47"/>
      <c r="G39" s="47"/>
      <c r="H39" s="47"/>
      <c r="I39" s="47"/>
      <c r="J39" s="47"/>
    </row>
    <row r="40" spans="3:11" ht="12.75" customHeight="1" x14ac:dyDescent="0.4">
      <c r="C40" s="164" t="str">
        <f>IF(G2="","NOTE: Click the 'OTHER' tab to check the written declaration","NOTE: Click the 'OTHER' tab to check user changes")</f>
        <v>NOTE: Click the 'OTHER' tab to check the written declaration</v>
      </c>
      <c r="D40" s="47"/>
      <c r="E40" s="47"/>
      <c r="F40" s="47"/>
      <c r="G40" s="47"/>
      <c r="H40" s="47"/>
      <c r="I40" s="47"/>
      <c r="J40" s="47"/>
    </row>
    <row r="41" spans="3:11" ht="12.75" customHeight="1" x14ac:dyDescent="0.4">
      <c r="C41" s="164"/>
      <c r="D41" s="47"/>
      <c r="E41" s="47"/>
      <c r="F41" s="47"/>
      <c r="G41" s="47"/>
      <c r="H41" s="47"/>
      <c r="I41" s="47"/>
      <c r="J41" s="47"/>
    </row>
    <row r="42" spans="3:11" ht="12.75" customHeight="1" x14ac:dyDescent="0.4">
      <c r="C42" s="164" t="s">
        <v>106</v>
      </c>
      <c r="D42" s="47"/>
      <c r="E42" s="47"/>
      <c r="F42" s="47"/>
      <c r="G42" s="47"/>
      <c r="H42" s="47"/>
      <c r="I42" s="47"/>
      <c r="J42" s="47"/>
      <c r="K42" s="47"/>
    </row>
    <row r="43" spans="3:11" ht="12.75" customHeight="1" x14ac:dyDescent="0.4">
      <c r="C43" s="164" t="s">
        <v>107</v>
      </c>
      <c r="D43" s="47"/>
      <c r="E43" s="47"/>
      <c r="F43" s="47"/>
      <c r="G43" s="47"/>
      <c r="H43" s="47"/>
      <c r="I43" s="47"/>
      <c r="J43" s="47"/>
      <c r="K43" s="47"/>
    </row>
    <row r="44" spans="3:11" ht="12.75" customHeight="1" x14ac:dyDescent="0.4">
      <c r="C44" s="244" t="str">
        <f>IF(AND($G$6="Sailplane  ", OR(Parsed!G2&lt;&gt;0,$E$10="MoP Stop, UTC  ",$E$10="MoP Stop, LCL  ",$I$10="MG Fini, UTC",$I$10="MG Fini, LCL")), "ERROR: ENL data suggests the aircraft is a motorglider. Please return to ALL CLAIMS and check 'Aircraft Designation' ","")</f>
        <v/>
      </c>
      <c r="D44" s="47"/>
      <c r="E44" s="47"/>
      <c r="F44" s="47"/>
      <c r="G44" s="47"/>
      <c r="H44" s="47"/>
      <c r="I44" s="47"/>
      <c r="J44" s="47"/>
      <c r="K44" s="47"/>
    </row>
    <row r="45" spans="3:11" ht="12.75" customHeight="1" x14ac:dyDescent="0.4">
      <c r="C45" s="164" t="str">
        <f>IF(OR(E3="Free-W",C6="PR file"),"","ERROR: Check E-DEC, then return to ALL CLAIMS and select another declaration Type.")</f>
        <v>ERROR: Check E-DEC, then return to ALL CLAIMS and select another declaration Type.</v>
      </c>
      <c r="D45" s="47"/>
      <c r="E45" s="47"/>
      <c r="F45" s="47"/>
      <c r="G45" s="47"/>
      <c r="H45" s="47"/>
      <c r="I45" s="47"/>
      <c r="J45" s="47"/>
      <c r="K45" s="47"/>
    </row>
    <row r="46" spans="3:11" ht="12.75" customHeight="1" x14ac:dyDescent="0.4">
      <c r="C46" s="164" t="str">
        <f>IF(AND(Parsed!A1="FLA",Parsed!C3="SC"),"DATA ALERT: A known 'source code' flaw exists in the 'CM2' data field. Contact FLARM for more information",IF(AND(G2="",F3="SC"),"DATA ALERT: Flawed 'Source Code.' See Technical Specs A3.2.1",IF(AND(G2="",F3="DF"),"DATA ALERT: Flawed 'H' records. A written declaration must be used to evaluate this flight","")))</f>
        <v>DATA ALERT: Flawed 'H' records. A written declaration must be used to evaluate this flight</v>
      </c>
      <c r="D46" s="47"/>
      <c r="E46" s="47"/>
      <c r="F46" s="47"/>
      <c r="G46" s="47"/>
      <c r="H46" s="47"/>
      <c r="I46" s="47"/>
      <c r="J46" s="47"/>
      <c r="K46" s="47"/>
    </row>
    <row r="47" spans="3:11" ht="12.75" customHeight="1" x14ac:dyDescent="0.4">
      <c r="C47" s="164" t="s">
        <v>104</v>
      </c>
      <c r="D47" s="164"/>
      <c r="E47" s="164"/>
      <c r="F47" s="164"/>
      <c r="G47" s="47"/>
      <c r="H47" s="47"/>
      <c r="I47" s="47"/>
      <c r="J47" s="47"/>
      <c r="K47" s="47"/>
    </row>
    <row r="48" spans="3:11" ht="12.75" customHeight="1" x14ac:dyDescent="0.4">
      <c r="C48" s="47"/>
      <c r="D48" s="164"/>
      <c r="E48" s="164"/>
      <c r="F48" s="164"/>
      <c r="G48" s="47"/>
      <c r="H48" s="47"/>
      <c r="I48" s="232"/>
      <c r="J48" s="233">
        <v>40816</v>
      </c>
      <c r="K48" s="232"/>
    </row>
    <row r="49" spans="3:11" ht="12.75" customHeight="1" x14ac:dyDescent="0.4">
      <c r="C49" s="47" t="str">
        <f>IF(AND(J54&lt;&gt;0,OR(AND(J54&gt;=I51,J54&lt;=J52),AND(J50&gt;=I54,J50&lt;=J55))),CONCATENATE("NOTE: The saved calibration for ",J53," will be used for this evaluation."),IF(AND(J54&lt;&gt;0,OR(J54&gt;J52,J54&lt;I51,J55&lt;J50)),CONCATENATE("NOTE: The saved calibration for ",J53," will not be used for this evaluation."),""))</f>
        <v/>
      </c>
      <c r="D49" s="164"/>
      <c r="E49" s="164"/>
      <c r="F49" s="164"/>
      <c r="G49" s="47"/>
      <c r="H49" s="47"/>
      <c r="I49" s="234"/>
      <c r="J49" s="235">
        <v>41548</v>
      </c>
      <c r="K49" s="232"/>
    </row>
    <row r="50" spans="3:11" ht="12.75" customHeight="1" x14ac:dyDescent="0.4">
      <c r="C50" s="164" t="s">
        <v>112</v>
      </c>
      <c r="D50" s="164"/>
      <c r="E50" s="164"/>
      <c r="F50" s="164"/>
      <c r="G50" s="47"/>
      <c r="H50" s="47"/>
      <c r="I50" s="234"/>
      <c r="J50" s="235">
        <f>F6</f>
        <v>0</v>
      </c>
      <c r="K50" s="232">
        <f>IF(J50&gt;J49,-1*($J$50-$J$49),$J$50-$J$49)</f>
        <v>-41548</v>
      </c>
    </row>
    <row r="51" spans="3:11" ht="12.75" customHeight="1" x14ac:dyDescent="0.4">
      <c r="C51" s="236" t="str">
        <f>IF(AND(Parsed!A10="PR",Parsed!A17=""),"",IF(J54=0,CONCATENATE("NOTE: Claim Check has no saved barographic calibration data for ",D6),CONCATENATE("            This calibration is valid for FAI flights made between ",TEXT(I54,"dd-mmm-yy")," and ",TEXT(J55,"dd-mmm-yy"))))</f>
        <v xml:space="preserve">NOTE: Claim Check has no saved barographic calibration data for  </v>
      </c>
      <c r="D51" s="164"/>
      <c r="E51" s="164"/>
      <c r="F51" s="164"/>
      <c r="G51" s="47"/>
      <c r="H51" s="47"/>
      <c r="I51" s="235">
        <f>IF($J$50&gt;=43374,DATE(YEAR($J$50)-5,MONTH($J$50),DAY($J$50)),IF($J$50&lt;40816,DATE(YEAR($J$50)-2,MONTH($J$50),DAY($J$50)),IF(AND($J$50&gt;=40816,$J$50&lt;41548),DATE(YEAR($J$50)-2,MONTH($J$50),DAY($J$50)),IF(AND($J$50&gt;=40816,$J$50&lt;41548),J50-($J$49-$J$48)+$K$50,J49))))</f>
        <v>693232</v>
      </c>
      <c r="J51" s="235"/>
      <c r="K51" s="232"/>
    </row>
    <row r="52" spans="3:11" ht="12.75" customHeight="1" x14ac:dyDescent="0.4">
      <c r="C52" s="164"/>
      <c r="D52" s="164"/>
      <c r="E52" s="164"/>
      <c r="F52" s="164"/>
      <c r="G52" s="47"/>
      <c r="H52" s="47"/>
      <c r="I52" s="235"/>
      <c r="J52" s="235">
        <f>DATE(YEAR($J$50),MONTH($J$50)+2,DAY($J$50))</f>
        <v>60</v>
      </c>
      <c r="K52" s="232"/>
    </row>
    <row r="53" spans="3:11" ht="12.75" customHeight="1" x14ac:dyDescent="0.4">
      <c r="C53" s="164"/>
      <c r="D53" s="164"/>
      <c r="E53" s="164"/>
      <c r="F53" s="164"/>
      <c r="G53" s="47"/>
      <c r="H53" s="47"/>
      <c r="I53" s="235"/>
      <c r="J53" s="235">
        <f>Parsed!A40</f>
        <v>0</v>
      </c>
      <c r="K53" s="232"/>
    </row>
    <row r="54" spans="3:11" ht="12.75" customHeight="1" x14ac:dyDescent="0.4">
      <c r="C54" s="164"/>
      <c r="D54" s="164"/>
      <c r="E54" s="164"/>
      <c r="F54" s="164"/>
      <c r="G54" s="47"/>
      <c r="H54" s="47"/>
      <c r="I54" s="235" t="str">
        <f>IF($J$54=0,"",DATE(YEAR($J$54),MONTH($J$54)-2,DAY($J$54)))</f>
        <v/>
      </c>
      <c r="J54" s="235">
        <f>Parsed!A41</f>
        <v>0</v>
      </c>
      <c r="K54" s="232"/>
    </row>
    <row r="55" spans="3:11" ht="12.75" customHeight="1" x14ac:dyDescent="0.4">
      <c r="C55" s="164"/>
      <c r="D55" s="164"/>
      <c r="E55" s="164"/>
      <c r="F55" s="164"/>
      <c r="G55" s="47"/>
      <c r="H55" s="47"/>
      <c r="I55" s="235"/>
      <c r="J55" s="235">
        <f>IF($J$54="","",IF($J$54&gt;=41548,DATE(YEAR($J$54)+5,MONTH($J$54),DAY($J$54)),IF($J$54&lt;41548,DATE(YEAR($J$54)+2,MONTH($J$54),DAY($J$54)))))</f>
        <v>731</v>
      </c>
      <c r="K55" s="232"/>
    </row>
    <row r="56" spans="3:11" ht="13" customHeight="1" x14ac:dyDescent="0.4">
      <c r="C56" s="164"/>
      <c r="D56" s="164"/>
      <c r="E56" s="164"/>
      <c r="F56" s="164"/>
      <c r="G56" s="47"/>
      <c r="H56" s="47"/>
      <c r="I56" s="47"/>
      <c r="J56" s="47"/>
      <c r="K56" s="47"/>
    </row>
    <row r="57" spans="3:11" ht="13" customHeight="1" x14ac:dyDescent="0.4">
      <c r="C57" s="164"/>
      <c r="D57" s="164"/>
      <c r="E57" s="164"/>
      <c r="F57" s="164"/>
      <c r="G57" s="47"/>
      <c r="H57" s="47"/>
      <c r="I57" s="47" t="str">
        <f>IF(J50&gt;=DATE(YEAR(J49)+5,MONTH(J49),DAY(J49)),DATE(YEAR(J50)-5,MONTH(J50),DAY(J50)),"")</f>
        <v/>
      </c>
      <c r="J57" s="47" t="str">
        <f>IF(AND(J50&gt;J49,J50&gt;DATE(YEAR(J48)+5,MONTH(J48),DAY(J48)),J50&lt;DATE(YEAR(J49)+5,MONTH(J49),DAY(J49))),DATE(YEAR(J50)-5,MONTH(J50),DAY(J50)),"")</f>
        <v/>
      </c>
      <c r="K57" s="47"/>
    </row>
    <row r="58" spans="3:11" ht="13" customHeight="1" x14ac:dyDescent="0.4">
      <c r="C58" s="164"/>
      <c r="D58" s="164"/>
      <c r="E58" s="164"/>
      <c r="F58" s="164"/>
      <c r="G58" s="164"/>
      <c r="H58" s="164"/>
      <c r="I58" s="164">
        <f>IF(J50&lt;=J49,DATE(YEAR(J50)-2,MONTH(J50),DAY(J50)),"")</f>
        <v>693232</v>
      </c>
      <c r="J58" s="164" t="str">
        <f>IF(OR(I57&lt;&gt;"",J57&lt;&gt;"",I58&lt;&gt;""),"",IF(AND(J50&gt;=J49,J50&gt;=DATE(YEAR(I60),MONTH(I60),DAY(I60))),I60,J50))</f>
        <v/>
      </c>
    </row>
    <row r="59" spans="3:11" ht="13" customHeight="1" x14ac:dyDescent="0.4">
      <c r="C59" s="164"/>
      <c r="D59" s="164"/>
      <c r="E59" s="231">
        <v>40817</v>
      </c>
      <c r="F59" s="231">
        <v>42644</v>
      </c>
      <c r="G59" s="164"/>
      <c r="H59" s="164"/>
      <c r="I59" s="164"/>
      <c r="J59" s="164">
        <f>MAX(I57,I58,J57,J58)</f>
        <v>693232</v>
      </c>
    </row>
    <row r="60" spans="3:11" ht="13" customHeight="1" x14ac:dyDescent="0.4">
      <c r="C60" s="164"/>
      <c r="D60" s="164"/>
      <c r="E60" s="164" t="str">
        <f>IF(J50&lt;&gt;0,DATE(YEAR(J50),MONTH(J50)-2,DAY(J50)),"")</f>
        <v/>
      </c>
      <c r="F60" s="164" t="str">
        <f>IF(E60="","",E60+(F59-E59))</f>
        <v/>
      </c>
      <c r="G60" s="164"/>
      <c r="H60" s="164"/>
      <c r="I60" s="164" t="str">
        <f>IF(J50=0,"",IF(EDATE(J50,-60)&lt;J48,MIN(E59:E61),IF(EDATE(J50,-60)=J48,J48+1,"")))</f>
        <v/>
      </c>
      <c r="J60" s="164"/>
    </row>
    <row r="61" spans="3:11" ht="13" customHeight="1" x14ac:dyDescent="0.4">
      <c r="C61" s="164"/>
      <c r="D61" s="164"/>
      <c r="E61" s="164">
        <f>IF(J50&lt;=DATE(YEAR(J48),MONTH(J48),DAY(J48)),E59,"")</f>
        <v>40817</v>
      </c>
      <c r="F61" s="164">
        <f>IF(E61="","",DATE(YEAR(E61)+5,MONTH(E61),DAY(E61)))</f>
        <v>42644</v>
      </c>
      <c r="G61" s="164"/>
      <c r="H61" s="164"/>
      <c r="I61" s="164"/>
      <c r="J61" s="164"/>
    </row>
    <row r="62" spans="3:11" ht="13" customHeight="1" x14ac:dyDescent="0.4">
      <c r="C62" s="164"/>
      <c r="D62" s="164"/>
      <c r="E62" s="164"/>
      <c r="F62" s="164"/>
      <c r="G62" s="164"/>
      <c r="H62" s="164"/>
      <c r="I62" s="164"/>
      <c r="J62" s="164"/>
    </row>
  </sheetData>
  <sheetProtection password="C630" sheet="1" objects="1" scenarios="1" selectLockedCells="1"/>
  <protectedRanges>
    <protectedRange sqref="C4:K4 C19:C20 C21:C23 C16:C17" name="Range1" securityDescriptor="O:WDG:WDD:(A;;CC;;;S-1-5-21-1467035181-4279586865-2809505834-1006)"/>
  </protectedRanges>
  <customSheetViews>
    <customSheetView guid="{A921FC5E-826F-4CBA-9479-3BFF6B42C1E4}" scale="110" showGridLines="0" showRowCol="0" outlineSymbols="0" fitToPage="1" state="hidden">
      <selection activeCell="G15" sqref="G15"/>
      <pageMargins left="1" right="1" top="1.25" bottom="1" header="0.5" footer="0.5"/>
      <printOptions horizontalCentered="1"/>
      <pageSetup orientation="landscape" horizontalDpi="300" verticalDpi="300" r:id="rId1"/>
      <headerFooter alignWithMargins="0"/>
    </customSheetView>
    <customSheetView guid="{5A90EFA9-31B0-4AB9-9C9D-5F587FBCF9F6}" scale="110" showGridLines="0" showRowCol="0" outlineSymbols="0" fitToPage="1" state="hidden">
      <selection activeCell="G15" sqref="G15"/>
      <pageMargins left="1" right="1" top="1.25" bottom="1" header="0.5" footer="0.5"/>
      <printOptions horizontalCentered="1"/>
      <pageSetup orientation="landscape" horizontalDpi="300" verticalDpi="300" r:id="rId2"/>
      <headerFooter alignWithMargins="0"/>
    </customSheetView>
    <customSheetView guid="{0EEACCE0-EC3D-41E2-9461-B930F93FB082}" showGridLines="0" showRowCol="0" outlineSymbols="0" fitToPage="1" state="hidden">
      <selection activeCell="G15" sqref="G15"/>
      <pageMargins left="1" right="1" top="1.25" bottom="1" header="0.5" footer="0.5"/>
      <printOptions horizontalCentered="1"/>
      <pageSetup orientation="landscape" horizontalDpi="300" verticalDpi="300" r:id="rId3"/>
      <headerFooter alignWithMargins="0"/>
    </customSheetView>
  </customSheetViews>
  <mergeCells count="21">
    <mergeCell ref="C24:E24"/>
    <mergeCell ref="G12:H12"/>
    <mergeCell ref="G26:J26"/>
    <mergeCell ref="G10:H10"/>
    <mergeCell ref="G28:J28"/>
    <mergeCell ref="E2:F2"/>
    <mergeCell ref="G2:I2"/>
    <mergeCell ref="E10:F10"/>
    <mergeCell ref="C12:F12"/>
    <mergeCell ref="C28:E28"/>
    <mergeCell ref="C26:E26"/>
    <mergeCell ref="I8:J8"/>
    <mergeCell ref="I6:J6"/>
    <mergeCell ref="G24:J24"/>
    <mergeCell ref="C19:J19"/>
    <mergeCell ref="C4:D4"/>
    <mergeCell ref="D8:E8"/>
    <mergeCell ref="G6:H6"/>
    <mergeCell ref="G8:H8"/>
    <mergeCell ref="C23:J23"/>
    <mergeCell ref="E4:J4"/>
  </mergeCells>
  <phoneticPr fontId="2" type="noConversion"/>
  <conditionalFormatting sqref="I14:J14">
    <cfRule type="expression" dxfId="19" priority="27" stopIfTrue="1">
      <formula>#REF!=""=FALSE</formula>
    </cfRule>
  </conditionalFormatting>
  <conditionalFormatting sqref="C12:F12">
    <cfRule type="expression" dxfId="18" priority="25" stopIfTrue="1">
      <formula>$C$12="Release Time Confirmed as:  "=FALSE</formula>
    </cfRule>
  </conditionalFormatting>
  <conditionalFormatting sqref="I8:J8">
    <cfRule type="expression" dxfId="17" priority="16" stopIfTrue="1">
      <formula>AND($I$8=""=FALSE,$G$2=""=FALSE)</formula>
    </cfRule>
    <cfRule type="expression" dxfId="16" priority="124" stopIfTrue="1">
      <formula>AND($F$8="W",$I$8=""=FALSE)</formula>
    </cfRule>
    <cfRule type="expression" dxfId="15" priority="125" stopIfTrue="1">
      <formula>$I$8=""=FALSE</formula>
    </cfRule>
  </conditionalFormatting>
  <conditionalFormatting sqref="E2:F2">
    <cfRule type="expression" dxfId="14" priority="7" stopIfTrue="1">
      <formula>OR($E$2="Declaration Incomplete",$E$3="E INV",$E$3="Free-W Dec Inv",$E$3="W inv")</formula>
    </cfRule>
    <cfRule type="expression" dxfId="13" priority="23" stopIfTrue="1">
      <formula>OR($E$2="Free Task",$E$2="Written declaration invalid",$E$2="Written Pre-flight declaration")</formula>
    </cfRule>
    <cfRule type="expression" dxfId="12" priority="24" stopIfTrue="1">
      <formula>OR($E$2="Custom Electronic Declaration",$E$2="Electronic Pre-flight Declaration",$E$2="Electronic declaration invalid")</formula>
    </cfRule>
  </conditionalFormatting>
  <conditionalFormatting sqref="G2:I2">
    <cfRule type="expression" dxfId="11" priority="19" stopIfTrue="1">
      <formula>$G$2="User Changes"</formula>
    </cfRule>
  </conditionalFormatting>
  <conditionalFormatting sqref="D8:E8">
    <cfRule type="expression" dxfId="10" priority="6" stopIfTrue="1">
      <formula>OR($E$3="Free- W Inv",$E$3="W Inv")</formula>
    </cfRule>
    <cfRule type="expression" dxfId="9" priority="18" stopIfTrue="1">
      <formula>$G$2=""=FALSE</formula>
    </cfRule>
    <cfRule type="expression" dxfId="8" priority="126" stopIfTrue="1">
      <formula>$F$8="W"</formula>
    </cfRule>
  </conditionalFormatting>
  <conditionalFormatting sqref="I6:J6">
    <cfRule type="expression" dxfId="7" priority="5" stopIfTrue="1">
      <formula>OR($E$3="Free- W Inv",$E$3="W inv")</formula>
    </cfRule>
    <cfRule type="expression" dxfId="6" priority="8" stopIfTrue="1">
      <formula>$G$2=""=FALSE</formula>
    </cfRule>
    <cfRule type="expression" dxfId="5" priority="17" stopIfTrue="1">
      <formula>$F$8="W"</formula>
    </cfRule>
  </conditionalFormatting>
  <conditionalFormatting sqref="C24:E24">
    <cfRule type="expression" dxfId="4" priority="11" stopIfTrue="1">
      <formula>OR($C$24="See Error Message Above",$G$12="")</formula>
    </cfRule>
  </conditionalFormatting>
  <conditionalFormatting sqref="C18">
    <cfRule type="expression" dxfId="3" priority="4" stopIfTrue="1">
      <formula>OR($C$18=C43,$C$18=C40)</formula>
    </cfRule>
  </conditionalFormatting>
  <conditionalFormatting sqref="C19:J19 D20:J20">
    <cfRule type="expression" dxfId="2" priority="2" stopIfTrue="1">
      <formula>OR($C$19=$C$43,$C$19=$C$47)</formula>
    </cfRule>
  </conditionalFormatting>
  <conditionalFormatting sqref="G12:H12">
    <cfRule type="expression" dxfId="1" priority="29" stopIfTrue="1">
      <formula>$G$12=""=FALSE</formula>
    </cfRule>
    <cfRule type="expression" dxfId="0" priority="55" stopIfTrue="1">
      <formula>$G$12=""</formula>
    </cfRule>
  </conditionalFormatting>
  <printOptions horizontalCentered="1"/>
  <pageMargins left="1" right="1" top="1.25" bottom="1" header="0.5" footer="0.5"/>
  <pageSetup orientation="landscape" horizontalDpi="300" verticalDpi="300" r:id="rId4"/>
  <headerFooter alignWithMargins="0"/>
  <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7"/>
  <sheetViews>
    <sheetView showGridLines="0" showRowColHeaders="0" zoomScale="126" zoomScaleNormal="126" workbookViewId="0"/>
  </sheetViews>
  <sheetFormatPr defaultRowHeight="13" customHeight="1" x14ac:dyDescent="0.4"/>
  <cols>
    <col min="1" max="13" width="9.1640625" customWidth="1"/>
  </cols>
  <sheetData>
    <row r="1" spans="1:1" ht="12.3" x14ac:dyDescent="0.4">
      <c r="A1" s="47"/>
    </row>
    <row r="2" spans="1:1" ht="12.75" customHeight="1" x14ac:dyDescent="0.4"/>
    <row r="3" spans="1:1" ht="12.75" customHeight="1" x14ac:dyDescent="0.4"/>
    <row r="4" spans="1:1" ht="12.75" customHeight="1" x14ac:dyDescent="0.4"/>
    <row r="5" spans="1:1" ht="12.75" customHeight="1" x14ac:dyDescent="0.4"/>
    <row r="6" spans="1:1" ht="12.75" customHeight="1" x14ac:dyDescent="0.4"/>
    <row r="7" spans="1:1" ht="12.75" customHeight="1" x14ac:dyDescent="0.4"/>
    <row r="8" spans="1:1" ht="12.75" customHeight="1" x14ac:dyDescent="0.4"/>
    <row r="9" spans="1:1" ht="12.75" customHeight="1" x14ac:dyDescent="0.4"/>
    <row r="10" spans="1:1" ht="12.75" customHeight="1" x14ac:dyDescent="0.4"/>
    <row r="11" spans="1:1" ht="12.75" customHeight="1" x14ac:dyDescent="0.4"/>
    <row r="12" spans="1:1" ht="12.75" customHeight="1" x14ac:dyDescent="0.4"/>
    <row r="13" spans="1:1" ht="12.75" customHeight="1" x14ac:dyDescent="0.4"/>
    <row r="14" spans="1:1" ht="12.75" customHeight="1" x14ac:dyDescent="0.4"/>
    <row r="15" spans="1:1" ht="12.75" customHeight="1" x14ac:dyDescent="0.4"/>
    <row r="16" spans="1:1" ht="12.75" customHeight="1" x14ac:dyDescent="0.4"/>
    <row r="17" spans="8:12" ht="12.75" customHeight="1" x14ac:dyDescent="0.4"/>
    <row r="18" spans="8:12" ht="12.75" customHeight="1" x14ac:dyDescent="0.4"/>
    <row r="19" spans="8:12" ht="12.75" customHeight="1" x14ac:dyDescent="0.4"/>
    <row r="20" spans="8:12" ht="12.75" customHeight="1" x14ac:dyDescent="0.4"/>
    <row r="21" spans="8:12" ht="12.75" customHeight="1" x14ac:dyDescent="0.4"/>
    <row r="22" spans="8:12" ht="6" customHeight="1" x14ac:dyDescent="0.4"/>
    <row r="23" spans="8:12" ht="22" customHeight="1" x14ac:dyDescent="0.4">
      <c r="H23" s="392" t="s">
        <v>85</v>
      </c>
      <c r="I23" s="392"/>
      <c r="J23" s="392"/>
      <c r="K23" s="392"/>
      <c r="L23" s="392"/>
    </row>
    <row r="24" spans="8:12" ht="6" customHeight="1" x14ac:dyDescent="0.4">
      <c r="I24" s="47"/>
    </row>
    <row r="25" spans="8:12" ht="22" customHeight="1" x14ac:dyDescent="0.4">
      <c r="H25" s="393" t="s">
        <v>86</v>
      </c>
      <c r="I25" s="393"/>
      <c r="J25" s="393"/>
      <c r="K25" s="393"/>
      <c r="L25" s="393"/>
    </row>
    <row r="26" spans="8:12" ht="6" customHeight="1" x14ac:dyDescent="0.4"/>
    <row r="27" spans="8:12" ht="22" customHeight="1" x14ac:dyDescent="0.4">
      <c r="H27" s="394" t="str">
        <f>IF('DATA ENTRY CHECK'!$G$12="","8 to 12 seconds typical",IF(AND('DATA ENTRY CHECK'!$G$12&lt;&gt;"",'ALL CLAIMS'!$F$18=5)," 1 to 3 MINUTES typical","15 to 40 seconds typical"))</f>
        <v>8 to 12 seconds typical</v>
      </c>
      <c r="I27" s="394"/>
      <c r="J27" s="394"/>
      <c r="K27" s="394"/>
      <c r="L27" s="394"/>
    </row>
  </sheetData>
  <sheetProtection password="C630" sheet="1" objects="1" scenarios="1" selectLockedCells="1" selectUnlockedCells="1"/>
  <mergeCells count="3">
    <mergeCell ref="H23:L23"/>
    <mergeCell ref="H25:L25"/>
    <mergeCell ref="H27:L27"/>
  </mergeCells>
  <pageMargins left="0.7" right="0.7" top="0.75" bottom="0.75" header="0.3" footer="0.3"/>
  <pageSetup scale="47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ALL CLAIMS</vt:lpstr>
      <vt:lpstr>Parsed</vt:lpstr>
      <vt:lpstr>E-DEC</vt:lpstr>
      <vt:lpstr>OTHER</vt:lpstr>
      <vt:lpstr>DATA ENTRY CHECK</vt:lpstr>
      <vt:lpstr>Logo</vt:lpstr>
      <vt:lpstr>'ALL CLAIMS'!_1</vt:lpstr>
      <vt:lpstr>'ALL CLAIMS'!Print_Area</vt:lpstr>
      <vt:lpstr>'DATA ENTRY CHECK'!Print_Area</vt:lpstr>
      <vt:lpstr>'E-DEC'!Print_Area</vt:lpstr>
      <vt:lpstr>Logo!Print_Area</vt:lpstr>
      <vt:lpstr>OTHER!Print_Area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Claim Check A</dc:title>
  <dc:creator>Judy Ruprecht</dc:creator>
  <dc:description>Preliminary data entry &amp; parsing</dc:description>
  <cp:lastModifiedBy>Owner</cp:lastModifiedBy>
  <cp:lastPrinted>2012-05-17T22:24:59Z</cp:lastPrinted>
  <dcterms:created xsi:type="dcterms:W3CDTF">2005-08-27T20:12:44Z</dcterms:created>
  <dcterms:modified xsi:type="dcterms:W3CDTF">2018-08-08T21:23:57Z</dcterms:modified>
  <cp:contentStatus>Updated to XL2010</cp:contentStatus>
</cp:coreProperties>
</file>