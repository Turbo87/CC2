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defaultThemeVersion="124226"/>
  <bookViews>
    <workbookView xWindow="240" yWindow="1098" windowWidth="20118" windowHeight="6018" activeTab="4"/>
  </bookViews>
  <sheets>
    <sheet name="BR" sheetId="1" r:id="rId1"/>
    <sheet name="IMP" sheetId="2" r:id="rId2"/>
    <sheet name="Sheet1" sheetId="3" r:id="rId3"/>
    <sheet name="Sheet2" sheetId="4" r:id="rId4"/>
    <sheet name="PRS" sheetId="6" r:id="rId5"/>
    <sheet name="sunrise" sheetId="7" r:id="rId6"/>
  </sheets>
  <functionGroups builtInGroupCount="17"/>
  <externalReferences>
    <externalReference r:id="rId7"/>
  </externalReferences>
  <definedNames>
    <definedName name="_xlnm._FilterDatabase" localSheetId="4" hidden="1">PRS!$A$2:$M$34</definedName>
  </definedNames>
  <calcPr calcId="145621" iterate="1" iterateCount="50"/>
</workbook>
</file>

<file path=xl/calcChain.xml><?xml version="1.0" encoding="utf-8"?>
<calcChain xmlns="http://schemas.openxmlformats.org/spreadsheetml/2006/main">
  <c r="D10" i="6" l="1"/>
  <c r="M3" i="6" l="1"/>
  <c r="M2" i="6"/>
  <c r="S1" i="2"/>
  <c r="B4" i="6" l="1"/>
  <c r="A6" i="6" l="1"/>
  <c r="D13" i="6" l="1"/>
  <c r="F7" i="6" l="1"/>
  <c r="F6" i="6"/>
  <c r="D6" i="6"/>
  <c r="A3" i="6"/>
  <c r="B16" i="6" s="1"/>
  <c r="A15" i="6" l="1"/>
  <c r="D16" i="6" l="1"/>
  <c r="E15" i="6" s="1"/>
  <c r="D2" i="6" l="1"/>
  <c r="D7" i="6"/>
  <c r="E17" i="6"/>
  <c r="E16" i="6"/>
  <c r="D17" i="6" l="1"/>
  <c r="D14" i="6"/>
  <c r="A9" i="6"/>
  <c r="B9" i="6"/>
  <c r="B11" i="6"/>
  <c r="A8" i="6" s="1"/>
  <c r="B2" i="6"/>
  <c r="B17" i="6" l="1"/>
  <c r="A5" i="6" l="1"/>
  <c r="B5" i="6" l="1"/>
  <c r="A4" i="6" l="1"/>
  <c r="C3" i="6" s="1"/>
  <c r="C15" i="6" l="1"/>
  <c r="B13" i="6" l="1"/>
  <c r="B10" i="6"/>
  <c r="B7" i="6"/>
  <c r="A7" i="6"/>
  <c r="A2" i="6"/>
  <c r="B1" i="6"/>
  <c r="A1" i="6"/>
  <c r="A16" i="6" s="1"/>
  <c r="I1" i="6"/>
  <c r="I2" i="6"/>
  <c r="I7" i="6"/>
  <c r="I8" i="6"/>
  <c r="I5" i="6"/>
  <c r="I4" i="6"/>
  <c r="D13" i="7" l="1"/>
  <c r="B10" i="7"/>
  <c r="C10" i="7" l="1"/>
  <c r="G1" i="6" l="1"/>
  <c r="G18" i="6" l="1"/>
  <c r="H18" i="6" s="1"/>
  <c r="D1" i="6"/>
  <c r="F1" i="6" s="1"/>
  <c r="A18" i="6" l="1"/>
  <c r="B18" i="6" l="1"/>
  <c r="C6" i="7" s="1"/>
  <c r="C18" i="6"/>
  <c r="E18" i="6" l="1"/>
  <c r="D18" i="6"/>
  <c r="F18" i="6" l="1"/>
  <c r="C7" i="7"/>
  <c r="K2" i="6"/>
  <c r="A17" i="6" s="1"/>
  <c r="A12" i="6" l="1"/>
  <c r="B12" i="6" s="1"/>
  <c r="B15" i="6" l="1"/>
  <c r="G2" i="6"/>
  <c r="D3" i="6"/>
  <c r="G3" i="6"/>
  <c r="D4" i="6"/>
  <c r="F4" i="6"/>
  <c r="G4" i="6"/>
  <c r="D5" i="6"/>
  <c r="F5" i="6"/>
  <c r="L19" i="6" s="1"/>
  <c r="G5" i="6"/>
  <c r="G6" i="6"/>
  <c r="G7" i="6"/>
  <c r="D8" i="6"/>
  <c r="F3" i="6" s="1"/>
  <c r="F8" i="6"/>
  <c r="G8" i="6"/>
  <c r="D9" i="6"/>
  <c r="F9" i="6"/>
  <c r="G9" i="6"/>
  <c r="G10" i="6"/>
  <c r="F2" i="6" s="1"/>
  <c r="F11" i="6"/>
  <c r="G11" i="6"/>
  <c r="F12" i="6"/>
  <c r="D30" i="6" s="1"/>
  <c r="F30" i="6" s="1"/>
  <c r="G12" i="6"/>
  <c r="K19" i="6"/>
  <c r="A30" i="6"/>
  <c r="C30" i="6" s="1"/>
  <c r="B30" i="6"/>
  <c r="E30" i="6"/>
  <c r="B6" i="7"/>
  <c r="B8" i="7"/>
  <c r="C8" i="7"/>
  <c r="B9" i="7"/>
  <c r="C9" i="7" s="1"/>
  <c r="C15" i="7"/>
  <c r="B7" i="7" l="1"/>
  <c r="D15" i="7"/>
  <c r="G17" i="6" s="1"/>
  <c r="B17" i="7"/>
  <c r="D17" i="7" l="1"/>
  <c r="G13" i="6" l="1"/>
  <c r="H19" i="6" s="1"/>
  <c r="J19" i="6" l="1"/>
  <c r="I19" i="6"/>
  <c r="C11" i="6"/>
  <c r="D11" i="6"/>
  <c r="E11" i="6"/>
  <c r="D12" i="6"/>
  <c r="E12" i="6"/>
  <c r="A14" i="6"/>
  <c r="B14" i="6"/>
  <c r="C16" i="6"/>
  <c r="A20" i="6"/>
  <c r="B20" i="6"/>
  <c r="C20" i="6"/>
  <c r="D20" i="6"/>
  <c r="E20" i="6"/>
  <c r="F20" i="6"/>
  <c r="G20" i="6"/>
  <c r="H20" i="6"/>
  <c r="I20" i="6"/>
  <c r="K20" i="6"/>
  <c r="L20" i="6"/>
  <c r="A22" i="6"/>
  <c r="B22" i="6"/>
  <c r="C22" i="6"/>
  <c r="D22" i="6"/>
  <c r="E22" i="6"/>
  <c r="F22" i="6"/>
  <c r="G22" i="6"/>
  <c r="H22" i="6"/>
  <c r="I22" i="6"/>
  <c r="K22" i="6"/>
  <c r="L22" i="6"/>
  <c r="A24" i="6"/>
  <c r="B24" i="6"/>
  <c r="C24" i="6"/>
  <c r="D24" i="6"/>
  <c r="E24" i="6"/>
  <c r="F24" i="6"/>
  <c r="G24" i="6"/>
  <c r="H24" i="6"/>
  <c r="I24" i="6"/>
  <c r="K24" i="6"/>
  <c r="L24" i="6"/>
  <c r="A26" i="6"/>
  <c r="B26" i="6"/>
  <c r="C26" i="6"/>
  <c r="D26" i="6"/>
  <c r="E26" i="6"/>
  <c r="F26" i="6"/>
  <c r="G26" i="6"/>
  <c r="H26" i="6"/>
  <c r="I26" i="6"/>
  <c r="K26" i="6"/>
  <c r="L26" i="6"/>
  <c r="A28" i="6"/>
  <c r="B28" i="6"/>
  <c r="C28" i="6"/>
  <c r="D28" i="6"/>
  <c r="E28" i="6"/>
  <c r="F28" i="6"/>
  <c r="G28" i="6"/>
  <c r="H28" i="6"/>
  <c r="I28" i="6"/>
  <c r="K28" i="6"/>
  <c r="L28" i="6"/>
  <c r="K30" i="6"/>
  <c r="H32" i="6"/>
  <c r="K32" i="6"/>
  <c r="K34" i="6"/>
</calcChain>
</file>

<file path=xl/sharedStrings.xml><?xml version="1.0" encoding="utf-8"?>
<sst xmlns="http://schemas.openxmlformats.org/spreadsheetml/2006/main" count="62" uniqueCount="62">
  <si>
    <t>FR (mfr, #)</t>
  </si>
  <si>
    <t>Pre-flt PA</t>
  </si>
  <si>
    <t>End T/O Roll</t>
  </si>
  <si>
    <t>ABS HI</t>
  </si>
  <si>
    <t>FLARM</t>
  </si>
  <si>
    <t>Date; UTC</t>
  </si>
  <si>
    <t>TO elev(1)</t>
  </si>
  <si>
    <t>EndSL</t>
  </si>
  <si>
    <t>Calc RelAlt</t>
  </si>
  <si>
    <t>RelUTC Calc</t>
  </si>
  <si>
    <t>RelTime</t>
  </si>
  <si>
    <t>Rel Lat</t>
  </si>
  <si>
    <t>HI gain</t>
  </si>
  <si>
    <t>Sailplane</t>
  </si>
  <si>
    <t>Rel Alt PA</t>
  </si>
  <si>
    <t>Rel Long</t>
  </si>
  <si>
    <t>ENL Level</t>
  </si>
  <si>
    <t>MG Fini</t>
  </si>
  <si>
    <t>ENL/MOP</t>
  </si>
  <si>
    <t>LDG elev(1)</t>
  </si>
  <si>
    <t>MGFini Alt</t>
  </si>
  <si>
    <t>LO gain</t>
  </si>
  <si>
    <t>User Pilot(s)</t>
  </si>
  <si>
    <t>Post-flt PA</t>
  </si>
  <si>
    <t>MG Fini Lat</t>
  </si>
  <si>
    <t>User A/C</t>
  </si>
  <si>
    <t>End in Flight</t>
  </si>
  <si>
    <t>MG Fini Long</t>
  </si>
  <si>
    <t>UTC Landing</t>
  </si>
  <si>
    <t>Glider Type</t>
  </si>
  <si>
    <t>Landing Lat</t>
  </si>
  <si>
    <t>Landing Long</t>
  </si>
  <si>
    <t>User dec Typ</t>
  </si>
  <si>
    <t>Sunset UTC</t>
  </si>
  <si>
    <t># TP</t>
  </si>
  <si>
    <t>User rel TT</t>
  </si>
  <si>
    <t>(1) Units</t>
  </si>
  <si>
    <t>AS FLR</t>
  </si>
  <si>
    <t>Sunrise UTC</t>
  </si>
  <si>
    <t>LANDING</t>
  </si>
  <si>
    <t>http://www.ecy.wa.gov/programs/eap/models.html</t>
  </si>
  <si>
    <t>Calculation of local times of sunrise, solar noon, sunset, dawn, and dusk based on the calculation procedure by NOAA (http://www.srrb.noaa.gov/highlights/sunrise/sunrise.html)</t>
  </si>
  <si>
    <t>Input</t>
  </si>
  <si>
    <t>latitude in decimal degrees (positive in northern hemisphere)</t>
  </si>
  <si>
    <t>longitude in decimal degrees (negative for western hemisphere)</t>
  </si>
  <si>
    <t>year</t>
  </si>
  <si>
    <t>month</t>
  </si>
  <si>
    <t>day</t>
  </si>
  <si>
    <t>time zone in hours relative to GMT/UTC (PST= -8, MST= -7, CST= -6, EST= -5)</t>
  </si>
  <si>
    <r>
      <t xml:space="preserve">daylight savings time (no= 0, yes= 1) - </t>
    </r>
    <r>
      <rPr>
        <i/>
        <sz val="10"/>
        <rFont val="Arial"/>
        <family val="2"/>
      </rPr>
      <t>not needed; UTC offset in linked workbook</t>
    </r>
  </si>
  <si>
    <t>Output (local time in days)</t>
  </si>
  <si>
    <t>UTC</t>
  </si>
  <si>
    <t>sunrise (sun is 0.833 degrees below horizon to account for refraction)</t>
  </si>
  <si>
    <t>sunset (sun is 0.833 degrees below horizon to account for refraction)</t>
  </si>
  <si>
    <t>Cal due</t>
  </si>
  <si>
    <t>Pilot(s)</t>
  </si>
  <si>
    <t>STD REL</t>
  </si>
  <si>
    <t>STD ST PT</t>
  </si>
  <si>
    <t>LXN Red Box Flarm</t>
  </si>
  <si>
    <t>LXN Mini Box Flarm</t>
  </si>
  <si>
    <t>Rel Alt GPS</t>
  </si>
  <si>
    <t># Fixes/Interval</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</si>
</sst>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m/d/yy\ h:mm:ss"/>
    <numFmt numFmtId="165" formatCode="0.00000000"/>
    <numFmt numFmtId="166" formatCode="h:mm:ss;@"/>
    <numFmt numFmtId="167" formatCode="0.0000000000"/>
    <numFmt numFmtId="168" formatCode="0.0000"/>
    <numFmt numFmtId="169" formatCode="0.000"/>
    <numFmt numFmtId="170" formatCode="[$-F400]h:mm:ss\ AM/PM"/>
    <numFmt numFmtId="171" formatCode="[$-409]h:mm\ AM/PM;@"/>
    <numFmt numFmtId="172" formatCode="m/d/yyyy\ h:mm:ss"/>
    <numFmt numFmtId="173" formatCode="[$-409]d\-mmm\-yyyy;@"/>
  </numFmts>
  <fonts count="9" x14ac:knownFonts="1">
    <font>
      <sz val="11"/>
      <color theme="1"/>
      <name val="Calibri"/>
      <family val="2"/>
      <scheme val="minor"/>
    </font>
    <font>
      <sz val="10"/>
      <name val="Arial"/>
      <family val="2"/>
    </font>
    <font>
      <b/>
      <sz val="10"/>
      <name val="Arial"/>
      <family val="2"/>
    </font>
    <font>
      <sz val="10"/>
      <name val="Arial"/>
      <family val="2"/>
    </font>
    <font>
      <sz val="11"/>
      <name val="Calibri"/>
      <family val="2"/>
    </font>
    <font>
      <i/>
      <sz val="10"/>
      <name val="Arial"/>
      <family val="2"/>
    </font>
    <font>
      <u/>
      <sz val="10"/>
      <name val="Arial"/>
      <family val="2"/>
    </font>
    <font>
      <b/>
      <sz val="10"/>
      <color rgb="FFFF0000"/>
      <name val="Arial"/>
      <family val="2"/>
    </font>
    <font>
      <sz val="10"/>
      <color theme="0"/>
      <name val="Arial"/>
      <family val="2"/>
    </font>
  </fonts>
  <fills count="4">
    <fill>
      <patternFill patternType="none"/>
    </fill>
    <fill>
      <patternFill patternType="gray125"/>
    </fill>
    <fill>
      <patternFill patternType="solid">
        <fgColor indexed="22"/>
        <bgColor indexed="64"/>
      </patternFill>
    </fill>
    <fill>
      <patternFill patternType="solid">
        <fgColor rgb="FFFFFF00"/>
        <bgColor indexed="64"/>
      </patternFill>
    </fill>
  </fills>
  <borders count="9">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3" fillId="0" borderId="0"/>
  </cellStyleXfs>
  <cellXfs count="84">
    <xf numFmtId="0" fontId="0" fillId="0" borderId="0" xfId="0"/>
    <xf numFmtId="0" fontId="2" fillId="0" borderId="0" xfId="1" applyFont="1"/>
    <xf numFmtId="0" fontId="1" fillId="0" borderId="0" xfId="1" applyAlignment="1">
      <alignment horizontal="center"/>
    </xf>
    <xf numFmtId="0" fontId="1" fillId="0" borderId="0" xfId="1"/>
    <xf numFmtId="0" fontId="1" fillId="0" borderId="0" xfId="1" applyFill="1" applyAlignment="1">
      <alignment horizontal="center"/>
    </xf>
    <xf numFmtId="1" fontId="1" fillId="0" borderId="0" xfId="1" applyNumberFormat="1" applyAlignment="1">
      <alignment horizontal="left"/>
    </xf>
    <xf numFmtId="166" fontId="1" fillId="0" borderId="0" xfId="1" applyNumberFormat="1" applyFill="1" applyBorder="1" applyAlignment="1"/>
    <xf numFmtId="0" fontId="2" fillId="0" borderId="0" xfId="1" applyFont="1" applyFill="1" applyAlignment="1"/>
    <xf numFmtId="1" fontId="1" fillId="0" borderId="0" xfId="1" applyNumberFormat="1" applyFill="1" applyBorder="1" applyAlignment="1">
      <alignment horizontal="center"/>
    </xf>
    <xf numFmtId="1" fontId="3" fillId="0" borderId="0" xfId="1" applyNumberFormat="1" applyFont="1" applyFill="1" applyBorder="1" applyAlignment="1">
      <alignment horizontal="center"/>
    </xf>
    <xf numFmtId="1" fontId="7" fillId="0" borderId="0" xfId="1" applyNumberFormat="1" applyFont="1" applyFill="1" applyAlignment="1">
      <alignment horizontal="center"/>
    </xf>
    <xf numFmtId="0" fontId="2" fillId="0" borderId="0" xfId="1" applyFont="1" applyFill="1"/>
    <xf numFmtId="0" fontId="1" fillId="0" borderId="0" xfId="1" applyFill="1"/>
    <xf numFmtId="168" fontId="3" fillId="0" borderId="0" xfId="1" applyNumberFormat="1" applyFont="1" applyFill="1" applyBorder="1" applyAlignment="1">
      <alignment horizontal="center"/>
    </xf>
    <xf numFmtId="0" fontId="1" fillId="0" borderId="0" xfId="1" applyAlignment="1">
      <alignment horizontal="left"/>
    </xf>
    <xf numFmtId="1" fontId="1" fillId="0" borderId="1" xfId="1" applyNumberFormat="1" applyFill="1" applyBorder="1" applyAlignment="1">
      <alignment horizontal="center"/>
    </xf>
    <xf numFmtId="0" fontId="7" fillId="0" borderId="0" xfId="1" applyFont="1" applyFill="1"/>
    <xf numFmtId="0" fontId="1" fillId="0" borderId="0" xfId="1" applyFill="1" applyAlignment="1">
      <alignment horizontal="left"/>
    </xf>
    <xf numFmtId="169" fontId="1" fillId="0" borderId="0" xfId="1" applyNumberFormat="1" applyFill="1" applyAlignment="1">
      <alignment horizontal="left"/>
    </xf>
    <xf numFmtId="1" fontId="1" fillId="0" borderId="0" xfId="1" applyNumberFormat="1" applyFill="1" applyAlignment="1">
      <alignment horizontal="center"/>
    </xf>
    <xf numFmtId="0" fontId="2" fillId="0" borderId="0" xfId="1" applyFont="1" applyAlignment="1">
      <alignment horizontal="center"/>
    </xf>
    <xf numFmtId="0" fontId="2" fillId="0" borderId="0" xfId="2" applyFont="1" applyAlignment="1">
      <alignment horizontal="center"/>
    </xf>
    <xf numFmtId="0" fontId="3" fillId="0" borderId="0" xfId="2" applyAlignment="1">
      <alignment horizontal="left"/>
    </xf>
    <xf numFmtId="0" fontId="2" fillId="0" borderId="0" xfId="2" applyFont="1" applyAlignment="1">
      <alignment horizontal="center" wrapText="1"/>
    </xf>
    <xf numFmtId="0" fontId="2" fillId="2" borderId="0" xfId="2" applyFont="1" applyFill="1" applyAlignment="1">
      <alignment horizontal="left"/>
    </xf>
    <xf numFmtId="0" fontId="3" fillId="2" borderId="0" xfId="2" applyFill="1" applyAlignment="1">
      <alignment horizontal="left"/>
    </xf>
    <xf numFmtId="0" fontId="3" fillId="0" borderId="0" xfId="2" applyFill="1" applyAlignment="1">
      <alignment horizontal="left"/>
    </xf>
    <xf numFmtId="169" fontId="3" fillId="0" borderId="0" xfId="2" applyNumberFormat="1" applyFill="1" applyAlignment="1">
      <alignment horizontal="left"/>
    </xf>
    <xf numFmtId="1" fontId="3" fillId="0" borderId="0" xfId="2" applyNumberFormat="1" applyFill="1" applyAlignment="1">
      <alignment horizontal="left"/>
    </xf>
    <xf numFmtId="0" fontId="3" fillId="0" borderId="0" xfId="2" applyFont="1" applyFill="1" applyAlignment="1">
      <alignment horizontal="left"/>
    </xf>
    <xf numFmtId="14" fontId="8" fillId="0" borderId="0" xfId="2" applyNumberFormat="1" applyFont="1" applyAlignment="1">
      <alignment horizontal="center"/>
    </xf>
    <xf numFmtId="0" fontId="6" fillId="0" borderId="2" xfId="2" applyFont="1" applyBorder="1" applyAlignment="1">
      <alignment horizontal="center"/>
    </xf>
    <xf numFmtId="166" fontId="3" fillId="0" borderId="0" xfId="2" applyNumberFormat="1" applyFill="1" applyAlignment="1">
      <alignment horizontal="left"/>
    </xf>
    <xf numFmtId="164" fontId="3" fillId="0" borderId="3" xfId="2" applyNumberFormat="1" applyBorder="1" applyAlignment="1">
      <alignment horizontal="center"/>
    </xf>
    <xf numFmtId="170" fontId="3" fillId="0" borderId="0" xfId="2" applyNumberFormat="1" applyAlignment="1">
      <alignment horizontal="left"/>
    </xf>
    <xf numFmtId="171" fontId="3" fillId="0" borderId="0" xfId="2" applyNumberFormat="1" applyFill="1" applyAlignment="1">
      <alignment horizontal="left"/>
    </xf>
    <xf numFmtId="171" fontId="3" fillId="0" borderId="3" xfId="2" applyNumberFormat="1" applyBorder="1" applyAlignment="1">
      <alignment horizontal="left"/>
    </xf>
    <xf numFmtId="22" fontId="3" fillId="0" borderId="4" xfId="2" applyNumberFormat="1" applyBorder="1" applyAlignment="1">
      <alignment horizontal="center"/>
    </xf>
    <xf numFmtId="172" fontId="3" fillId="0" borderId="0" xfId="2" applyNumberFormat="1" applyAlignment="1">
      <alignment horizontal="center"/>
    </xf>
    <xf numFmtId="0" fontId="3" fillId="0" borderId="5" xfId="2" applyBorder="1" applyAlignment="1">
      <alignment horizontal="left"/>
    </xf>
    <xf numFmtId="171" fontId="3" fillId="0" borderId="5" xfId="2" applyNumberFormat="1" applyBorder="1" applyAlignment="1">
      <alignment horizontal="left"/>
    </xf>
    <xf numFmtId="171" fontId="3" fillId="0" borderId="0" xfId="2" applyNumberFormat="1" applyBorder="1" applyAlignment="1">
      <alignment horizontal="left"/>
    </xf>
    <xf numFmtId="169" fontId="1" fillId="0" borderId="0" xfId="1" applyNumberFormat="1" applyFill="1" applyAlignment="1">
      <alignment horizontal="center"/>
    </xf>
    <xf numFmtId="0" fontId="2" fillId="0" borderId="0" xfId="1" applyFont="1" applyFill="1" applyAlignment="1">
      <alignment horizontal="left"/>
    </xf>
    <xf numFmtId="0" fontId="3" fillId="0" borderId="0" xfId="1" applyFont="1" applyFill="1" applyAlignment="1">
      <alignment horizontal="center"/>
    </xf>
    <xf numFmtId="169" fontId="3" fillId="0" borderId="0" xfId="1" applyNumberFormat="1" applyFont="1" applyFill="1" applyAlignment="1">
      <alignment horizontal="center"/>
    </xf>
    <xf numFmtId="165" fontId="1" fillId="0" borderId="1" xfId="1" applyNumberFormat="1" applyFill="1" applyBorder="1" applyAlignment="1">
      <alignment horizontal="center"/>
    </xf>
    <xf numFmtId="164" fontId="1" fillId="0" borderId="0" xfId="1" applyNumberFormat="1" applyFill="1" applyAlignment="1">
      <alignment horizontal="center"/>
    </xf>
    <xf numFmtId="14" fontId="1" fillId="0" borderId="0" xfId="1" applyNumberFormat="1" applyFill="1" applyAlignment="1">
      <alignment horizontal="center"/>
    </xf>
    <xf numFmtId="1" fontId="1" fillId="0" borderId="0" xfId="1" applyNumberFormat="1" applyFill="1" applyAlignment="1">
      <alignment horizontal="left"/>
    </xf>
    <xf numFmtId="0" fontId="3" fillId="0" borderId="0" xfId="1" applyNumberFormat="1" applyFont="1" applyFill="1" applyAlignment="1">
      <alignment horizontal="center"/>
    </xf>
    <xf numFmtId="1" fontId="7" fillId="0" borderId="0" xfId="1" applyNumberFormat="1" applyFont="1" applyFill="1" applyAlignment="1">
      <alignment horizontal="left"/>
    </xf>
    <xf numFmtId="0" fontId="1" fillId="0" borderId="6" xfId="1" applyFill="1" applyBorder="1" applyAlignment="1">
      <alignment horizontal="center"/>
    </xf>
    <xf numFmtId="0" fontId="7" fillId="0" borderId="0" xfId="1" applyFont="1" applyFill="1" applyAlignment="1">
      <alignment horizontal="right"/>
    </xf>
    <xf numFmtId="0" fontId="1" fillId="0" borderId="7" xfId="1" applyNumberFormat="1" applyFill="1" applyBorder="1" applyAlignment="1">
      <alignment horizontal="center"/>
    </xf>
    <xf numFmtId="173" fontId="1" fillId="0" borderId="0" xfId="1" applyNumberFormat="1" applyFont="1" applyFill="1" applyAlignment="1">
      <alignment horizontal="center"/>
    </xf>
    <xf numFmtId="0" fontId="1" fillId="0" borderId="0" xfId="1" applyNumberFormat="1" applyFill="1" applyBorder="1" applyAlignment="1">
      <alignment horizontal="center"/>
    </xf>
    <xf numFmtId="167" fontId="1" fillId="0" borderId="0" xfId="1" applyNumberFormat="1" applyFill="1" applyAlignment="1">
      <alignment horizontal="center"/>
    </xf>
    <xf numFmtId="164" fontId="1" fillId="0" borderId="8" xfId="1" applyNumberFormat="1" applyFill="1" applyBorder="1" applyAlignment="1">
      <alignment horizontal="center"/>
    </xf>
    <xf numFmtId="0" fontId="1" fillId="0" borderId="6" xfId="1" applyNumberFormat="1" applyFill="1" applyBorder="1" applyAlignment="1">
      <alignment horizontal="center"/>
    </xf>
    <xf numFmtId="164" fontId="1" fillId="0" borderId="6" xfId="1" applyNumberFormat="1" applyFill="1" applyBorder="1" applyAlignment="1">
      <alignment horizontal="center"/>
    </xf>
    <xf numFmtId="0" fontId="1" fillId="0" borderId="0" xfId="1" applyFill="1" applyAlignment="1"/>
    <xf numFmtId="1" fontId="3" fillId="0" borderId="0" xfId="1" applyNumberFormat="1" applyFont="1" applyFill="1" applyAlignment="1">
      <alignment horizontal="center"/>
    </xf>
    <xf numFmtId="164" fontId="3" fillId="0" borderId="0" xfId="1" applyNumberFormat="1" applyFont="1" applyFill="1" applyAlignment="1">
      <alignment horizontal="center"/>
    </xf>
    <xf numFmtId="0" fontId="2" fillId="0" borderId="0" xfId="1" applyFont="1" applyFill="1" applyAlignment="1">
      <alignment horizontal="center"/>
    </xf>
    <xf numFmtId="0" fontId="1" fillId="0" borderId="0" xfId="1" applyNumberFormat="1" applyFill="1"/>
    <xf numFmtId="0" fontId="1" fillId="0" borderId="0" xfId="1" applyNumberFormat="1" applyFill="1" applyAlignment="1">
      <alignment horizontal="left"/>
    </xf>
    <xf numFmtId="14" fontId="1" fillId="0" borderId="0" xfId="1" applyNumberFormat="1"/>
    <xf numFmtId="0" fontId="4" fillId="3" borderId="0" xfId="1" applyFont="1" applyFill="1" applyAlignment="1">
      <alignment horizontal="center"/>
    </xf>
    <xf numFmtId="1" fontId="2" fillId="0" borderId="0" xfId="1" applyNumberFormat="1" applyFont="1" applyFill="1" applyBorder="1" applyAlignment="1">
      <alignment horizontal="left"/>
    </xf>
    <xf numFmtId="166" fontId="1" fillId="0" borderId="0" xfId="1" applyNumberFormat="1" applyFill="1"/>
    <xf numFmtId="2" fontId="1" fillId="0" borderId="0" xfId="1" applyNumberFormat="1" applyFill="1"/>
    <xf numFmtId="0" fontId="1" fillId="0" borderId="6" xfId="1" applyFont="1" applyFill="1" applyBorder="1"/>
    <xf numFmtId="1" fontId="1" fillId="0" borderId="6" xfId="1" applyNumberFormat="1" applyFont="1" applyFill="1" applyBorder="1" applyAlignment="1"/>
    <xf numFmtId="1" fontId="1" fillId="0" borderId="8" xfId="1" applyNumberFormat="1" applyFont="1" applyFill="1" applyBorder="1" applyAlignment="1"/>
    <xf numFmtId="164" fontId="1" fillId="0" borderId="0" xfId="1" applyNumberFormat="1" applyFill="1" applyAlignment="1"/>
    <xf numFmtId="167" fontId="1" fillId="0" borderId="0" xfId="1" applyNumberFormat="1" applyFill="1" applyAlignment="1"/>
    <xf numFmtId="0" fontId="1" fillId="0" borderId="0" xfId="1" applyFont="1" applyFill="1" applyAlignment="1">
      <alignment horizontal="center"/>
    </xf>
    <xf numFmtId="11" fontId="0" fillId="0" borderId="0" xfId="0" applyNumberFormat="1"/>
    <xf numFmtId="14" fontId="0" fillId="0" borderId="0" xfId="0" applyNumberFormat="1"/>
    <xf numFmtId="49" fontId="0" fillId="0" borderId="0" xfId="0" applyNumberFormat="1"/>
    <xf numFmtId="166" fontId="0" fillId="0" borderId="0" xfId="0" applyNumberFormat="1"/>
    <xf numFmtId="0" fontId="0" fillId="0" borderId="0" xfId="0" applyFill="1"/>
    <xf numFmtId="1" fontId="2" fillId="0" borderId="0" xfId="1" applyNumberFormat="1" applyFont="1" applyFill="1" applyAlignment="1">
      <alignment horizontal="center" vertical="center"/>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19</xdr:row>
      <xdr:rowOff>95250</xdr:rowOff>
    </xdr:from>
    <xdr:to>
      <xdr:col>1</xdr:col>
      <xdr:colOff>657225</xdr:colOff>
      <xdr:row>75</xdr:row>
      <xdr:rowOff>123825</xdr:rowOff>
    </xdr:to>
    <xdr:sp macro="" textlink="">
      <xdr:nvSpPr>
        <xdr:cNvPr id="2" name="Text Box 1"/>
        <xdr:cNvSpPr txBox="1">
          <a:spLocks noChangeArrowheads="1"/>
        </xdr:cNvSpPr>
      </xdr:nvSpPr>
      <xdr:spPr bwMode="auto">
        <a:xfrm>
          <a:off x="200025" y="3581400"/>
          <a:ext cx="5172075" cy="9096375"/>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NOTE: Seven functions are available for use from Excel worksheets:</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   - dawn(lat, lon, year, month, day, timezone, dlstime, solardepression)</a:t>
          </a:r>
        </a:p>
        <a:p>
          <a:pPr algn="l" rtl="0">
            <a:defRPr sz="1000"/>
          </a:pPr>
          <a:r>
            <a:rPr lang="en-US" sz="1000" b="0" i="1" strike="noStrike">
              <a:solidFill>
                <a:srgbClr val="000000"/>
              </a:solidFill>
              <a:latin typeface="Arial"/>
              <a:cs typeface="Arial"/>
            </a:rPr>
            <a:t>   - sunrise(lat, lon, year, month, day, timezone, dlstime)</a:t>
          </a:r>
        </a:p>
        <a:p>
          <a:pPr algn="l" rtl="0">
            <a:defRPr sz="1000"/>
          </a:pPr>
          <a:r>
            <a:rPr lang="en-US" sz="1000" b="0" i="1" strike="noStrike">
              <a:solidFill>
                <a:srgbClr val="000000"/>
              </a:solidFill>
              <a:latin typeface="Arial"/>
              <a:cs typeface="Arial"/>
            </a:rPr>
            <a:t>   - solarnoon(lat, lon, year, month, day, timezone, dlstime)</a:t>
          </a:r>
        </a:p>
        <a:p>
          <a:pPr algn="l" rtl="0">
            <a:defRPr sz="1000"/>
          </a:pPr>
          <a:r>
            <a:rPr lang="en-US" sz="1000" b="0" i="1" strike="noStrike">
              <a:solidFill>
                <a:srgbClr val="000000"/>
              </a:solidFill>
              <a:latin typeface="Arial"/>
              <a:cs typeface="Arial"/>
            </a:rPr>
            <a:t>   - sunset(lat, lon, year, month, day, timezone, dlstime)</a:t>
          </a:r>
        </a:p>
        <a:p>
          <a:pPr algn="l" rtl="0">
            <a:defRPr sz="1000"/>
          </a:pPr>
          <a:r>
            <a:rPr lang="en-US" sz="1000" b="0" i="1" strike="noStrike">
              <a:solidFill>
                <a:srgbClr val="000000"/>
              </a:solidFill>
              <a:latin typeface="Arial"/>
              <a:cs typeface="Arial"/>
            </a:rPr>
            <a:t>   - dusk(lat, lon, year, month, day, timezone, dlstime, solardepression)</a:t>
          </a:r>
        </a:p>
        <a:p>
          <a:pPr algn="l" rtl="0">
            <a:defRPr sz="1000"/>
          </a:pPr>
          <a:r>
            <a:rPr lang="en-US" sz="1000" b="0" i="1" strike="noStrike">
              <a:solidFill>
                <a:srgbClr val="000000"/>
              </a:solidFill>
              <a:latin typeface="Arial"/>
              <a:cs typeface="Arial"/>
            </a:rPr>
            <a:t>   - solarazimuth(lat, lon, year, month, day, hour, minute, second, timezone, dlstime)</a:t>
          </a:r>
        </a:p>
        <a:p>
          <a:pPr algn="l" rtl="0">
            <a:defRPr sz="1000"/>
          </a:pPr>
          <a:r>
            <a:rPr lang="en-US" sz="1000" b="0" i="1" strike="noStrike">
              <a:solidFill>
                <a:srgbClr val="000000"/>
              </a:solidFill>
              <a:latin typeface="Arial"/>
              <a:cs typeface="Arial"/>
            </a:rPr>
            <a:t>   - solarelevation(lat, lon, year, month, day, hour, minute, second, timezone, dlstime)</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where</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   lat = latidude in degrees</a:t>
          </a:r>
        </a:p>
        <a:p>
          <a:pPr algn="l" rtl="0">
            <a:defRPr sz="1000"/>
          </a:pPr>
          <a:r>
            <a:rPr lang="en-US" sz="1000" b="0" i="1" strike="noStrike">
              <a:solidFill>
                <a:srgbClr val="000000"/>
              </a:solidFill>
              <a:latin typeface="Arial"/>
              <a:cs typeface="Arial"/>
            </a:rPr>
            <a:t>   lon = longitude in degrees</a:t>
          </a:r>
        </a:p>
        <a:p>
          <a:pPr algn="l" rtl="0">
            <a:defRPr sz="1000"/>
          </a:pPr>
          <a:r>
            <a:rPr lang="en-US" sz="1000" b="0" i="1" strike="noStrike">
              <a:solidFill>
                <a:srgbClr val="000000"/>
              </a:solidFill>
              <a:latin typeface="Arial"/>
              <a:cs typeface="Arial"/>
            </a:rPr>
            <a:t>   timezone = time zone in hours relative to GMT/UTC</a:t>
          </a:r>
        </a:p>
        <a:p>
          <a:pPr algn="l" rtl="0">
            <a:defRPr sz="1000"/>
          </a:pPr>
          <a:r>
            <a:rPr lang="en-US" sz="1000" b="0" i="1" strike="noStrike">
              <a:solidFill>
                <a:srgbClr val="000000"/>
              </a:solidFill>
              <a:latin typeface="Arial"/>
              <a:cs typeface="Arial"/>
            </a:rPr>
            <a:t>   dlstime = daylight savings time hours </a:t>
          </a:r>
        </a:p>
        <a:p>
          <a:pPr algn="l" rtl="0">
            <a:defRPr sz="1000"/>
          </a:pPr>
          <a:r>
            <a:rPr lang="en-US" sz="1000" b="0" i="1" strike="noStrike">
              <a:solidFill>
                <a:srgbClr val="000000"/>
              </a:solidFill>
              <a:latin typeface="Arial"/>
              <a:cs typeface="Arial"/>
            </a:rPr>
            <a:t>                 (0 for no daylight savings, or 1 for yes daylight savings)</a:t>
          </a:r>
        </a:p>
        <a:p>
          <a:pPr algn="l" rtl="0">
            <a:defRPr sz="1000"/>
          </a:pPr>
          <a:r>
            <a:rPr lang="en-US" sz="1000" b="0" i="1" strike="noStrike">
              <a:solidFill>
                <a:srgbClr val="000000"/>
              </a:solidFill>
              <a:latin typeface="Arial"/>
              <a:cs typeface="Arial"/>
            </a:rPr>
            <a:t>   solardepression = angle of the sun below the horizon in degrees </a:t>
          </a:r>
        </a:p>
        <a:p>
          <a:pPr algn="l" rtl="0">
            <a:defRPr sz="1000"/>
          </a:pPr>
          <a:r>
            <a:rPr lang="en-US" sz="1000" b="0" i="1" strike="noStrike">
              <a:solidFill>
                <a:srgbClr val="000000"/>
              </a:solidFill>
              <a:latin typeface="Arial"/>
              <a:cs typeface="Arial"/>
            </a:rPr>
            <a:t>                 for calculation of time of dawn and dusk</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The sign convention for inputs to the functions named sunrise, solarnoon, sunset, dawn, dusk, solarazimuth, and solarelevation is:</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   - positive latitude decimal degrees for northern hemisphere</a:t>
          </a:r>
        </a:p>
        <a:p>
          <a:pPr algn="l" rtl="0">
            <a:defRPr sz="1000"/>
          </a:pPr>
          <a:r>
            <a:rPr lang="en-US" sz="1000" b="0" i="1" strike="noStrike">
              <a:solidFill>
                <a:srgbClr val="000000"/>
              </a:solidFill>
              <a:latin typeface="Arial"/>
              <a:cs typeface="Arial"/>
            </a:rPr>
            <a:t>   - negative longitude degrees for western hemisphere</a:t>
          </a:r>
        </a:p>
        <a:p>
          <a:pPr algn="l" rtl="0">
            <a:defRPr sz="1000"/>
          </a:pPr>
          <a:r>
            <a:rPr lang="en-US" sz="1000" b="0" i="1" strike="noStrike">
              <a:solidFill>
                <a:srgbClr val="000000"/>
              </a:solidFill>
              <a:latin typeface="Arial"/>
              <a:cs typeface="Arial"/>
            </a:rPr>
            <a:t>   - negative time zone hours for western hemisphere</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The other functions in the VBA module use the original NOAA sign convention of positive longitude in the western hemisphere.</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The calculations in the NOAA Sunrise/Sunset and Solar Position Calculators are based on equations from Astronomical Algorithms, by Jean Meeus. NOAA also included atmospheric refraction effects. The sunrise and sunset results were reported by NOAA to be accurate to within +/- 1 minute for locations between +/- 72° latitude, and within ten minutes outside of those latitudes.</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This Excel VBA translation was tested for selected locations and found to provide results within +/- 1 minute of the original NOAA Javascript code.</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For sunrise and sunset calculations, we assume 0.833° of atmospheric refraction. In the solar position functions, atmospheric refraction is modeled using equations documented at http://www.srrb.noaa.gov/highlights/sunrise/calcdetails.html</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This VBA translation does not include calculation of prior or next susets for locations above the Arctic Circle and below the Antarctic Circle, when a sunrise or sunset does not occur.</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Translated from NOAA's Javascript to Excel VBA by:</a:t>
          </a:r>
        </a:p>
        <a:p>
          <a:pPr algn="l" rtl="0">
            <a:defRPr sz="1000"/>
          </a:pP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Greg Pelletier</a:t>
          </a:r>
        </a:p>
        <a:p>
          <a:pPr algn="l" rtl="0">
            <a:defRPr sz="1000"/>
          </a:pPr>
          <a:r>
            <a:rPr lang="en-US" sz="1000" b="0" i="1" strike="noStrike">
              <a:solidFill>
                <a:srgbClr val="000000"/>
              </a:solidFill>
              <a:latin typeface="Arial"/>
              <a:cs typeface="Arial"/>
            </a:rPr>
            <a:t>Department of Ecology</a:t>
          </a:r>
        </a:p>
        <a:p>
          <a:pPr algn="l" rtl="0">
            <a:defRPr sz="1000"/>
          </a:pPr>
          <a:r>
            <a:rPr lang="en-US" sz="1000" b="0" i="1" strike="noStrike">
              <a:solidFill>
                <a:srgbClr val="000000"/>
              </a:solidFill>
              <a:latin typeface="Arial"/>
              <a:cs typeface="Arial"/>
            </a:rPr>
            <a:t>P.O. Box 47710</a:t>
          </a:r>
        </a:p>
        <a:p>
          <a:pPr algn="l" rtl="0">
            <a:defRPr sz="1000"/>
          </a:pPr>
          <a:r>
            <a:rPr lang="en-US" sz="1000" b="0" i="1" strike="noStrike">
              <a:solidFill>
                <a:srgbClr val="000000"/>
              </a:solidFill>
              <a:latin typeface="Arial"/>
              <a:cs typeface="Arial"/>
            </a:rPr>
            <a:t>Olympia, WA 98504-7710</a:t>
          </a:r>
        </a:p>
        <a:p>
          <a:pPr algn="l" rtl="0">
            <a:defRPr sz="1000"/>
          </a:pPr>
          <a:r>
            <a:rPr lang="en-US" sz="1000" b="0" i="1" strike="noStrike">
              <a:solidFill>
                <a:srgbClr val="000000"/>
              </a:solidFill>
              <a:latin typeface="Arial"/>
              <a:cs typeface="Arial"/>
            </a:rPr>
            <a:t>phone: 360-407-6485</a:t>
          </a:r>
        </a:p>
        <a:p>
          <a:pPr algn="l" rtl="0">
            <a:defRPr sz="1000"/>
          </a:pPr>
          <a:r>
            <a:rPr lang="en-US" sz="1000" b="0" i="1" strike="noStrike">
              <a:solidFill>
                <a:srgbClr val="000000"/>
              </a:solidFill>
              <a:latin typeface="Arial"/>
              <a:cs typeface="Arial"/>
            </a:rPr>
            <a:t>fax: 360-407-6884</a:t>
          </a:r>
        </a:p>
        <a:p>
          <a:pPr algn="l" rtl="0">
            <a:defRPr sz="1000"/>
          </a:pPr>
          <a:r>
            <a:rPr lang="en-US" sz="1000" b="0" i="1" strike="noStrike">
              <a:solidFill>
                <a:srgbClr val="000000"/>
              </a:solidFill>
              <a:latin typeface="Arial"/>
              <a:cs typeface="Arial"/>
            </a:rPr>
            <a:t>e-mail: gpel461@ecy.wa.gov</a:t>
          </a:r>
        </a:p>
        <a:p>
          <a:pPr algn="l" rtl="0">
            <a:defRPr sz="1000"/>
          </a:pPr>
          <a:endParaRPr lang="en-US" sz="1000" b="0" i="1" strike="noStrike">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L CLAIMS"/>
      <sheetName val="Parsed"/>
      <sheetName val="E-DEC"/>
      <sheetName val="OTHER"/>
      <sheetName val="DATA ENTRY CHECK"/>
      <sheetName val="Logo"/>
    </sheetNames>
    <sheetDataSet>
      <sheetData sheetId="0">
        <row r="1">
          <cell r="M1"/>
        </row>
        <row r="6">
          <cell r="F6">
            <v>1</v>
          </cell>
        </row>
        <row r="8">
          <cell r="F8">
            <v>1</v>
          </cell>
        </row>
        <row r="14">
          <cell r="F14"/>
        </row>
        <row r="16">
          <cell r="F16"/>
        </row>
        <row r="18">
          <cell r="F18">
            <v>1</v>
          </cell>
        </row>
        <row r="61">
          <cell r="P61">
            <v>0</v>
          </cell>
        </row>
      </sheetData>
      <sheetData sheetId="1"/>
      <sheetData sheetId="2">
        <row r="15">
          <cell r="D15"/>
        </row>
        <row r="17">
          <cell r="D17"/>
        </row>
        <row r="19">
          <cell r="D19"/>
        </row>
      </sheetData>
      <sheetData sheetId="3">
        <row r="4">
          <cell r="D4">
            <v>1</v>
          </cell>
        </row>
        <row r="6">
          <cell r="D6"/>
          <cell r="J6"/>
          <cell r="M6" t="str">
            <v/>
          </cell>
        </row>
        <row r="8">
          <cell r="D8"/>
          <cell r="J8"/>
        </row>
        <row r="10">
          <cell r="D10"/>
          <cell r="K10"/>
        </row>
        <row r="18">
          <cell r="L18" t="str">
            <v>None</v>
          </cell>
        </row>
        <row r="20">
          <cell r="C20"/>
        </row>
        <row r="22">
          <cell r="C22"/>
          <cell r="D22"/>
        </row>
        <row r="24">
          <cell r="C24"/>
          <cell r="D24"/>
        </row>
        <row r="26">
          <cell r="C26"/>
          <cell r="D26"/>
        </row>
        <row r="28">
          <cell r="C28"/>
        </row>
        <row r="31">
          <cell r="B31" t="str">
            <v>Data Entry Required Above</v>
          </cell>
        </row>
        <row r="60">
          <cell r="E60">
            <v>0</v>
          </cell>
          <cell r="F60">
            <v>0</v>
          </cell>
          <cell r="I60">
            <v>0</v>
          </cell>
          <cell r="J60">
            <v>0</v>
          </cell>
        </row>
        <row r="62">
          <cell r="E62">
            <v>0</v>
          </cell>
          <cell r="F62">
            <v>0</v>
          </cell>
          <cell r="I62">
            <v>0</v>
          </cell>
          <cell r="J62">
            <v>0</v>
          </cell>
        </row>
        <row r="64">
          <cell r="E64">
            <v>0</v>
          </cell>
          <cell r="F64">
            <v>0</v>
          </cell>
          <cell r="I64">
            <v>0</v>
          </cell>
          <cell r="J64">
            <v>0</v>
          </cell>
        </row>
        <row r="66">
          <cell r="E66">
            <v>0</v>
          </cell>
          <cell r="F66">
            <v>0</v>
          </cell>
          <cell r="I66">
            <v>0</v>
          </cell>
          <cell r="J66">
            <v>0</v>
          </cell>
        </row>
        <row r="68">
          <cell r="E68">
            <v>0</v>
          </cell>
          <cell r="F68">
            <v>0</v>
          </cell>
          <cell r="I68">
            <v>0</v>
          </cell>
          <cell r="J68">
            <v>0</v>
          </cell>
        </row>
      </sheetData>
      <sheetData sheetId="4">
        <row r="12">
          <cell r="G12"/>
        </row>
        <row r="51">
          <cell r="I51">
            <v>693232</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E22460"/>
  <sheetViews>
    <sheetView workbookViewId="0"/>
  </sheetViews>
  <sheetFormatPr defaultRowHeight="14.4" x14ac:dyDescent="0.55000000000000004"/>
  <cols>
    <col min="1" max="1" width="81.15625" bestFit="1" customWidth="1"/>
    <col min="2" max="2" width="3.26171875" customWidth="1"/>
    <col min="10" max="10" width="16.41796875" bestFit="1" customWidth="1"/>
  </cols>
  <sheetData>
    <row r="2" spans="5:5" x14ac:dyDescent="0.55000000000000004">
      <c r="E2" s="79"/>
    </row>
    <row r="8358" spans="3:3" x14ac:dyDescent="0.55000000000000004">
      <c r="C8358" s="78"/>
    </row>
    <row r="22460" spans="3:3" x14ac:dyDescent="0.55000000000000004">
      <c r="C22460" s="78"/>
    </row>
  </sheetData>
  <sortState ref="AK1:AL10000">
    <sortCondition ref="AK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D1:T38"/>
  <sheetViews>
    <sheetView showZeros="0" zoomScale="85" zoomScaleNormal="85" workbookViewId="0"/>
  </sheetViews>
  <sheetFormatPr defaultRowHeight="14.4" x14ac:dyDescent="0.55000000000000004"/>
  <sheetData>
    <row r="1" spans="4:19" x14ac:dyDescent="0.55000000000000004">
      <c r="S1">
        <f>SUM(S2:S1021)</f>
        <v>0</v>
      </c>
    </row>
    <row r="2" spans="4:19" x14ac:dyDescent="0.55000000000000004">
      <c r="E2" s="79"/>
    </row>
    <row r="4" spans="4:19" x14ac:dyDescent="0.55000000000000004">
      <c r="D4" s="80"/>
      <c r="E4" s="80"/>
    </row>
    <row r="5" spans="4:19" x14ac:dyDescent="0.55000000000000004">
      <c r="D5" s="80"/>
      <c r="E5" s="80"/>
    </row>
    <row r="6" spans="4:19" x14ac:dyDescent="0.55000000000000004">
      <c r="D6" s="80"/>
      <c r="E6" s="80"/>
    </row>
    <row r="7" spans="4:19" x14ac:dyDescent="0.55000000000000004">
      <c r="D7" s="80"/>
      <c r="E7" s="80"/>
    </row>
    <row r="8" spans="4:19" x14ac:dyDescent="0.55000000000000004">
      <c r="D8" s="80"/>
      <c r="E8" s="80"/>
    </row>
    <row r="9" spans="4:19" x14ac:dyDescent="0.55000000000000004">
      <c r="D9" s="80"/>
      <c r="E9" s="80"/>
    </row>
    <row r="10" spans="4:19" x14ac:dyDescent="0.55000000000000004">
      <c r="D10" s="80"/>
      <c r="E10" s="80"/>
    </row>
    <row r="11" spans="4:19" x14ac:dyDescent="0.55000000000000004">
      <c r="D11" s="80"/>
      <c r="E11" s="80"/>
    </row>
    <row r="12" spans="4:19" x14ac:dyDescent="0.55000000000000004">
      <c r="D12" s="80"/>
      <c r="E12" s="80"/>
    </row>
    <row r="13" spans="4:19" x14ac:dyDescent="0.55000000000000004">
      <c r="D13" s="80"/>
      <c r="E13" s="80"/>
    </row>
    <row r="14" spans="4:19" x14ac:dyDescent="0.55000000000000004">
      <c r="D14" s="80"/>
      <c r="E14" s="80"/>
    </row>
    <row r="15" spans="4:19" x14ac:dyDescent="0.55000000000000004">
      <c r="D15" s="80"/>
      <c r="E15" s="80"/>
    </row>
    <row r="16" spans="4:19" x14ac:dyDescent="0.55000000000000004">
      <c r="D16" s="80"/>
    </row>
    <row r="17" spans="4:20" x14ac:dyDescent="0.55000000000000004">
      <c r="D17" s="80"/>
    </row>
    <row r="18" spans="4:20" x14ac:dyDescent="0.55000000000000004">
      <c r="D18" s="80"/>
      <c r="T18" s="79"/>
    </row>
    <row r="19" spans="4:20" x14ac:dyDescent="0.55000000000000004">
      <c r="D19" s="80"/>
    </row>
    <row r="20" spans="4:20" x14ac:dyDescent="0.55000000000000004">
      <c r="D20" s="80"/>
    </row>
    <row r="21" spans="4:20" x14ac:dyDescent="0.55000000000000004">
      <c r="D21" s="80"/>
    </row>
    <row r="22" spans="4:20" x14ac:dyDescent="0.55000000000000004">
      <c r="D22" s="80"/>
    </row>
    <row r="23" spans="4:20" x14ac:dyDescent="0.55000000000000004">
      <c r="D23" s="80"/>
    </row>
    <row r="24" spans="4:20" x14ac:dyDescent="0.55000000000000004">
      <c r="D24" s="80"/>
    </row>
    <row r="25" spans="4:20" x14ac:dyDescent="0.55000000000000004">
      <c r="D25" s="80"/>
    </row>
    <row r="26" spans="4:20" x14ac:dyDescent="0.55000000000000004">
      <c r="D26" s="80"/>
    </row>
    <row r="27" spans="4:20" x14ac:dyDescent="0.55000000000000004">
      <c r="D27" s="80"/>
    </row>
    <row r="28" spans="4:20" x14ac:dyDescent="0.55000000000000004">
      <c r="D28" s="80"/>
    </row>
    <row r="29" spans="4:20" x14ac:dyDescent="0.55000000000000004">
      <c r="D29" s="80"/>
    </row>
    <row r="30" spans="4:20" x14ac:dyDescent="0.55000000000000004">
      <c r="D30" s="80"/>
      <c r="E30" s="80"/>
    </row>
    <row r="31" spans="4:20" x14ac:dyDescent="0.55000000000000004">
      <c r="D31" s="80"/>
      <c r="E31" s="80"/>
    </row>
    <row r="32" spans="4:20" x14ac:dyDescent="0.55000000000000004">
      <c r="D32" s="80"/>
    </row>
    <row r="33" spans="4:5" x14ac:dyDescent="0.55000000000000004">
      <c r="D33" s="80"/>
      <c r="E33" s="80"/>
    </row>
    <row r="34" spans="4:5" x14ac:dyDescent="0.55000000000000004">
      <c r="D34" s="80"/>
      <c r="E34" s="80"/>
    </row>
    <row r="35" spans="4:5" x14ac:dyDescent="0.55000000000000004">
      <c r="D35" s="80"/>
      <c r="E35" s="80"/>
    </row>
    <row r="36" spans="4:5" x14ac:dyDescent="0.55000000000000004">
      <c r="D36" s="80"/>
      <c r="E36" s="80"/>
    </row>
    <row r="37" spans="4:5" x14ac:dyDescent="0.55000000000000004">
      <c r="D37" s="80"/>
    </row>
    <row r="38" spans="4:5" x14ac:dyDescent="0.55000000000000004">
      <c r="D38" s="80"/>
    </row>
  </sheetData>
  <sortState ref="BJ1:BJ1000">
    <sortCondition ref="BJ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N2:AB1362"/>
  <sheetViews>
    <sheetView topLeftCell="M1" workbookViewId="0">
      <selection activeCell="M1" sqref="M1"/>
    </sheetView>
  </sheetViews>
  <sheetFormatPr defaultRowHeight="14.4" x14ac:dyDescent="0.55000000000000004"/>
  <sheetData>
    <row r="2" spans="14:28" x14ac:dyDescent="0.55000000000000004">
      <c r="Z2" s="81"/>
      <c r="AB2" s="81"/>
    </row>
    <row r="3" spans="14:28" x14ac:dyDescent="0.55000000000000004">
      <c r="N3" s="79"/>
      <c r="P3" s="79"/>
      <c r="Z3" s="81"/>
      <c r="AA3" s="81"/>
      <c r="AB3" s="81"/>
    </row>
    <row r="4" spans="14:28" x14ac:dyDescent="0.55000000000000004">
      <c r="AB4" s="81"/>
    </row>
    <row r="5" spans="14:28" x14ac:dyDescent="0.55000000000000004">
      <c r="AB5" s="81"/>
    </row>
    <row r="1362" s="82" customFormat="1" x14ac:dyDescent="0.55000000000000004"/>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4" x14ac:dyDescent="0.55000000000000004"/>
  <cols>
    <col min="8" max="8" width="9.15625"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4"/>
  <sheetViews>
    <sheetView tabSelected="1" zoomScaleNormal="100" workbookViewId="0"/>
  </sheetViews>
  <sheetFormatPr defaultColWidth="18.68359375" defaultRowHeight="12.75" customHeight="1" x14ac:dyDescent="0.55000000000000004"/>
  <cols>
    <col min="1" max="1" width="18.26171875" customWidth="1"/>
    <col min="2" max="2" width="16.68359375" customWidth="1"/>
    <col min="3" max="3" width="13.47265625" customWidth="1"/>
    <col min="4" max="4" width="16.68359375" customWidth="1"/>
    <col min="5" max="5" width="12.68359375" customWidth="1"/>
    <col min="6" max="6" width="12.3125" customWidth="1"/>
    <col min="7" max="7" width="16.68359375" customWidth="1"/>
    <col min="8" max="8" width="12.68359375" customWidth="1"/>
    <col min="9" max="9" width="15.68359375" customWidth="1"/>
    <col min="10" max="10" width="11.68359375" customWidth="1"/>
    <col min="11" max="12" width="12.68359375" customWidth="1"/>
    <col min="13" max="13" width="9.15625" customWidth="1"/>
  </cols>
  <sheetData>
    <row r="1" spans="1:13" s="3" customFormat="1" x14ac:dyDescent="0.2">
      <c r="A1" s="19">
        <f>IMP!D1</f>
        <v>0</v>
      </c>
      <c r="B1" s="19">
        <f>IMP!E1</f>
        <v>0</v>
      </c>
      <c r="C1" s="11" t="s">
        <v>0</v>
      </c>
      <c r="D1" s="4">
        <f>ROUND(Sheet1!T2,0)</f>
        <v>0</v>
      </c>
      <c r="E1" s="11" t="s">
        <v>1</v>
      </c>
      <c r="F1" s="4">
        <f>ROUND((D2-D1),0)</f>
        <v>0</v>
      </c>
      <c r="G1" s="47">
        <f>Sheet1!V2</f>
        <v>0</v>
      </c>
      <c r="H1" s="11" t="s">
        <v>2</v>
      </c>
      <c r="I1" s="4">
        <f>Sheet1!BE4</f>
        <v>0</v>
      </c>
      <c r="J1" s="12" t="s">
        <v>3</v>
      </c>
      <c r="K1" s="12" t="s">
        <v>4</v>
      </c>
      <c r="M1" s="67">
        <v>41183</v>
      </c>
    </row>
    <row r="2" spans="1:13" s="3" customFormat="1" x14ac:dyDescent="0.2">
      <c r="A2" s="48">
        <f>IMP!E2</f>
        <v>0</v>
      </c>
      <c r="B2" s="8">
        <f>'[1]ALL CLAIMS'!$P$61</f>
        <v>0</v>
      </c>
      <c r="C2" s="11" t="s">
        <v>5</v>
      </c>
      <c r="D2" s="4">
        <f>IF(E15=1,ROUND('[1]ALL CLAIMS'!$F$14/3.2808399,0),ROUND('[1]ALL CLAIMS'!$F$14,0))</f>
        <v>0</v>
      </c>
      <c r="E2" s="16" t="s">
        <v>6</v>
      </c>
      <c r="F2" s="47">
        <f>(G10-G1)/2+G1</f>
        <v>0</v>
      </c>
      <c r="G2" s="47">
        <f>Sheet1!Z2</f>
        <v>0</v>
      </c>
      <c r="H2" s="11" t="s">
        <v>7</v>
      </c>
      <c r="I2" s="47">
        <f>Sheet1!BD4</f>
        <v>0</v>
      </c>
      <c r="J2" s="12"/>
      <c r="K2" s="12" t="str">
        <f>IF(OR(A1="PRT",AND(A1="EWA",A16&lt;&gt;"EW-Avionics-microRecorder"),AND(A16="Filser,LX20",OR(B16&lt;3,B17&lt;3))),"FR Approval Withdrawal Effective 1 Oct 2012","")</f>
        <v/>
      </c>
      <c r="M2" s="3">
        <f>Sheet1!$K$6</f>
        <v>0</v>
      </c>
    </row>
    <row r="3" spans="1:13" s="3" customFormat="1" x14ac:dyDescent="0.2">
      <c r="A3" s="17">
        <f>IMP!C1</f>
        <v>0</v>
      </c>
      <c r="B3" s="12"/>
      <c r="C3" s="43" t="str">
        <f>IF(OR(A4="Source Code",B4="Source Code",A5="Source Code",B5="Source Code"),"SC",IF(OR(IMP!C4="",IMP!C6="",IMP!C7=""),"DF",IF(OR(A4=0,A5=0,B5=0),0,"OK")))</f>
        <v>DF</v>
      </c>
      <c r="D3" s="4">
        <f>ROUND(Sheet1!AJ2,0)</f>
        <v>0</v>
      </c>
      <c r="E3" s="11" t="s">
        <v>8</v>
      </c>
      <c r="F3" s="4">
        <f>ROUND((D7-D8),0)</f>
        <v>0</v>
      </c>
      <c r="G3" s="47">
        <f>Sheet1!AB3</f>
        <v>0</v>
      </c>
      <c r="H3" s="11" t="s">
        <v>9</v>
      </c>
      <c r="I3" s="4"/>
      <c r="J3" s="12"/>
      <c r="K3" s="12" t="s">
        <v>58</v>
      </c>
      <c r="M3" s="3">
        <f>Sheet1!$L$6</f>
        <v>0</v>
      </c>
    </row>
    <row r="4" spans="1:13" s="3" customFormat="1" x14ac:dyDescent="0.2">
      <c r="A4" s="66">
        <f>IF(OR(IMP!C4="PPLT",IMP!C4="OPLT"),"Source Code",IMP!E4)</f>
        <v>0</v>
      </c>
      <c r="B4" s="65">
        <f>IF(OR(IMP!C5="PCM2",IMP!C5="OCM2"),"Source Code",IF(IMP!C5="FCM2",IMP!E5,IF(AND('[1]ALL CLAIMS'!$F$18=4,[1]OTHER!$J$8="none"),0,[1]OTHER!$J$8)))</f>
        <v>0</v>
      </c>
      <c r="C4" s="11" t="s">
        <v>55</v>
      </c>
      <c r="D4" s="47">
        <f>Sheet1!AB2</f>
        <v>0</v>
      </c>
      <c r="E4" s="11" t="s">
        <v>10</v>
      </c>
      <c r="F4" s="4">
        <f>Sheet1!AD2</f>
        <v>0</v>
      </c>
      <c r="G4" s="4">
        <f>Sheet1!AE2</f>
        <v>0</v>
      </c>
      <c r="H4" s="11" t="s">
        <v>11</v>
      </c>
      <c r="I4" s="4">
        <f>Sheet1!BE2</f>
        <v>0</v>
      </c>
      <c r="J4" s="12" t="s">
        <v>12</v>
      </c>
      <c r="K4" s="12" t="s">
        <v>59</v>
      </c>
    </row>
    <row r="5" spans="1:13" s="3" customFormat="1" x14ac:dyDescent="0.2">
      <c r="A5" s="50">
        <f>IF(IMP!C6="",0,IF(OR(IMP!D6="GliderType",IMP!C6="FGTY"),IMP!E6,"Source Code"))</f>
        <v>0</v>
      </c>
      <c r="B5" s="12">
        <f>IF(IMP!C7="",0,IF(IMP!C7="FGID",IMP!E7,"Source Code"))</f>
        <v>0</v>
      </c>
      <c r="C5" s="11" t="s">
        <v>13</v>
      </c>
      <c r="D5" s="4">
        <f>ROUND(Sheet1!AJ2,0)</f>
        <v>0</v>
      </c>
      <c r="E5" s="11" t="s">
        <v>14</v>
      </c>
      <c r="F5" s="4">
        <f>Sheet1!AG2</f>
        <v>0</v>
      </c>
      <c r="G5" s="4">
        <f>Sheet1!AH2</f>
        <v>0</v>
      </c>
      <c r="H5" s="11" t="s">
        <v>15</v>
      </c>
      <c r="I5" s="47">
        <f>Sheet1!BD2</f>
        <v>0</v>
      </c>
      <c r="J5" s="12"/>
      <c r="K5" s="12"/>
    </row>
    <row r="6" spans="1:13" s="3" customFormat="1" x14ac:dyDescent="0.2">
      <c r="A6" s="4">
        <f>IF(IMP!E10=0,0.77*200,0.3*1000)</f>
        <v>154</v>
      </c>
      <c r="B6" s="12"/>
      <c r="C6" s="11" t="s">
        <v>16</v>
      </c>
      <c r="D6" s="4">
        <f>Sheet1!AJ3</f>
        <v>0</v>
      </c>
      <c r="E6" s="64" t="s">
        <v>60</v>
      </c>
      <c r="F6" s="77">
        <f>Sheet1!AK8</f>
        <v>0</v>
      </c>
      <c r="G6" s="47">
        <f>Sheet1!AN2</f>
        <v>0</v>
      </c>
      <c r="H6" s="11" t="s">
        <v>17</v>
      </c>
      <c r="I6" s="4"/>
      <c r="J6" s="12"/>
      <c r="K6" s="12"/>
    </row>
    <row r="7" spans="1:13" s="3" customFormat="1" x14ac:dyDescent="0.2">
      <c r="A7" s="4">
        <f>IMP!Q1</f>
        <v>0</v>
      </c>
      <c r="B7" s="12">
        <f>IMP!Q2</f>
        <v>0</v>
      </c>
      <c r="C7" s="11" t="s">
        <v>18</v>
      </c>
      <c r="D7" s="4">
        <f>IF(E15=1,ROUND('[1]ALL CLAIMS'!$F$16/3.2808399,0),ROUND('[1]ALL CLAIMS'!$F$16,0))</f>
        <v>0</v>
      </c>
      <c r="E7" s="16" t="s">
        <v>19</v>
      </c>
      <c r="F7" s="77">
        <f>Sheet1!AT8</f>
        <v>0</v>
      </c>
      <c r="G7" s="4">
        <f>Sheet1!AO2</f>
        <v>0</v>
      </c>
      <c r="H7" s="11" t="s">
        <v>20</v>
      </c>
      <c r="I7" s="4">
        <f>Sheet1!BH2</f>
        <v>0</v>
      </c>
      <c r="J7" s="12" t="s">
        <v>21</v>
      </c>
      <c r="K7" s="12"/>
    </row>
    <row r="8" spans="1:13" s="3" customFormat="1" x14ac:dyDescent="0.2">
      <c r="A8" s="12">
        <f>IF(B11&gt;=4,CONCATENATE([1]OTHER!$D$8," &amp; ",[1]OTHER!$J$8),[1]OTHER!$D$8)</f>
        <v>0</v>
      </c>
      <c r="B8" s="12"/>
      <c r="C8" s="16" t="s">
        <v>22</v>
      </c>
      <c r="D8" s="4">
        <f>ROUND(Sheet1!BB2,0)</f>
        <v>0</v>
      </c>
      <c r="E8" s="11" t="s">
        <v>23</v>
      </c>
      <c r="F8" s="4">
        <f>Sheet1!AP2</f>
        <v>0</v>
      </c>
      <c r="G8" s="4">
        <f>Sheet1!AQ2</f>
        <v>0</v>
      </c>
      <c r="H8" s="11" t="s">
        <v>24</v>
      </c>
      <c r="I8" s="47">
        <f>Sheet1!BG2</f>
        <v>0</v>
      </c>
      <c r="J8" s="12"/>
      <c r="K8" s="12"/>
    </row>
    <row r="9" spans="1:13" s="3" customFormat="1" x14ac:dyDescent="0.2">
      <c r="A9" s="12">
        <f>[1]OTHER!$D$10</f>
        <v>0</v>
      </c>
      <c r="B9" s="12">
        <f>[1]OTHER!$K$10</f>
        <v>0</v>
      </c>
      <c r="C9" s="51" t="s">
        <v>25</v>
      </c>
      <c r="D9" s="4">
        <f>Sheet1!AU5</f>
        <v>0</v>
      </c>
      <c r="E9" s="11" t="s">
        <v>26</v>
      </c>
      <c r="F9" s="4">
        <f>Sheet1!AR2</f>
        <v>0</v>
      </c>
      <c r="G9" s="4">
        <f>Sheet1!AS2</f>
        <v>0</v>
      </c>
      <c r="H9" s="11" t="s">
        <v>27</v>
      </c>
      <c r="I9" s="4"/>
      <c r="J9" s="12"/>
      <c r="K9" s="12"/>
    </row>
    <row r="10" spans="1:13" s="3" customFormat="1" ht="12.3" x14ac:dyDescent="0.4">
      <c r="A10" s="47"/>
      <c r="B10" s="52">
        <f>BR!E1</f>
        <v>0</v>
      </c>
      <c r="C10" s="83" t="s">
        <v>61</v>
      </c>
      <c r="D10" s="52">
        <f>Sheet1!A2</f>
        <v>0</v>
      </c>
      <c r="E10" s="11"/>
      <c r="F10" s="4"/>
      <c r="G10" s="47">
        <f>Sheet1!AU2</f>
        <v>0</v>
      </c>
      <c r="H10" s="11" t="s">
        <v>28</v>
      </c>
      <c r="I10" s="61"/>
      <c r="J10" s="12"/>
      <c r="K10" s="12"/>
    </row>
    <row r="11" spans="1:13" s="3" customFormat="1" ht="15.75" thickBot="1" x14ac:dyDescent="0.3">
      <c r="A11" s="53" t="s">
        <v>29</v>
      </c>
      <c r="B11" s="54">
        <f>'[1]ALL CLAIMS'!$F$8</f>
        <v>1</v>
      </c>
      <c r="C11" s="12" t="str">
        <f ca="1">IF(OR(AND(D13=4,C15&lt;&gt;"",[1]OTHER!$J$8&lt;&gt;"None"),AND(D11="Written",[1]OTHER!$J$8&lt;&gt;"",[1]OTHER!$J$8&lt;&gt;"none"),AND(D11="Electronic",C15="",B4&lt;&gt;0)),"PAX","")</f>
        <v/>
      </c>
      <c r="D11" s="68" t="str">
        <f ca="1">IF('[1]ALL CLAIMS'!F18=5,"FREE-E",IF(AND('[1]ALL CLAIMS'!F18=3,[1]OTHER!D4=4),"FREE-W",C16))</f>
        <v>Electronic</v>
      </c>
      <c r="E11" s="16" t="str">
        <f ca="1">IF(OR(D11="FREE-E",D11="FREE-W"),"OPTIM","")</f>
        <v/>
      </c>
      <c r="F11" s="4">
        <f>Sheet1!AV2</f>
        <v>0</v>
      </c>
      <c r="G11" s="4">
        <f>Sheet1!AW2</f>
        <v>0</v>
      </c>
      <c r="H11" s="11" t="s">
        <v>30</v>
      </c>
      <c r="I11" s="75"/>
      <c r="J11" s="12"/>
      <c r="K11" s="70"/>
    </row>
    <row r="12" spans="1:13" s="3" customFormat="1" ht="13.5" thickBot="1" x14ac:dyDescent="0.25">
      <c r="A12" s="55">
        <f>IF(A2=0,0,IF(A10="PR",DATE(YEAR(A2)-1,MONTH(A2),DAY(A2)),'[1]DATA ENTRY CHECK'!$I$51))</f>
        <v>0</v>
      </c>
      <c r="B12" s="48">
        <f>IF(AND(A10="",MONTH(A2)=12,DAY(A2)&gt;=28),A2+61,IF(AND(A10="PR",MONTH(A2)=1,DAY(A2)&gt;=28),A2+31,IF(AND(A12=A2-365,MONTH(A2)&lt;=11),DATE(YEAR(A2),(MONTH(A2)+1),DAY(A2)),IF(AND(A12=A2-365,MONTH(A2)&gt;11),DATE((YEAR(A2)+1),(MONTH(A2)-11),DAY(A2)),IF(AND(A10&lt;&gt;"PR",MONTH(A2)&lt;=10),DATE(YEAR(A2),(MONTH(A2)+2),DAY(A2)),DATE(YEAR(A2),(MONTH(A2)+2),DAY(A2)))))))</f>
        <v>60</v>
      </c>
      <c r="C12" s="51" t="s">
        <v>54</v>
      </c>
      <c r="D12" s="46" t="str">
        <f ca="1">IF(B14&gt;1,MIN(K30,K32,K34),"")</f>
        <v/>
      </c>
      <c r="E12" s="4" t="str">
        <f ca="1">IF(AND(A20=A28,B20=B28,D20=D28,E20=E28,OR(AND(A20=A22,B20=B22,D20=D22,E20=E22),AND(A20=A24,B20=B24,D20=D24,E20=E24),AND(A20=A26,B20=B26,D20=D26,E20=E26))),"ST@TP","")</f>
        <v>ST@TP</v>
      </c>
      <c r="F12" s="4">
        <f>Sheet1!AY2</f>
        <v>0</v>
      </c>
      <c r="G12" s="4">
        <f>Sheet1!AZ2</f>
        <v>0</v>
      </c>
      <c r="H12" s="11" t="s">
        <v>31</v>
      </c>
      <c r="I12" s="61"/>
      <c r="J12" s="12"/>
      <c r="K12" s="71"/>
    </row>
    <row r="13" spans="1:13" s="3" customFormat="1" x14ac:dyDescent="0.2">
      <c r="A13" s="53"/>
      <c r="B13" s="19">
        <f>Sheet1!A1</f>
        <v>0</v>
      </c>
      <c r="C13" s="6"/>
      <c r="D13" s="56">
        <f>IF('[1]ALL CLAIMS'!F18=5,2,'[1]ALL CLAIMS'!F18)</f>
        <v>1</v>
      </c>
      <c r="E13" s="16" t="s">
        <v>32</v>
      </c>
      <c r="F13" s="12"/>
      <c r="G13" s="47">
        <f>sunrise!$D$17</f>
        <v>0.75481291244008852</v>
      </c>
      <c r="H13" s="16" t="s">
        <v>33</v>
      </c>
      <c r="I13" s="76"/>
      <c r="J13" s="12"/>
      <c r="K13" s="12"/>
    </row>
    <row r="14" spans="1:13" s="3" customFormat="1" x14ac:dyDescent="0.2">
      <c r="A14" s="58">
        <f ca="1">IF(OR(D11="Electronic",D11="W inv"),A15,IF(AND(OR(D13&gt;2,MAX(B15,A15)&gt;G1,MAX(A15,B15)=0),OR(D11="Free-E",D11="Free-W")),"Free",B15))</f>
        <v>0</v>
      </c>
      <c r="B14" s="59">
        <f ca="1">IF(OR(D11="Written",D11="Free-W",D11="W INV"),[1]OTHER!$L$18,IF(OR(D13&lt;&gt;5,IMP!A1001=""),IMP!Z2,IMP!Z1021))</f>
        <v>0</v>
      </c>
      <c r="C14" s="7" t="s">
        <v>34</v>
      </c>
      <c r="D14" s="60">
        <f>'[1]DATA ENTRY CHECK'!$G$12</f>
        <v>0</v>
      </c>
      <c r="E14" s="16" t="s">
        <v>35</v>
      </c>
      <c r="F14" s="12"/>
      <c r="G14" s="60"/>
      <c r="H14" s="72"/>
      <c r="I14" s="61"/>
      <c r="J14" s="12"/>
      <c r="K14" s="12"/>
    </row>
    <row r="15" spans="1:13" s="12" customFormat="1" x14ac:dyDescent="0.2">
      <c r="A15" s="58">
        <f>IMP!Y1</f>
        <v>0</v>
      </c>
      <c r="B15" s="60">
        <f>IF([1]OTHER!$D$4=4,G1,IF(AND(OR(AND(A2&lt;42278,[1]OTHER!$B$31&lt;&gt;"Turn Points less than 10 km apart"),A2&gt;=42278),[1]OTHER!$D$6+[1]OTHER!$J$6&gt;0),[1]OTHER!$D$6+[1]OTHER!$J$6-B2/24,0))</f>
        <v>0</v>
      </c>
      <c r="C15" s="69" t="str">
        <f>IF(D13=4,"OO Cert","")</f>
        <v/>
      </c>
      <c r="D15" s="8"/>
      <c r="E15" s="9">
        <f>IF(OR('[1]ALL CLAIMS'!$M$1="Feet",D16="US Default"),1,2)</f>
        <v>2</v>
      </c>
      <c r="F15" s="10" t="s">
        <v>36</v>
      </c>
      <c r="G15" s="74"/>
      <c r="H15" s="73"/>
      <c r="L15" s="3"/>
      <c r="M15" s="3"/>
    </row>
    <row r="16" spans="1:13" s="12" customFormat="1" x14ac:dyDescent="0.2">
      <c r="A16" s="12" t="str">
        <f>IF(AND(IMP!E11="",A1="CAM"),"Cambridge 10/20/25",IF(IMP!C11="FFTY",IMP!E11,IF(IMP!C10="FFTY",IMP!E10,IF(OR(IMP!E11="",AND(B16="?",B17="?")),"Recorder?",IMP!E11))))</f>
        <v>Recorder?</v>
      </c>
      <c r="B16" s="12" t="str">
        <f xml:space="preserve"> IF(OR(IMP!E10="",A3="X"),"?",IMP!E10)</f>
        <v>?</v>
      </c>
      <c r="C16" s="8" t="str">
        <f ca="1">IF(OR(AND($A$15&gt;=$A$14,$B$14&gt;3),AND($A$10="PR",$D$13&lt;&gt;5,$D$13&lt;&gt;3),AND(OR($D$13=2,$D$13=4),$A$15&gt;MIN($G$1,$G$18))),"E INV",IF(AND($D$13=3,OR(AND($A$15&lt;MIN($G$1,$G$18),$B$15&gt;MIN($G$1,$G$18),$B$15&lt;$A$15),AND($A$15&gt;MIN($G$1,$G$18),$B$15&gt;MIN($G$1,$G$18)))),"W INV",IF(AND($D$13=3,$B$15&gt;0,$B$15&lt;=MIN($G$1,$G$18),OR($B$15&gt;$A$15,$A$15&gt;MIN($G$1,$G$18),$A$15=0)),"Written",IF(OR(AND($A$15=$B$15,$B$15=0),AND($A$15&gt;0,$A$15&gt;=$B$15,$A$15&lt;=MIN($G$1,$G$18)),AND($D$13&gt;=2,$A$15&lt;MIN($G$1,$G$18),[1]OTHER!$M$6&lt;&gt;""),AND($A$15&gt;=$B$15,$A$15&lt;MIN($G$1,$G$18),$C$15&lt;&gt;"",$D$13=4),AND($D$13=4,OR($B$14=0,$B$14="None"))),"Electronic",""))))</f>
        <v>Electronic</v>
      </c>
      <c r="D16" s="44" t="str">
        <f>IF('[1]ALL CLAIMS'!$F$6=3,"US Default","User Default")</f>
        <v>User Default</v>
      </c>
      <c r="E16" s="13">
        <f>IF(D16="US Default",18000,0)</f>
        <v>0</v>
      </c>
      <c r="F16" s="10" t="s">
        <v>37</v>
      </c>
      <c r="G16" s="60"/>
      <c r="H16" s="72"/>
      <c r="I16" s="4" t="s">
        <v>57</v>
      </c>
      <c r="J16" s="4" t="s">
        <v>56</v>
      </c>
      <c r="L16" s="3"/>
      <c r="M16" s="3"/>
    </row>
    <row r="17" spans="1:13" s="3" customFormat="1" ht="13.5" thickBot="1" x14ac:dyDescent="0.25">
      <c r="A17" s="17" t="str">
        <f>IF(AND(OR(A16=K1,A16=K3,A16=K4,AND(A2&gt;=M1,K2&lt;&gt;"")),M2&lt;&gt;M3),"PR/PA","")</f>
        <v/>
      </c>
      <c r="B17" s="61" t="str">
        <f>IF(OR(IMP!E9="",B16="?"),"?",IMP!E9)</f>
        <v>?</v>
      </c>
      <c r="C17" s="49"/>
      <c r="D17" s="9">
        <f>IF(E17=0,0,IF(E17="Feet, MSL",E16/3.2808399,E16*3.2808399))</f>
        <v>0</v>
      </c>
      <c r="E17" s="61" t="str">
        <f>IF(D16="US Default","Feet, MSL","Metres, MSL")</f>
        <v>Metres, MSL</v>
      </c>
      <c r="F17" s="61"/>
      <c r="G17" s="47">
        <f>sunrise!$D$15</f>
        <v>0.24961420394666023</v>
      </c>
      <c r="H17" s="16" t="s">
        <v>38</v>
      </c>
      <c r="I17" s="4"/>
      <c r="J17" s="12"/>
      <c r="K17" s="12"/>
    </row>
    <row r="18" spans="1:13" s="3" customFormat="1" ht="13.5" thickBot="1" x14ac:dyDescent="0.25">
      <c r="A18" s="62">
        <f>Sheet1!CG2</f>
        <v>0</v>
      </c>
      <c r="B18" s="45">
        <f>Sheet1!CH2</f>
        <v>0</v>
      </c>
      <c r="C18" s="15" t="str">
        <f>IF(A18&gt;0,"N","S")</f>
        <v>S</v>
      </c>
      <c r="D18" s="62">
        <f>Sheet1!CJ2</f>
        <v>0</v>
      </c>
      <c r="E18" s="45">
        <f>Sheet1!CK2</f>
        <v>0</v>
      </c>
      <c r="F18" s="15" t="str">
        <f>IF(D18&gt;0,"E","W")</f>
        <v>W</v>
      </c>
      <c r="G18" s="63">
        <f>Sheet1!CF2</f>
        <v>0</v>
      </c>
      <c r="H18" s="16" t="str">
        <f>IF(G1=G18,"First DP","T/O Roll Start")</f>
        <v>First DP</v>
      </c>
      <c r="I18" s="57"/>
      <c r="J18" s="12"/>
      <c r="K18" s="12"/>
    </row>
    <row r="19" spans="1:13" s="12" customFormat="1" ht="13.5" thickBot="1" x14ac:dyDescent="0.25">
      <c r="A19" s="17"/>
      <c r="B19" s="18"/>
      <c r="C19" s="19"/>
      <c r="D19" s="17"/>
      <c r="E19" s="18"/>
      <c r="F19" s="4"/>
      <c r="G19" s="17"/>
      <c r="H19" s="65">
        <f>IF(OR(G10&gt;G13,AND(G10&gt;G13,G18&lt;G17)),G10-G13,IF(G18&lt;G17,G17-G18,""))</f>
        <v>0.24961420394666023</v>
      </c>
      <c r="I19" s="4">
        <f>IF(H19&gt;1/24,ROUND((HOUR(H19)*60+MINUTE(H19)+SECOND(H19)/60)/60,2),ROUND((MINUTE(H19)+SECOND(H19)/60),2))</f>
        <v>5.99</v>
      </c>
      <c r="J19" s="12" t="str">
        <f>IF(H19&gt;1/24,"Hours","Minutes")</f>
        <v>Hours</v>
      </c>
      <c r="K19" s="12">
        <f>RADIANS(F4+(G4/60))</f>
        <v>0</v>
      </c>
      <c r="L19" s="3">
        <f>RADIANS(F5+(G5/60))</f>
        <v>0</v>
      </c>
      <c r="M19" s="3"/>
    </row>
    <row r="20" spans="1:13" s="3" customFormat="1" ht="13.5" thickBot="1" x14ac:dyDescent="0.25">
      <c r="A20" s="4">
        <f ca="1">IF(B14&gt;3,0,IF(D13&lt;&gt;3,IMP!AI2,[1]OTHER!$E$60))</f>
        <v>0</v>
      </c>
      <c r="B20" s="42">
        <f ca="1">IF(B14&gt;3,0,IF(D13&lt;&gt;3,IMP!AJ2,[1]OTHER!$F$60))</f>
        <v>0</v>
      </c>
      <c r="C20" s="15" t="str">
        <f ca="1">IF(A20&gt;0,"N","S")</f>
        <v>S</v>
      </c>
      <c r="D20" s="4">
        <f ca="1">IF(B14&gt;3,0,IF(D13&lt;&gt;3,IMP!AL2,[1]OTHER!$I$60))</f>
        <v>0</v>
      </c>
      <c r="E20" s="42">
        <f ca="1">IF(B14&gt;3,0,IF(D13&lt;&gt;3,IMP!AM2,[1]OTHER!$J$60))</f>
        <v>0</v>
      </c>
      <c r="F20" s="15" t="str">
        <f ca="1">IF(D20&gt;0,"E","W")</f>
        <v>W</v>
      </c>
      <c r="G20" s="17">
        <f ca="1">IF(B14&gt;3,0,IF(D13&lt;&gt;3,IMP!AO1,[1]OTHER!$C$20))</f>
        <v>0</v>
      </c>
      <c r="H20" s="11">
        <f ca="1">IF(ABS(A20+B20)+ABS(D20+E20)&gt;0,1,0)</f>
        <v>0</v>
      </c>
      <c r="I20" s="4">
        <f ca="1">H20</f>
        <v>0</v>
      </c>
      <c r="J20" s="12"/>
      <c r="K20" s="12">
        <f ca="1">RADIANS(A20+(B20/60))</f>
        <v>0</v>
      </c>
      <c r="L20" s="3">
        <f ca="1">RADIANS(D20+(E20/60))</f>
        <v>0</v>
      </c>
    </row>
    <row r="21" spans="1:13" s="12" customFormat="1" ht="12.6" thickBot="1" x14ac:dyDescent="0.45">
      <c r="A21" s="17"/>
      <c r="B21" s="18"/>
      <c r="C21" s="19"/>
      <c r="D21" s="17"/>
      <c r="E21" s="18"/>
      <c r="F21" s="4"/>
      <c r="G21" s="17"/>
      <c r="L21" s="3"/>
      <c r="M21" s="3"/>
    </row>
    <row r="22" spans="1:13" s="3" customFormat="1" ht="12.6" thickBot="1" x14ac:dyDescent="0.45">
      <c r="A22" s="4">
        <f ca="1">IF(OR(B14&gt;3,$B$14&lt;1),0,IF(D13&lt;&gt;3,IMP!AP2,[1]OTHER!$E$62))</f>
        <v>0</v>
      </c>
      <c r="B22" s="42">
        <f ca="1">IF(OR(B14&gt;3,$B$14&lt;1),0,IF(D13&lt;&gt;3,IMP!AQ2,[1]OTHER!$F$62))</f>
        <v>0</v>
      </c>
      <c r="C22" s="15" t="str">
        <f ca="1">IF(A22&gt;0,"N","S")</f>
        <v>S</v>
      </c>
      <c r="D22" s="4">
        <f ca="1">IF(OR(B14&gt;3,$B$14&lt;1),0,IF(D13&lt;&gt;3,IMP!AS2,[1]OTHER!$I$62))</f>
        <v>0</v>
      </c>
      <c r="E22" s="42">
        <f ca="1">IF(OR(B14&gt;3,$B$14&lt;1),0,IF(D13&lt;&gt;3,IMP!AT2,[1]OTHER!$J$62))</f>
        <v>0</v>
      </c>
      <c r="F22" s="15" t="str">
        <f ca="1">IF(D22&gt;0,"E","W")</f>
        <v>W</v>
      </c>
      <c r="G22" s="17">
        <f ca="1">IF(AND(B14&lt;4,B14&gt;0,D13&lt;&gt;3),IMP!AV1,[1]OTHER!$C$22)</f>
        <v>0</v>
      </c>
      <c r="H22" s="43">
        <f ca="1">IF(AND(B14&gt;=1,B14&lt;=3),"Turnpoint 1",0)</f>
        <v>0</v>
      </c>
      <c r="I22" s="4">
        <f ca="1">IF(H22=0,0,IF(AND([1]OTHER!$D$22="",'[1]E-DEC'!$D$15=""),1,IF(AND(D$11="Electronic",B$14=3,'[1]E-DEC'!$D$15=""=FALSE),'[1]E-DEC'!$D$15,IF(AND(D11="Written",B$14&gt;1,[1]OTHER!$D$22=""=FALSE),[1]OTHER!$D$22,1))))</f>
        <v>0</v>
      </c>
      <c r="J22" s="12"/>
      <c r="K22" s="12">
        <f ca="1">RADIANS(A22+(B22/60))</f>
        <v>0</v>
      </c>
      <c r="L22" s="3">
        <f ca="1">RADIANS(D22+(E22/60))</f>
        <v>0</v>
      </c>
    </row>
    <row r="23" spans="1:13" s="12" customFormat="1" ht="12.6" thickBot="1" x14ac:dyDescent="0.45">
      <c r="A23" s="17"/>
      <c r="B23" s="18"/>
      <c r="C23" s="19"/>
      <c r="D23" s="17"/>
      <c r="E23" s="18"/>
      <c r="F23" s="4"/>
      <c r="G23" s="17"/>
      <c r="L23" s="3"/>
      <c r="M23" s="3"/>
    </row>
    <row r="24" spans="1:13" s="3" customFormat="1" ht="14.7" thickBot="1" x14ac:dyDescent="0.6">
      <c r="A24" s="4">
        <f ca="1">IF(OR(B14&gt;3,$B$14&lt;2),0,IF(D13&lt;&gt;3,IMP!AW2,[1]OTHER!$E$64))</f>
        <v>0</v>
      </c>
      <c r="B24" s="42">
        <f ca="1">IF(OR(B14&gt;3,$B$14&lt;2),0,IF(D13&lt;&gt;3,IMP!AX2,[1]OTHER!$F$64))</f>
        <v>0</v>
      </c>
      <c r="C24" s="15" t="str">
        <f ca="1">IF(A24&gt;0,"N","S")</f>
        <v>S</v>
      </c>
      <c r="D24" s="4">
        <f ca="1">IF(OR(B14&gt;3,$B$14&lt;2),0,IF(D13&lt;&gt;3,IMP!AZ2,[1]OTHER!$I$64))</f>
        <v>0</v>
      </c>
      <c r="E24" s="42">
        <f ca="1">IF(OR(B14&gt;3,$B$14&lt;2),0,IF(D13&lt;&gt;3,IMP!BA2,[1]OTHER!$J$64))</f>
        <v>0</v>
      </c>
      <c r="F24" s="15" t="str">
        <f ca="1">IF(D24&gt;0,"E","W")</f>
        <v>W</v>
      </c>
      <c r="G24" s="17">
        <f ca="1">IF(AND(B14&lt;4,B14&gt;=2,D13&lt;&gt;3),IMP!BC1,[1]OTHER!$C$24)</f>
        <v>0</v>
      </c>
      <c r="H24" s="43">
        <f ca="1">IF(AND(B14&gt;=2,B14&lt;=3),"Turnpoint 2",0)</f>
        <v>0</v>
      </c>
      <c r="I24" s="4">
        <f ca="1">IF(H24=0,0,IF(AND([1]OTHER!$D$24="",'[1]E-DEC'!$D$17=""),2,IF(AND(D$11="Electronic",B$14=3,'[1]E-DEC'!$D$17=""=FALSE),'[1]E-DEC'!$D$17,IF(AND(D$11="Written",B$14&gt;1,[1]OTHER!$D$24=""=FALSE),[1]OTHER!$D$24,2))))</f>
        <v>0</v>
      </c>
      <c r="J24"/>
      <c r="K24" s="12">
        <f ca="1">RADIANS(A24+(B24/60))</f>
        <v>0</v>
      </c>
      <c r="L24" s="3">
        <f ca="1">RADIANS(D24+(E24/60))</f>
        <v>0</v>
      </c>
    </row>
    <row r="25" spans="1:13" s="12" customFormat="1" ht="12.6" thickBot="1" x14ac:dyDescent="0.45">
      <c r="A25" s="17"/>
      <c r="B25" s="18"/>
      <c r="C25" s="19"/>
      <c r="D25" s="17"/>
      <c r="E25" s="18"/>
      <c r="F25" s="4"/>
      <c r="G25" s="17"/>
      <c r="L25" s="3"/>
      <c r="M25" s="3"/>
    </row>
    <row r="26" spans="1:13" s="3" customFormat="1" ht="14.7" thickBot="1" x14ac:dyDescent="0.6">
      <c r="A26" s="4">
        <f ca="1">IF(AND(B14=3,D13&lt;&gt;3),IMP!BD2,IF(B14=3,[1]OTHER!$E$66,0))</f>
        <v>0</v>
      </c>
      <c r="B26" s="42">
        <f ca="1">IF(AND($B$14=3,D13&lt;&gt;3),IMP!BE2,IF(B14=3,[1]OTHER!$F$66,0))</f>
        <v>0</v>
      </c>
      <c r="C26" s="15" t="str">
        <f ca="1">IF(A26&gt;0,"N","S")</f>
        <v>S</v>
      </c>
      <c r="D26" s="4">
        <f ca="1">IF(AND($B$14=3,D13&lt;&gt;3),IMP!BG2,IF(B14=3,[1]OTHER!$I$66,0))</f>
        <v>0</v>
      </c>
      <c r="E26" s="42">
        <f ca="1">IF(AND(B14=3,D13&lt;&gt;3),IMP!BH2,IF(B14=3,[1]OTHER!$J$66,0))</f>
        <v>0</v>
      </c>
      <c r="F26" s="15" t="str">
        <f ca="1">IF(D26&gt;0,"E","W")</f>
        <v>W</v>
      </c>
      <c r="G26" s="17">
        <f ca="1">IF(AND($B$14=3,D13&lt;&gt;3),IMP!BJ1,[1]OTHER!$C$26)</f>
        <v>0</v>
      </c>
      <c r="H26" s="43">
        <f ca="1">IF(B14=3,"Turnpoint 3",0)</f>
        <v>0</v>
      </c>
      <c r="I26" s="4">
        <f ca="1">IF(H26=0,0,IF(AND([1]OTHER!$D$26="",'[1]E-DEC'!$D$19=""),3,IF(AND(D$11="Electronic",B$14=3,'[1]E-DEC'!$D$19=""=FALSE),'[1]E-DEC'!$D$19,IF(AND(D$11="Written",B$14&gt;1,[1]OTHER!$D$26=""=FALSE),[1]OTHER!$D$26,3))))</f>
        <v>0</v>
      </c>
      <c r="J26"/>
      <c r="K26" s="12">
        <f ca="1">RADIANS(A26+(B26/60))</f>
        <v>0</v>
      </c>
      <c r="L26" s="3">
        <f ca="1">RADIANS(D26+(E26/60))</f>
        <v>0</v>
      </c>
    </row>
    <row r="27" spans="1:13" s="12" customFormat="1" ht="12.6" thickBot="1" x14ac:dyDescent="0.45">
      <c r="A27" s="17"/>
      <c r="B27" s="18"/>
      <c r="C27" s="19"/>
      <c r="D27" s="17"/>
      <c r="E27" s="18"/>
      <c r="F27" s="4"/>
      <c r="G27" s="17"/>
      <c r="L27" s="3"/>
      <c r="M27" s="3"/>
    </row>
    <row r="28" spans="1:13" s="3" customFormat="1" ht="12.6" thickBot="1" x14ac:dyDescent="0.45">
      <c r="A28" s="4">
        <f ca="1">IF(D13=3,[1]OTHER!$E$68,IF(B14&lt;1,IMP!AP2,IF(B14=1,IMP!AW2,IF(B14=2,IMP!BD2,IF(B14=3,IMP!BK2,0)))))</f>
        <v>0</v>
      </c>
      <c r="B28" s="42">
        <f ca="1">IF(D13=3,[1]OTHER!$F$68,IF(B14&lt;1,IMP!AQ2,IF($B$14=1,IMP!AX2,IF($B$14=2,IMP!BE2,IF($B$14=3,IMP!BL2,0)))))</f>
        <v>0</v>
      </c>
      <c r="C28" s="15" t="str">
        <f ca="1">IF(A28&gt;0,"N","S")</f>
        <v>S</v>
      </c>
      <c r="D28" s="4">
        <f ca="1">IF(D13=3,[1]OTHER!$I$68,IF(B14&lt;1,IMP!AS2,IF($B$14=1,IMP!AZ2,IF($B$14=2,IMP!BG2,IF($B$14=3,IMP!BN2,0)))))</f>
        <v>0</v>
      </c>
      <c r="E28" s="42">
        <f ca="1">IF(D13=3,[1]OTHER!$J$68,IF(B14&lt;1,IMP!AT2,IF($B$14=1,IMP!BA2,IF($B$14=2,IMP!BH2,IF($B$14=3,IMP!BO2,0)))))</f>
        <v>0</v>
      </c>
      <c r="F28" s="15" t="str">
        <f ca="1">IF(D28&gt;0,"E","W")</f>
        <v>W</v>
      </c>
      <c r="G28" s="17">
        <f ca="1">IF(D13=3,[1]OTHER!$C$28,IF(B14=3,IMP!BQ1,IF(B14=2,IMP!BJ1,IF(B14=1,IMP!BC1,IF(OR(B14=0,B14=""),IMP!AV1,IF(SUM(A28,B28,D28,E28)=0,0,))))))</f>
        <v>0</v>
      </c>
      <c r="H28" s="11">
        <f ca="1">IF(ABS(A28+B28)+ABS(D28+E28)&gt;0,1,0)</f>
        <v>0</v>
      </c>
      <c r="I28" s="4">
        <f ca="1">H28</f>
        <v>0</v>
      </c>
      <c r="J28" s="12"/>
      <c r="K28" s="12">
        <f ca="1">RADIANS(A28+(B28/60))</f>
        <v>0</v>
      </c>
      <c r="L28" s="3">
        <f ca="1">RADIANS(D28+(E28/60))</f>
        <v>0</v>
      </c>
    </row>
    <row r="29" spans="1:13" s="12" customFormat="1" ht="12.6" thickBot="1" x14ac:dyDescent="0.45">
      <c r="A29" s="17"/>
      <c r="B29" s="18"/>
      <c r="C29" s="19"/>
      <c r="D29" s="17"/>
      <c r="E29" s="18"/>
      <c r="F29" s="4"/>
      <c r="G29" s="17"/>
      <c r="I29" s="4"/>
      <c r="L29" s="3"/>
      <c r="M29" s="3"/>
    </row>
    <row r="30" spans="1:13" s="3" customFormat="1" ht="12.6" thickBot="1" x14ac:dyDescent="0.45">
      <c r="A30" s="44">
        <f>PRS!F11</f>
        <v>0</v>
      </c>
      <c r="B30" s="45">
        <f>G11</f>
        <v>0</v>
      </c>
      <c r="C30" s="15" t="str">
        <f>IF(A30&gt;0,"N","S")</f>
        <v>S</v>
      </c>
      <c r="D30" s="44">
        <f>F12</f>
        <v>0</v>
      </c>
      <c r="E30" s="45">
        <f>G12</f>
        <v>0</v>
      </c>
      <c r="F30" s="15" t="str">
        <f>IF(D30&gt;0,"E","W")</f>
        <v>W</v>
      </c>
      <c r="G30" s="44"/>
      <c r="H30" s="11" t="s">
        <v>39</v>
      </c>
      <c r="I30" s="4"/>
      <c r="K30" s="12">
        <f ca="1">IF(AND(K22=K24,L22=L24),0,6371*ACOS(SIN(K22)*SIN(K24)+COS(K22)*COS(K24)*COS(L24-L22)))</f>
        <v>0</v>
      </c>
    </row>
    <row r="31" spans="1:13" s="3" customFormat="1" ht="12.3" x14ac:dyDescent="0.4">
      <c r="A31" s="17"/>
      <c r="B31" s="12"/>
      <c r="C31" s="49"/>
      <c r="D31" s="12"/>
      <c r="E31" s="12"/>
      <c r="F31" s="12"/>
      <c r="G31" s="12"/>
      <c r="H31" s="12"/>
      <c r="I31" s="4"/>
      <c r="K31" s="12"/>
    </row>
    <row r="32" spans="1:13" s="3" customFormat="1" ht="12.3" x14ac:dyDescent="0.4">
      <c r="A32" s="17"/>
      <c r="B32" s="11"/>
      <c r="C32" s="49"/>
      <c r="D32" s="64"/>
      <c r="E32" s="12"/>
      <c r="F32" s="64"/>
      <c r="G32" s="12"/>
      <c r="H32" s="12">
        <f ca="1">IF(OR(SUM(K19:L20)=0,SUM(K20:L20)=0),0,6371*ACOS(SIN(K19)*SIN(K20)+COS(K19)*COS(K20)*COS(L20-L19)))</f>
        <v>0</v>
      </c>
      <c r="I32" s="4"/>
      <c r="K32" s="12">
        <f ca="1">IF(AND(K24=K26,L24=L26),0,6371*ACOS(SIN(K24)*SIN(K26)+COS(K24)*COS(K26)*COS(L26-L24)))</f>
        <v>0</v>
      </c>
    </row>
    <row r="33" spans="1:11" s="3" customFormat="1" ht="12.3" x14ac:dyDescent="0.4">
      <c r="A33" s="14"/>
      <c r="B33" s="1"/>
      <c r="C33" s="5"/>
      <c r="D33" s="20"/>
      <c r="F33" s="20"/>
      <c r="I33" s="2"/>
    </row>
    <row r="34" spans="1:11" s="3" customFormat="1" ht="12.3" x14ac:dyDescent="0.4">
      <c r="A34" s="14"/>
      <c r="I34" s="2"/>
      <c r="K34" s="12">
        <f ca="1">IF(AND(K22=K26,L22=L26),0,6371*ACOS(SIN(K26)*SIN(K22)+COS(K26)*COS(K22)*COS(L22-L26)))</f>
        <v>0</v>
      </c>
    </row>
  </sheetData>
  <sheetProtection selectLockedCells="1" selectUnlockedCells="1"/>
  <pageMargins left="0.75" right="0.75" top="1" bottom="1" header="0.5" footer="0.5"/>
  <pageSetup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F18"/>
  <sheetViews>
    <sheetView showGridLines="0" workbookViewId="0"/>
  </sheetViews>
  <sheetFormatPr defaultColWidth="9.15625" defaultRowHeight="12.3" x14ac:dyDescent="0.4"/>
  <cols>
    <col min="1" max="1" width="70.68359375" style="22" customWidth="1"/>
    <col min="2" max="2" width="12.68359375" style="22" customWidth="1"/>
    <col min="3" max="3" width="17.68359375" style="22" customWidth="1"/>
    <col min="4" max="5" width="18.68359375" style="22" customWidth="1"/>
    <col min="6" max="6" width="10.578125" style="22" bestFit="1" customWidth="1"/>
    <col min="7" max="16384" width="9.15625" style="22"/>
  </cols>
  <sheetData>
    <row r="2" spans="1:6" ht="12.75" x14ac:dyDescent="0.2">
      <c r="A2" s="21" t="s">
        <v>40</v>
      </c>
    </row>
    <row r="3" spans="1:6" ht="45" customHeight="1" x14ac:dyDescent="0.2">
      <c r="A3" s="23" t="s">
        <v>41</v>
      </c>
      <c r="B3" s="23"/>
      <c r="C3" s="23"/>
    </row>
    <row r="5" spans="1:6" ht="12.75" x14ac:dyDescent="0.2">
      <c r="A5" s="24" t="s">
        <v>42</v>
      </c>
      <c r="B5" s="25"/>
      <c r="C5" s="25"/>
    </row>
    <row r="6" spans="1:6" ht="12.75" x14ac:dyDescent="0.2">
      <c r="A6" s="26" t="s">
        <v>43</v>
      </c>
      <c r="B6" s="27">
        <f>PRS!$F$11+PRS!$G$11/60</f>
        <v>0</v>
      </c>
      <c r="C6" s="27">
        <f>PRS!A18+PRS!B18/60</f>
        <v>0</v>
      </c>
    </row>
    <row r="7" spans="1:6" ht="12.75" x14ac:dyDescent="0.2">
      <c r="A7" s="26" t="s">
        <v>44</v>
      </c>
      <c r="B7" s="27">
        <f>PRS!$F$12+PRS!$G$12/60</f>
        <v>0</v>
      </c>
      <c r="C7" s="27">
        <f>PRS!D18+PRS!E18/60</f>
        <v>0</v>
      </c>
    </row>
    <row r="8" spans="1:6" ht="12.75" x14ac:dyDescent="0.2">
      <c r="A8" s="26" t="s">
        <v>45</v>
      </c>
      <c r="B8" s="26">
        <f>YEAR(PRS!$G$10)</f>
        <v>1900</v>
      </c>
      <c r="C8" s="26">
        <f>B8</f>
        <v>1900</v>
      </c>
    </row>
    <row r="9" spans="1:6" ht="12.75" x14ac:dyDescent="0.2">
      <c r="A9" s="26" t="s">
        <v>46</v>
      </c>
      <c r="B9" s="26">
        <f>MONTH(PRS!$G$10)</f>
        <v>1</v>
      </c>
      <c r="C9" s="26">
        <f>B9</f>
        <v>1</v>
      </c>
    </row>
    <row r="10" spans="1:6" ht="12.75" x14ac:dyDescent="0.2">
      <c r="A10" s="26" t="s">
        <v>47</v>
      </c>
      <c r="B10" s="26">
        <f>DAY(PRS!$A$2)</f>
        <v>0</v>
      </c>
      <c r="C10" s="26">
        <f>B10</f>
        <v>0</v>
      </c>
    </row>
    <row r="11" spans="1:6" ht="12.75" x14ac:dyDescent="0.2">
      <c r="A11" s="26" t="s">
        <v>48</v>
      </c>
      <c r="B11" s="28"/>
      <c r="C11" s="28"/>
    </row>
    <row r="12" spans="1:6" ht="12.75" x14ac:dyDescent="0.2">
      <c r="A12" s="29" t="s">
        <v>49</v>
      </c>
      <c r="B12" s="26"/>
      <c r="C12" s="26"/>
    </row>
    <row r="13" spans="1:6" ht="12.75" x14ac:dyDescent="0.2">
      <c r="A13" s="26"/>
      <c r="B13" s="26"/>
      <c r="C13" s="26"/>
      <c r="D13" s="30">
        <f>PRS!A2</f>
        <v>0</v>
      </c>
    </row>
    <row r="14" spans="1:6" ht="12.75" x14ac:dyDescent="0.2">
      <c r="A14" s="24" t="s">
        <v>50</v>
      </c>
      <c r="B14" s="25"/>
      <c r="C14" s="25"/>
      <c r="D14" s="31" t="s">
        <v>51</v>
      </c>
    </row>
    <row r="15" spans="1:6" ht="12.75" x14ac:dyDescent="0.2">
      <c r="A15" s="26" t="s">
        <v>52</v>
      </c>
      <c r="C15" s="32">
        <f>Module2.sunrise(C6,C7,C8,C9,C10,C11,C12)</f>
        <v>0.24961420394666023</v>
      </c>
      <c r="D15" s="33">
        <f>C15-$B$11/24+$D$13</f>
        <v>0.24961420394666023</v>
      </c>
      <c r="F15" s="34"/>
    </row>
    <row r="16" spans="1:6" ht="12.75" x14ac:dyDescent="0.2">
      <c r="A16" s="26"/>
      <c r="B16" s="35"/>
      <c r="C16" s="35"/>
      <c r="D16" s="36"/>
    </row>
    <row r="17" spans="1:5" ht="12.75" x14ac:dyDescent="0.2">
      <c r="A17" s="26" t="s">
        <v>53</v>
      </c>
      <c r="B17" s="32">
        <f>Module2.sunset(B6,B7,B8,B9,B10,B11,B12)</f>
        <v>0.75481291244008852</v>
      </c>
      <c r="C17" s="32"/>
      <c r="D17" s="37">
        <f>B17-$B$11/24+$D$13</f>
        <v>0.75481291244008852</v>
      </c>
      <c r="E17" s="38"/>
    </row>
    <row r="18" spans="1:5" ht="12.75" x14ac:dyDescent="0.2">
      <c r="A18" s="39"/>
      <c r="B18" s="40"/>
      <c r="C18" s="41"/>
    </row>
  </sheetData>
  <sheetProtection password="C630" sheet="1" objects="1" scenarios="1" selectLockedCells="1" selectUnlockedCells="1"/>
  <printOptions horizontalCentered="1" verticalCentered="1"/>
  <pageMargins left="0.75" right="0.75" top="1" bottom="1" header="0.5" footer="0.5"/>
  <pageSetup scale="85" orientation="portrait" r:id="rId1"/>
  <headerFooter alignWithMargins="0">
    <oddFooter>&amp;C&amp;F, &amp;D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BR</vt:lpstr>
      <vt:lpstr>IMP</vt:lpstr>
      <vt:lpstr>Sheet1</vt:lpstr>
      <vt:lpstr>Sheet2</vt:lpstr>
      <vt:lpstr>PRS</vt:lpstr>
      <vt:lpstr>sunrise</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JLR</dc:creator>
  <cp:lastModifiedBy>Owner</cp:lastModifiedBy>
  <dcterms:created xsi:type="dcterms:W3CDTF">2011-11-06T18:30:33Z</dcterms:created>
  <dcterms:modified xsi:type="dcterms:W3CDTF">2018-08-10T12:38:04Z</dcterms:modified>
</cp:coreProperties>
</file>