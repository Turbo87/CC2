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" yWindow="114" windowWidth="22038" windowHeight="8916" activeTab="1"/>
  </bookViews>
  <sheets>
    <sheet name="YDWK3" sheetId="1" r:id="rId1"/>
    <sheet name="Sheet2" sheetId="2" r:id="rId2"/>
    <sheet name="Sheet3" sheetId="4" r:id="rId3"/>
    <sheet name="TASKS" sheetId="5" r:id="rId4"/>
    <sheet name="B" sheetId="6" r:id="rId5"/>
  </sheets>
  <definedNames>
    <definedName name="ellipsoidList" localSheetId="0">#REF!</definedName>
    <definedName name="ellipsoidList">#REF!</definedName>
    <definedName name="Link">YDWK3!$F$1</definedName>
    <definedName name="_xlnm.Print_Area" localSheetId="0">YDWK3!$A$1:$E$24</definedName>
    <definedName name="solver_adj" localSheetId="0" hidden="1">YDWK3!#REF!,YDWK3!#REF!</definedName>
    <definedName name="solver_cvg" localSheetId="0" hidden="1">0.0000001</definedName>
    <definedName name="solver_drv" localSheetId="0" hidden="1">1</definedName>
    <definedName name="solver_est" localSheetId="0" hidden="1">1</definedName>
    <definedName name="solver_itr" localSheetId="0" hidden="1">300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YDWK3!#REF!</definedName>
    <definedName name="solver_pre" localSheetId="0" hidden="1">0.000000001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45621" calcMode="manual" iterate="1" iterateCount="50"/>
</workbook>
</file>

<file path=xl/calcChain.xml><?xml version="1.0" encoding="utf-8"?>
<calcChain xmlns="http://schemas.openxmlformats.org/spreadsheetml/2006/main">
  <c r="J92" i="1" l="1"/>
  <c r="I92" i="1"/>
  <c r="O83" i="1"/>
  <c r="N83" i="1"/>
  <c r="N84" i="1" s="1"/>
  <c r="O82" i="1"/>
  <c r="P83" i="1" s="1"/>
  <c r="N82" i="1"/>
  <c r="O68" i="1"/>
  <c r="O69" i="1" s="1"/>
  <c r="O70" i="1" s="1"/>
  <c r="N68" i="1"/>
  <c r="N69" i="1" s="1"/>
  <c r="O67" i="1"/>
  <c r="N67" i="1"/>
  <c r="O53" i="1"/>
  <c r="N53" i="1"/>
  <c r="N54" i="1" s="1"/>
  <c r="C53" i="1"/>
  <c r="C54" i="1" s="1"/>
  <c r="O52" i="1"/>
  <c r="N52" i="1"/>
  <c r="C49" i="1"/>
  <c r="C50" i="1" s="1"/>
  <c r="F48" i="1"/>
  <c r="F47" i="1"/>
  <c r="C47" i="1"/>
  <c r="F46" i="1"/>
  <c r="F45" i="1"/>
  <c r="F44" i="1"/>
  <c r="C42" i="1"/>
  <c r="C41" i="1"/>
  <c r="C40" i="1"/>
  <c r="B100" i="1" s="1"/>
  <c r="C39" i="1"/>
  <c r="B98" i="1" s="1"/>
  <c r="O38" i="1"/>
  <c r="N38" i="1"/>
  <c r="N39" i="1" s="1"/>
  <c r="O37" i="1"/>
  <c r="N37" i="1"/>
  <c r="C29" i="1"/>
  <c r="C28" i="1"/>
  <c r="C27" i="1"/>
  <c r="D26" i="1" s="1"/>
  <c r="C2" i="1" s="1"/>
  <c r="E26" i="1"/>
  <c r="C3" i="1" s="1"/>
  <c r="C14" i="1"/>
  <c r="C15" i="1" s="1"/>
  <c r="C10" i="1"/>
  <c r="C11" i="1" s="1"/>
  <c r="C9" i="1"/>
  <c r="C17" i="1" l="1"/>
  <c r="C16" i="1"/>
  <c r="E2" i="1"/>
  <c r="E3" i="1"/>
  <c r="C55" i="1"/>
  <c r="C56" i="1"/>
  <c r="N71" i="1"/>
  <c r="N72" i="1" s="1"/>
  <c r="C12" i="1"/>
  <c r="C13" i="1"/>
  <c r="C52" i="1"/>
  <c r="C51" i="1"/>
  <c r="N70" i="1"/>
  <c r="N85" i="1"/>
  <c r="O39" i="1"/>
  <c r="O40" i="1" s="1"/>
  <c r="N41" i="1" s="1"/>
  <c r="P71" i="1"/>
  <c r="P72" i="1"/>
  <c r="O54" i="1"/>
  <c r="O55" i="1" s="1"/>
  <c r="N56" i="1" s="1"/>
  <c r="O84" i="1"/>
  <c r="O85" i="1" s="1"/>
  <c r="N86" i="1"/>
  <c r="P86" i="1" s="1"/>
  <c r="N90" i="1" s="1"/>
  <c r="P87" i="1"/>
  <c r="P37" i="1"/>
  <c r="P52" i="1"/>
  <c r="P53" i="1"/>
  <c r="C58" i="1"/>
  <c r="P68" i="1"/>
  <c r="P82" i="1"/>
  <c r="B99" i="1"/>
  <c r="P67" i="1"/>
  <c r="P41" i="1" l="1"/>
  <c r="P42" i="1"/>
  <c r="P57" i="1"/>
  <c r="P56" i="1"/>
  <c r="C62" i="1"/>
  <c r="N74" i="1"/>
  <c r="O74" i="1" s="1"/>
  <c r="N76" i="1"/>
  <c r="O76" i="1" s="1"/>
  <c r="N40" i="1"/>
  <c r="N42" i="1" s="1"/>
  <c r="P38" i="1" s="1"/>
  <c r="N91" i="1"/>
  <c r="O91" i="1" s="1"/>
  <c r="N89" i="1"/>
  <c r="O89" i="1" s="1"/>
  <c r="N61" i="1"/>
  <c r="O61" i="1" s="1"/>
  <c r="N59" i="1"/>
  <c r="O59" i="1" s="1"/>
  <c r="N87" i="1"/>
  <c r="N75" i="1"/>
  <c r="N55" i="1"/>
  <c r="N57" i="1" s="1"/>
  <c r="C60" i="1"/>
  <c r="N44" i="1" l="1"/>
  <c r="O44" i="1" s="1"/>
  <c r="N46" i="1"/>
  <c r="O46" i="1" s="1"/>
  <c r="C67" i="1"/>
  <c r="C64" i="1"/>
  <c r="C65" i="1" s="1"/>
  <c r="O75" i="1"/>
  <c r="P75" i="1" s="1"/>
  <c r="O90" i="1"/>
  <c r="P90" i="1" s="1"/>
  <c r="N60" i="1"/>
  <c r="O60" i="1" s="1"/>
  <c r="P60" i="1" s="1"/>
  <c r="N45" i="1"/>
  <c r="O45" i="1" s="1"/>
  <c r="P45" i="1" s="1"/>
  <c r="C70" i="1" l="1"/>
  <c r="C69" i="1"/>
  <c r="C79" i="1"/>
  <c r="C81" i="1" s="1"/>
  <c r="E87" i="1" s="1"/>
  <c r="F92" i="1" s="1"/>
  <c r="F93" i="1" l="1"/>
  <c r="F94" i="1" s="1"/>
  <c r="F95" i="1" s="1"/>
  <c r="J93" i="1"/>
  <c r="C74" i="1"/>
  <c r="C76" i="1" s="1"/>
  <c r="C72" i="1"/>
  <c r="C83" i="1" l="1"/>
  <c r="C18" i="1"/>
  <c r="C19" i="1"/>
  <c r="C20" i="1"/>
  <c r="C21" i="1"/>
  <c r="C22" i="1"/>
  <c r="C23" i="1"/>
  <c r="C24" i="1"/>
  <c r="D25" i="1"/>
  <c r="E25" i="1"/>
  <c r="C35" i="1"/>
  <c r="C36" i="1"/>
  <c r="C37" i="1"/>
  <c r="F37" i="1"/>
  <c r="H41" i="1"/>
  <c r="E58" i="1"/>
  <c r="E60" i="1"/>
  <c r="E62" i="1"/>
  <c r="E64" i="1"/>
  <c r="E65" i="1"/>
  <c r="E67" i="1"/>
  <c r="E69" i="1"/>
  <c r="E70" i="1"/>
  <c r="E72" i="1"/>
  <c r="E74" i="1"/>
  <c r="E76" i="1"/>
  <c r="E79" i="1"/>
  <c r="E81" i="1"/>
  <c r="E83" i="1"/>
  <c r="E85" i="1"/>
  <c r="C92" i="1"/>
  <c r="C93" i="1"/>
  <c r="I93" i="1"/>
  <c r="C94" i="1"/>
  <c r="I94" i="1"/>
  <c r="J94" i="1"/>
  <c r="C95" i="1"/>
  <c r="I95" i="1"/>
  <c r="J95" i="1"/>
</calcChain>
</file>

<file path=xl/sharedStrings.xml><?xml version="1.0" encoding="utf-8"?>
<sst xmlns="http://schemas.openxmlformats.org/spreadsheetml/2006/main" count="129" uniqueCount="88">
  <si>
    <t>Ellipsoid</t>
  </si>
  <si>
    <t>WGS84</t>
  </si>
  <si>
    <t>OZ FOR O&amp;R FINI</t>
  </si>
  <si>
    <r>
      <t>Azimuth 1-2 (</t>
    </r>
    <r>
      <rPr>
        <sz val="10"/>
        <color indexed="16"/>
        <rFont val="Symbol"/>
        <family val="1"/>
        <charset val="2"/>
      </rPr>
      <t>a</t>
    </r>
    <r>
      <rPr>
        <vertAlign val="subscript"/>
        <sz val="10"/>
        <color indexed="16"/>
        <rFont val="Arial"/>
        <family val="2"/>
      </rPr>
      <t>12</t>
    </r>
    <r>
      <rPr>
        <sz val="10"/>
        <color indexed="16"/>
        <rFont val="Arial"/>
        <family val="2"/>
      </rPr>
      <t>)</t>
    </r>
  </si>
  <si>
    <r>
      <t>Azimuth 2-1(</t>
    </r>
    <r>
      <rPr>
        <sz val="10"/>
        <color indexed="16"/>
        <rFont val="Symbol"/>
        <family val="1"/>
        <charset val="2"/>
      </rPr>
      <t>a</t>
    </r>
    <r>
      <rPr>
        <vertAlign val="subscript"/>
        <sz val="10"/>
        <color indexed="16"/>
        <rFont val="Arial"/>
        <family val="2"/>
      </rPr>
      <t>21</t>
    </r>
    <r>
      <rPr>
        <sz val="10"/>
        <color indexed="16"/>
        <rFont val="Arial"/>
        <family val="2"/>
      </rPr>
      <t>)</t>
    </r>
  </si>
  <si>
    <t>Lat1, Lon1  RAD</t>
  </si>
  <si>
    <t>Lat2 Lon2   RAD</t>
  </si>
  <si>
    <t>Flattening (f)</t>
  </si>
  <si>
    <r>
      <t>Diff longitude (</t>
    </r>
    <r>
      <rPr>
        <sz val="10"/>
        <rFont val="Symbol"/>
        <family val="1"/>
        <charset val="2"/>
      </rPr>
      <t>w</t>
    </r>
    <r>
      <rPr>
        <sz val="11"/>
        <color theme="1"/>
        <rFont val="Calibri"/>
        <family val="2"/>
        <scheme val="minor"/>
      </rPr>
      <t>)</t>
    </r>
  </si>
  <si>
    <t>tanU1</t>
  </si>
  <si>
    <t>U1</t>
  </si>
  <si>
    <t>sinU1</t>
  </si>
  <si>
    <t>cosU1</t>
  </si>
  <si>
    <t>tanU2</t>
  </si>
  <si>
    <t>U2</t>
  </si>
  <si>
    <t>sinU2</t>
  </si>
  <si>
    <t>cosU2</t>
  </si>
  <si>
    <t>l</t>
  </si>
  <si>
    <r>
      <t>sin</t>
    </r>
    <r>
      <rPr>
        <vertAlign val="superscript"/>
        <sz val="10"/>
        <rFont val="Arial"/>
        <family val="2"/>
      </rPr>
      <t>2</t>
    </r>
    <r>
      <rPr>
        <sz val="10"/>
        <rFont val="Symbol"/>
        <family val="1"/>
        <charset val="2"/>
      </rPr>
      <t xml:space="preserve"> s</t>
    </r>
  </si>
  <si>
    <r>
      <t xml:space="preserve">cos </t>
    </r>
    <r>
      <rPr>
        <sz val="10"/>
        <rFont val="Symbol"/>
        <family val="1"/>
        <charset val="2"/>
      </rPr>
      <t>s</t>
    </r>
  </si>
  <si>
    <r>
      <t xml:space="preserve">sin </t>
    </r>
    <r>
      <rPr>
        <sz val="10"/>
        <rFont val="Symbol"/>
        <family val="1"/>
        <charset val="2"/>
      </rPr>
      <t>a</t>
    </r>
  </si>
  <si>
    <r>
      <t xml:space="preserve">cos 2 </t>
    </r>
    <r>
      <rPr>
        <sz val="10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rFont val="Arial"/>
        <family val="2"/>
      </rPr>
      <t>m</t>
    </r>
  </si>
  <si>
    <t>formula11</t>
  </si>
  <si>
    <t>Special Cases</t>
  </si>
  <si>
    <t>lat2&gt;lat1</t>
  </si>
  <si>
    <t>lat1&gt;lat2</t>
  </si>
  <si>
    <t>DISTANCES</t>
  </si>
  <si>
    <t>COURSES</t>
  </si>
  <si>
    <t>LINE FOR O&amp;R FINI</t>
  </si>
  <si>
    <t>FP B4</t>
  </si>
  <si>
    <t>FP AFT</t>
  </si>
  <si>
    <t>B4 AFT</t>
  </si>
  <si>
    <t>TP to FP</t>
  </si>
  <si>
    <t>Spheroidal Dist. (S)</t>
  </si>
  <si>
    <t>FIX 1 -2</t>
  </si>
  <si>
    <r>
      <t>Azimuth 1-2 (</t>
    </r>
    <r>
      <rPr>
        <sz val="10"/>
        <rFont val="Symbol"/>
        <family val="1"/>
        <charset val="2"/>
      </rPr>
      <t>a</t>
    </r>
    <r>
      <rPr>
        <vertAlign val="subscript"/>
        <sz val="10"/>
        <rFont val="Arial"/>
        <family val="2"/>
      </rPr>
      <t>12</t>
    </r>
    <r>
      <rPr>
        <sz val="11"/>
        <color theme="1"/>
        <rFont val="Calibri"/>
        <family val="2"/>
        <scheme val="minor"/>
      </rPr>
      <t>)</t>
    </r>
  </si>
  <si>
    <r>
      <t>Azimuth 2-1(</t>
    </r>
    <r>
      <rPr>
        <sz val="10"/>
        <rFont val="Symbol"/>
        <family val="1"/>
        <charset val="2"/>
      </rPr>
      <t>a</t>
    </r>
    <r>
      <rPr>
        <vertAlign val="subscript"/>
        <sz val="10"/>
        <rFont val="Arial"/>
        <family val="2"/>
      </rPr>
      <t>21</t>
    </r>
    <r>
      <rPr>
        <sz val="11"/>
        <color theme="1"/>
        <rFont val="Calibri"/>
        <family val="2"/>
        <scheme val="minor"/>
      </rPr>
      <t>)</t>
    </r>
  </si>
  <si>
    <t>km</t>
  </si>
  <si>
    <t>DEGREES</t>
  </si>
  <si>
    <t>RADIANS</t>
  </si>
  <si>
    <r>
      <t>Latitude (</t>
    </r>
    <r>
      <rPr>
        <sz val="10"/>
        <rFont val="Symbol"/>
        <family val="1"/>
        <charset val="2"/>
      </rPr>
      <t>j</t>
    </r>
    <r>
      <rPr>
        <vertAlign val="subscript"/>
        <sz val="10"/>
        <rFont val="Arial"/>
        <family val="2"/>
      </rPr>
      <t>1</t>
    </r>
    <r>
      <rPr>
        <sz val="11"/>
        <color theme="1"/>
        <rFont val="Calibri"/>
        <family val="2"/>
        <scheme val="minor"/>
      </rPr>
      <t>)</t>
    </r>
  </si>
  <si>
    <r>
      <t>Longitude (</t>
    </r>
    <r>
      <rPr>
        <sz val="10"/>
        <rFont val="Symbol"/>
        <family val="1"/>
        <charset val="2"/>
      </rPr>
      <t>l</t>
    </r>
    <r>
      <rPr>
        <vertAlign val="subscript"/>
        <sz val="10"/>
        <rFont val="Arial"/>
        <family val="2"/>
      </rPr>
      <t>1</t>
    </r>
    <r>
      <rPr>
        <sz val="11"/>
        <color theme="1"/>
        <rFont val="Calibri"/>
        <family val="2"/>
        <scheme val="minor"/>
      </rPr>
      <t>)</t>
    </r>
  </si>
  <si>
    <r>
      <t>Latitude (</t>
    </r>
    <r>
      <rPr>
        <sz val="10"/>
        <rFont val="Symbol"/>
        <family val="1"/>
        <charset val="2"/>
      </rPr>
      <t>j</t>
    </r>
    <r>
      <rPr>
        <vertAlign val="subscript"/>
        <sz val="10"/>
        <rFont val="Arial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</si>
  <si>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Longitude (</t>
    </r>
    <r>
      <rPr>
        <sz val="10"/>
        <rFont val="Symbol"/>
        <family val="1"/>
        <charset val="2"/>
      </rPr>
      <t>l</t>
    </r>
    <r>
      <rPr>
        <vertAlign val="subscript"/>
        <sz val="10"/>
        <rFont val="Arial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</si>
  <si>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Semi major axis (a)</t>
  </si>
  <si>
    <t xml:space="preserve">FP to B4 </t>
  </si>
  <si>
    <t>Semi minor axis (b)</t>
  </si>
  <si>
    <t xml:space="preserve">FP to AFT </t>
  </si>
  <si>
    <t>FIX 2-3</t>
  </si>
  <si>
    <t>formula13</t>
  </si>
  <si>
    <t>formula14</t>
  </si>
  <si>
    <t>formula15</t>
  </si>
  <si>
    <t>formula16</t>
  </si>
  <si>
    <r>
      <t xml:space="preserve">tan </t>
    </r>
    <r>
      <rPr>
        <sz val="10"/>
        <rFont val="Symbol"/>
        <family val="1"/>
        <charset val="2"/>
      </rPr>
      <t>s</t>
    </r>
  </si>
  <si>
    <t>s</t>
  </si>
  <si>
    <t>FIX 3-4</t>
  </si>
  <si>
    <t>formula17</t>
  </si>
  <si>
    <t>formula18</t>
  </si>
  <si>
    <r>
      <t>u</t>
    </r>
    <r>
      <rPr>
        <vertAlign val="superscript"/>
        <sz val="11"/>
        <rFont val="Arial"/>
        <family val="2"/>
      </rPr>
      <t>2</t>
    </r>
  </si>
  <si>
    <t>formula3</t>
  </si>
  <si>
    <t>A</t>
  </si>
  <si>
    <t>formula4</t>
  </si>
  <si>
    <t>B</t>
  </si>
  <si>
    <t>formula6</t>
  </si>
  <si>
    <t>D s</t>
  </si>
  <si>
    <t>formula10</t>
  </si>
  <si>
    <t>C</t>
  </si>
  <si>
    <t>formula11modified</t>
  </si>
  <si>
    <t>FIX 4-5</t>
  </si>
  <si>
    <t>formula19</t>
  </si>
  <si>
    <t>formula20</t>
  </si>
  <si>
    <r>
      <t xml:space="preserve">tan </t>
    </r>
    <r>
      <rPr>
        <sz val="10"/>
        <rFont val="Symbol"/>
        <family val="1"/>
        <charset val="2"/>
      </rPr>
      <t>a</t>
    </r>
    <r>
      <rPr>
        <vertAlign val="subscript"/>
        <sz val="11"/>
        <rFont val="Arial"/>
        <family val="2"/>
      </rPr>
      <t>1</t>
    </r>
  </si>
  <si>
    <t>formula21</t>
  </si>
  <si>
    <r>
      <t xml:space="preserve">tan </t>
    </r>
    <r>
      <rPr>
        <sz val="10"/>
        <rFont val="Symbol"/>
        <family val="1"/>
        <charset val="2"/>
      </rPr>
      <t>a</t>
    </r>
    <r>
      <rPr>
        <vertAlign val="subscript"/>
        <sz val="11"/>
        <rFont val="Symbol"/>
        <family val="1"/>
        <charset val="2"/>
      </rPr>
      <t>2</t>
    </r>
  </si>
  <si>
    <t>Forward azimuth</t>
  </si>
  <si>
    <t>Reverse Azimuth</t>
  </si>
  <si>
    <r>
      <t>a</t>
    </r>
    <r>
      <rPr>
        <vertAlign val="subscript"/>
        <sz val="10"/>
        <rFont val="Arial"/>
        <family val="2"/>
      </rPr>
      <t xml:space="preserve">12 </t>
    </r>
    <r>
      <rPr>
        <sz val="11"/>
        <color theme="1"/>
        <rFont val="Calibri"/>
        <family val="2"/>
        <scheme val="minor"/>
      </rPr>
      <t>(radians)</t>
    </r>
  </si>
  <si>
    <r>
      <t>a</t>
    </r>
    <r>
      <rPr>
        <vertAlign val="subscript"/>
        <sz val="10"/>
        <rFont val="Arial"/>
        <family val="2"/>
      </rPr>
      <t xml:space="preserve">21 </t>
    </r>
    <r>
      <rPr>
        <sz val="11"/>
        <color theme="1"/>
        <rFont val="Calibri"/>
        <family val="2"/>
        <scheme val="minor"/>
      </rPr>
      <t>(radians)</t>
    </r>
  </si>
  <si>
    <r>
      <t>a</t>
    </r>
    <r>
      <rPr>
        <vertAlign val="subscript"/>
        <sz val="10"/>
        <rFont val="Arial"/>
        <family val="2"/>
      </rPr>
      <t xml:space="preserve">12 </t>
    </r>
    <r>
      <rPr>
        <sz val="11"/>
        <color theme="1"/>
        <rFont val="Calibri"/>
        <family val="2"/>
        <scheme val="minor"/>
      </rPr>
      <t>(degrees)</t>
    </r>
  </si>
  <si>
    <r>
      <t>a</t>
    </r>
    <r>
      <rPr>
        <vertAlign val="subscript"/>
        <sz val="10"/>
        <rFont val="Arial"/>
        <family val="2"/>
      </rPr>
      <t>21</t>
    </r>
    <r>
      <rPr>
        <sz val="11"/>
        <color theme="1"/>
        <rFont val="Calibri"/>
        <family val="2"/>
        <scheme val="minor"/>
      </rPr>
      <t xml:space="preserve"> (degrees)</t>
    </r>
  </si>
  <si>
    <t>Critical case tests</t>
  </si>
  <si>
    <t>Same Point</t>
  </si>
  <si>
    <t>North south meridian</t>
  </si>
  <si>
    <t>South North meridian</t>
  </si>
  <si>
    <t>Free Straight Distance</t>
  </si>
  <si>
    <t>Free Out &amp; Return Distance</t>
  </si>
  <si>
    <t>Free 3-Turn Point Distance</t>
  </si>
  <si>
    <t>Free Triangle 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</si>
</sst>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indexed="8"/>
      <name val="Arial"/>
      <family val="2"/>
    </font>
    <font>
      <b/>
      <sz val="10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vertAlign val="subscript"/>
      <sz val="10"/>
      <color indexed="16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bscript"/>
      <sz val="11"/>
      <name val="Arial"/>
      <family val="2"/>
    </font>
    <font>
      <b/>
      <sz val="12"/>
      <name val="Arial"/>
      <family val="2"/>
    </font>
    <font>
      <vertAlign val="subscript"/>
      <sz val="10"/>
      <name val="Arial"/>
      <family val="2"/>
    </font>
    <font>
      <vertAlign val="superscript"/>
      <sz val="11"/>
      <name val="Arial"/>
      <family val="2"/>
    </font>
    <font>
      <sz val="9"/>
      <name val="Symbol"/>
      <family val="1"/>
      <charset val="2"/>
    </font>
    <font>
      <vertAlign val="subscript"/>
      <sz val="11"/>
      <name val="Symbol"/>
      <family val="1"/>
      <charset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37">
    <xf numFmtId="0" fontId="0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4">
    <xf numFmtId="0" fontId="0" fillId="0" borderId="0" xfId="0"/>
    <xf numFmtId="0" fontId="2" fillId="0" borderId="0" xfId="1" applyNumberFormat="1" applyBorder="1"/>
    <xf numFmtId="0" fontId="3" fillId="0" borderId="0" xfId="1" applyNumberFormat="1" applyFont="1" applyBorder="1" applyAlignment="1">
      <alignment horizontal="center" vertical="center"/>
    </xf>
    <xf numFmtId="0" fontId="4" fillId="0" borderId="1" xfId="1" applyNumberFormat="1" applyFont="1" applyBorder="1" applyAlignment="1">
      <alignment vertical="center"/>
    </xf>
    <xf numFmtId="0" fontId="2" fillId="0" borderId="0" xfId="1" applyNumberFormat="1"/>
    <xf numFmtId="0" fontId="2" fillId="0" borderId="0" xfId="1" applyNumberFormat="1" applyFill="1"/>
    <xf numFmtId="0" fontId="5" fillId="2" borderId="2" xfId="1" applyNumberFormat="1" applyFont="1" applyFill="1" applyBorder="1" applyAlignment="1">
      <alignment horizontal="right"/>
    </xf>
    <xf numFmtId="0" fontId="5" fillId="3" borderId="3" xfId="1" applyNumberFormat="1" applyFont="1" applyFill="1" applyBorder="1"/>
    <xf numFmtId="0" fontId="5" fillId="2" borderId="3" xfId="1" applyNumberFormat="1" applyFont="1" applyFill="1" applyBorder="1"/>
    <xf numFmtId="0" fontId="5" fillId="2" borderId="4" xfId="1" applyNumberFormat="1" applyFont="1" applyFill="1" applyBorder="1" applyAlignment="1">
      <alignment horizontal="left"/>
    </xf>
    <xf numFmtId="0" fontId="5" fillId="2" borderId="5" xfId="1" applyNumberFormat="1" applyFont="1" applyFill="1" applyBorder="1" applyAlignment="1">
      <alignment horizontal="right"/>
    </xf>
    <xf numFmtId="0" fontId="5" fillId="2" borderId="1" xfId="1" applyNumberFormat="1" applyFont="1" applyFill="1" applyBorder="1"/>
    <xf numFmtId="0" fontId="5" fillId="2" borderId="6" xfId="1" applyNumberFormat="1" applyFont="1" applyFill="1" applyBorder="1" applyAlignment="1">
      <alignment horizontal="left"/>
    </xf>
    <xf numFmtId="0" fontId="2" fillId="0" borderId="0" xfId="1" applyNumberFormat="1" applyFont="1" applyFill="1" applyBorder="1" applyAlignment="1" applyProtection="1"/>
    <xf numFmtId="0" fontId="2" fillId="0" borderId="0" xfId="1" applyNumberFormat="1" applyFill="1" applyBorder="1"/>
    <xf numFmtId="0" fontId="8" fillId="0" borderId="0" xfId="1" applyNumberFormat="1" applyFont="1" applyFill="1" applyBorder="1" applyAlignment="1" applyProtection="1"/>
    <xf numFmtId="0" fontId="2" fillId="4" borderId="0" xfId="1" applyNumberFormat="1" applyFont="1" applyFill="1" applyBorder="1" applyAlignment="1" applyProtection="1"/>
    <xf numFmtId="0" fontId="4" fillId="0" borderId="0" xfId="1" applyNumberFormat="1" applyFont="1" applyFill="1" applyBorder="1" applyAlignment="1" applyProtection="1"/>
    <xf numFmtId="0" fontId="2" fillId="0" borderId="0" xfId="1" applyNumberFormat="1" applyFont="1" applyFill="1" applyBorder="1"/>
    <xf numFmtId="0" fontId="2" fillId="0" borderId="0" xfId="1" applyNumberFormat="1" applyFont="1"/>
    <xf numFmtId="0" fontId="11" fillId="0" borderId="0" xfId="1" applyNumberFormat="1" applyFont="1" applyBorder="1" applyAlignment="1">
      <alignment horizontal="center" vertical="center"/>
    </xf>
    <xf numFmtId="0" fontId="2" fillId="5" borderId="0" xfId="1" applyNumberFormat="1" applyFont="1" applyFill="1" applyAlignment="1">
      <alignment horizontal="center"/>
    </xf>
    <xf numFmtId="0" fontId="2" fillId="5" borderId="0" xfId="1" applyNumberFormat="1" applyFill="1" applyAlignment="1">
      <alignment horizontal="center"/>
    </xf>
    <xf numFmtId="0" fontId="2" fillId="5" borderId="2" xfId="1" applyNumberFormat="1" applyFont="1" applyFill="1" applyBorder="1" applyAlignment="1">
      <alignment horizontal="right"/>
    </xf>
    <xf numFmtId="0" fontId="2" fillId="5" borderId="3" xfId="1" applyNumberFormat="1" applyFill="1" applyBorder="1"/>
    <xf numFmtId="0" fontId="2" fillId="5" borderId="4" xfId="1" applyNumberFormat="1" applyFill="1" applyBorder="1"/>
    <xf numFmtId="0" fontId="2" fillId="5" borderId="7" xfId="1" applyNumberFormat="1" applyFont="1" applyFill="1" applyBorder="1" applyAlignment="1">
      <alignment horizontal="right"/>
    </xf>
    <xf numFmtId="0" fontId="2" fillId="5" borderId="0" xfId="1" applyNumberFormat="1" applyFill="1" applyBorder="1"/>
    <xf numFmtId="0" fontId="2" fillId="5" borderId="8" xfId="1" applyNumberFormat="1" applyFill="1" applyBorder="1"/>
    <xf numFmtId="0" fontId="2" fillId="5" borderId="5" xfId="1" applyNumberFormat="1" applyFont="1" applyFill="1" applyBorder="1" applyAlignment="1">
      <alignment horizontal="right"/>
    </xf>
    <xf numFmtId="0" fontId="2" fillId="5" borderId="1" xfId="1" applyNumberFormat="1" applyFill="1" applyBorder="1"/>
    <xf numFmtId="0" fontId="2" fillId="6" borderId="1" xfId="1" applyNumberFormat="1" applyFill="1" applyBorder="1" applyAlignment="1">
      <alignment vertical="center"/>
    </xf>
    <xf numFmtId="0" fontId="2" fillId="5" borderId="6" xfId="1" applyNumberFormat="1" applyFont="1" applyFill="1" applyBorder="1"/>
    <xf numFmtId="0" fontId="2" fillId="0" borderId="0" xfId="1" applyNumberFormat="1" applyFont="1" applyFill="1" applyBorder="1" applyAlignment="1">
      <alignment horizontal="right"/>
    </xf>
    <xf numFmtId="0" fontId="11" fillId="0" borderId="0" xfId="1" applyNumberFormat="1" applyFont="1" applyAlignment="1">
      <alignment horizontal="center"/>
    </xf>
    <xf numFmtId="0" fontId="2" fillId="0" borderId="0" xfId="1" applyNumberFormat="1" applyAlignment="1">
      <alignment horizontal="center"/>
    </xf>
    <xf numFmtId="0" fontId="2" fillId="0" borderId="9" xfId="1" applyNumberFormat="1" applyBorder="1"/>
    <xf numFmtId="0" fontId="2" fillId="0" borderId="10" xfId="1" applyNumberFormat="1" applyBorder="1"/>
    <xf numFmtId="0" fontId="2" fillId="0" borderId="11" xfId="1" applyNumberFormat="1" applyBorder="1"/>
    <xf numFmtId="0" fontId="2" fillId="0" borderId="0" xfId="1" applyNumberFormat="1" applyFont="1" applyBorder="1"/>
    <xf numFmtId="0" fontId="4" fillId="0" borderId="0" xfId="1" applyNumberFormat="1" applyFont="1" applyFill="1" applyBorder="1" applyAlignment="1" applyProtection="1">
      <alignment horizontal="left"/>
    </xf>
    <xf numFmtId="0" fontId="2" fillId="0" borderId="0" xfId="1" applyNumberFormat="1" applyFont="1" applyFill="1" applyAlignment="1">
      <alignment horizontal="center" vertical="center"/>
    </xf>
    <xf numFmtId="0" fontId="4" fillId="0" borderId="0" xfId="1" applyNumberFormat="1" applyFont="1" applyBorder="1"/>
    <xf numFmtId="0" fontId="2" fillId="0" borderId="0" xfId="1" applyNumberFormat="1" applyFont="1" applyAlignment="1">
      <alignment horizontal="center"/>
    </xf>
    <xf numFmtId="0" fontId="2" fillId="0" borderId="0" xfId="1" applyNumberFormat="1" applyFont="1" applyFill="1" applyAlignment="1">
      <alignment horizontal="center"/>
    </xf>
    <xf numFmtId="0" fontId="14" fillId="0" borderId="0" xfId="1" applyNumberFormat="1" applyFont="1" applyFill="1" applyBorder="1" applyAlignment="1" applyProtection="1"/>
    <xf numFmtId="0" fontId="4" fillId="0" borderId="0" xfId="1" applyNumberFormat="1" applyFont="1" applyFill="1" applyBorder="1" applyAlignment="1" applyProtection="1">
      <alignment horizontal="centerContinuous"/>
    </xf>
    <xf numFmtId="0" fontId="8" fillId="0" borderId="0" xfId="1" applyNumberFormat="1" applyFont="1" applyFill="1" applyBorder="1" applyAlignment="1" applyProtection="1">
      <alignment horizontal="left"/>
    </xf>
    <xf numFmtId="0" fontId="4" fillId="0" borderId="0" xfId="1" applyNumberFormat="1" applyFont="1" applyBorder="1" applyAlignment="1">
      <alignment horizontal="centerContinuous"/>
    </xf>
    <xf numFmtId="0" fontId="2" fillId="0" borderId="0" xfId="1"/>
    <xf numFmtId="0" fontId="16" fillId="0" borderId="0" xfId="0" applyFont="1"/>
    <xf numFmtId="0" fontId="2" fillId="0" borderId="0" xfId="1" applyNumberFormat="1" applyFont="1" applyAlignment="1">
      <alignment horizontal="center" vertical="center"/>
    </xf>
    <xf numFmtId="0" fontId="2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</cellXfs>
  <cellStyles count="4237">
    <cellStyle name="Normal" xfId="0" builtinId="0"/>
    <cellStyle name="Normal 10" xfId="2"/>
    <cellStyle name="Normal 10 2" xfId="3"/>
    <cellStyle name="Normal 10 2 2" xfId="4"/>
    <cellStyle name="Normal 10 2 2 2" xfId="5"/>
    <cellStyle name="Normal 10 2 2 3" xfId="6"/>
    <cellStyle name="Normal 10 2 2 4" xfId="7"/>
    <cellStyle name="Normal 10 2 2 5" xfId="8"/>
    <cellStyle name="Normal 10 2 2 6" xfId="9"/>
    <cellStyle name="Normal 10 2 3" xfId="10"/>
    <cellStyle name="Normal 10 2 4" xfId="11"/>
    <cellStyle name="Normal 10 2 5" xfId="12"/>
    <cellStyle name="Normal 10 2 6" xfId="13"/>
    <cellStyle name="Normal 10 2 7" xfId="14"/>
    <cellStyle name="Normal 10 3" xfId="15"/>
    <cellStyle name="Normal 10 3 2" xfId="16"/>
    <cellStyle name="Normal 10 3 3" xfId="17"/>
    <cellStyle name="Normal 10 3 4" xfId="18"/>
    <cellStyle name="Normal 10 3 5" xfId="19"/>
    <cellStyle name="Normal 10 3 6" xfId="20"/>
    <cellStyle name="Normal 10 4" xfId="21"/>
    <cellStyle name="Normal 10 5" xfId="22"/>
    <cellStyle name="Normal 10 6" xfId="23"/>
    <cellStyle name="Normal 10 7" xfId="24"/>
    <cellStyle name="Normal 10 8" xfId="25"/>
    <cellStyle name="Normal 100" xfId="26"/>
    <cellStyle name="Normal 100 2" xfId="27"/>
    <cellStyle name="Normal 100 2 2" xfId="28"/>
    <cellStyle name="Normal 100 2 3" xfId="29"/>
    <cellStyle name="Normal 100 2 4" xfId="30"/>
    <cellStyle name="Normal 100 2 5" xfId="31"/>
    <cellStyle name="Normal 100 2 6" xfId="32"/>
    <cellStyle name="Normal 100 3" xfId="33"/>
    <cellStyle name="Normal 100 4" xfId="34"/>
    <cellStyle name="Normal 100 5" xfId="35"/>
    <cellStyle name="Normal 100 6" xfId="36"/>
    <cellStyle name="Normal 100 7" xfId="37"/>
    <cellStyle name="Normal 101" xfId="38"/>
    <cellStyle name="Normal 101 2" xfId="39"/>
    <cellStyle name="Normal 101 2 2" xfId="40"/>
    <cellStyle name="Normal 101 2 3" xfId="41"/>
    <cellStyle name="Normal 101 2 4" xfId="42"/>
    <cellStyle name="Normal 101 2 5" xfId="43"/>
    <cellStyle name="Normal 101 2 6" xfId="44"/>
    <cellStyle name="Normal 101 3" xfId="45"/>
    <cellStyle name="Normal 101 4" xfId="46"/>
    <cellStyle name="Normal 101 5" xfId="47"/>
    <cellStyle name="Normal 101 6" xfId="48"/>
    <cellStyle name="Normal 101 7" xfId="49"/>
    <cellStyle name="Normal 102" xfId="50"/>
    <cellStyle name="Normal 102 2" xfId="51"/>
    <cellStyle name="Normal 102 2 2" xfId="52"/>
    <cellStyle name="Normal 102 2 3" xfId="53"/>
    <cellStyle name="Normal 102 2 4" xfId="54"/>
    <cellStyle name="Normal 102 2 5" xfId="55"/>
    <cellStyle name="Normal 102 2 6" xfId="56"/>
    <cellStyle name="Normal 102 3" xfId="57"/>
    <cellStyle name="Normal 102 4" xfId="58"/>
    <cellStyle name="Normal 102 5" xfId="59"/>
    <cellStyle name="Normal 102 6" xfId="60"/>
    <cellStyle name="Normal 102 7" xfId="61"/>
    <cellStyle name="Normal 103" xfId="62"/>
    <cellStyle name="Normal 103 2" xfId="63"/>
    <cellStyle name="Normal 103 2 2" xfId="64"/>
    <cellStyle name="Normal 103 2 3" xfId="65"/>
    <cellStyle name="Normal 103 2 4" xfId="66"/>
    <cellStyle name="Normal 103 2 5" xfId="67"/>
    <cellStyle name="Normal 103 2 6" xfId="68"/>
    <cellStyle name="Normal 103 3" xfId="69"/>
    <cellStyle name="Normal 103 4" xfId="70"/>
    <cellStyle name="Normal 103 5" xfId="71"/>
    <cellStyle name="Normal 103 6" xfId="72"/>
    <cellStyle name="Normal 103 7" xfId="73"/>
    <cellStyle name="Normal 104" xfId="74"/>
    <cellStyle name="Normal 104 2" xfId="75"/>
    <cellStyle name="Normal 104 2 2" xfId="76"/>
    <cellStyle name="Normal 104 2 3" xfId="77"/>
    <cellStyle name="Normal 104 2 4" xfId="78"/>
    <cellStyle name="Normal 104 2 5" xfId="79"/>
    <cellStyle name="Normal 104 2 6" xfId="80"/>
    <cellStyle name="Normal 104 3" xfId="81"/>
    <cellStyle name="Normal 104 4" xfId="82"/>
    <cellStyle name="Normal 104 5" xfId="83"/>
    <cellStyle name="Normal 104 6" xfId="84"/>
    <cellStyle name="Normal 104 7" xfId="85"/>
    <cellStyle name="Normal 105" xfId="86"/>
    <cellStyle name="Normal 105 2" xfId="87"/>
    <cellStyle name="Normal 105 2 2" xfId="88"/>
    <cellStyle name="Normal 105 2 3" xfId="89"/>
    <cellStyle name="Normal 105 2 4" xfId="90"/>
    <cellStyle name="Normal 105 2 5" xfId="91"/>
    <cellStyle name="Normal 105 2 6" xfId="92"/>
    <cellStyle name="Normal 105 3" xfId="93"/>
    <cellStyle name="Normal 105 4" xfId="94"/>
    <cellStyle name="Normal 105 5" xfId="95"/>
    <cellStyle name="Normal 105 6" xfId="96"/>
    <cellStyle name="Normal 105 7" xfId="97"/>
    <cellStyle name="Normal 106" xfId="98"/>
    <cellStyle name="Normal 106 2" xfId="99"/>
    <cellStyle name="Normal 106 2 2" xfId="100"/>
    <cellStyle name="Normal 106 2 3" xfId="101"/>
    <cellStyle name="Normal 106 2 4" xfId="102"/>
    <cellStyle name="Normal 106 2 5" xfId="103"/>
    <cellStyle name="Normal 106 2 6" xfId="104"/>
    <cellStyle name="Normal 106 3" xfId="105"/>
    <cellStyle name="Normal 106 4" xfId="106"/>
    <cellStyle name="Normal 106 5" xfId="107"/>
    <cellStyle name="Normal 106 6" xfId="108"/>
    <cellStyle name="Normal 106 7" xfId="109"/>
    <cellStyle name="Normal 107" xfId="110"/>
    <cellStyle name="Normal 107 2" xfId="111"/>
    <cellStyle name="Normal 107 3" xfId="112"/>
    <cellStyle name="Normal 107 4" xfId="113"/>
    <cellStyle name="Normal 107 5" xfId="114"/>
    <cellStyle name="Normal 107 6" xfId="115"/>
    <cellStyle name="Normal 108" xfId="116"/>
    <cellStyle name="Normal 108 2" xfId="117"/>
    <cellStyle name="Normal 108 3" xfId="118"/>
    <cellStyle name="Normal 108 4" xfId="119"/>
    <cellStyle name="Normal 108 5" xfId="120"/>
    <cellStyle name="Normal 108 6" xfId="121"/>
    <cellStyle name="Normal 109" xfId="122"/>
    <cellStyle name="Normal 109 2" xfId="123"/>
    <cellStyle name="Normal 109 3" xfId="124"/>
    <cellStyle name="Normal 109 4" xfId="125"/>
    <cellStyle name="Normal 109 5" xfId="126"/>
    <cellStyle name="Normal 109 6" xfId="127"/>
    <cellStyle name="Normal 11" xfId="128"/>
    <cellStyle name="Normal 11 2" xfId="129"/>
    <cellStyle name="Normal 11 2 2" xfId="130"/>
    <cellStyle name="Normal 11 2 2 2" xfId="131"/>
    <cellStyle name="Normal 11 2 2 3" xfId="132"/>
    <cellStyle name="Normal 11 2 2 4" xfId="133"/>
    <cellStyle name="Normal 11 2 2 5" xfId="134"/>
    <cellStyle name="Normal 11 2 2 6" xfId="135"/>
    <cellStyle name="Normal 11 2 3" xfId="136"/>
    <cellStyle name="Normal 11 2 4" xfId="137"/>
    <cellStyle name="Normal 11 2 5" xfId="138"/>
    <cellStyle name="Normal 11 2 6" xfId="139"/>
    <cellStyle name="Normal 11 2 7" xfId="140"/>
    <cellStyle name="Normal 11 3" xfId="141"/>
    <cellStyle name="Normal 11 3 2" xfId="142"/>
    <cellStyle name="Normal 11 3 3" xfId="143"/>
    <cellStyle name="Normal 11 3 4" xfId="144"/>
    <cellStyle name="Normal 11 3 5" xfId="145"/>
    <cellStyle name="Normal 11 3 6" xfId="146"/>
    <cellStyle name="Normal 11 4" xfId="147"/>
    <cellStyle name="Normal 11 5" xfId="148"/>
    <cellStyle name="Normal 11 6" xfId="149"/>
    <cellStyle name="Normal 11 7" xfId="150"/>
    <cellStyle name="Normal 11 8" xfId="151"/>
    <cellStyle name="Normal 110" xfId="152"/>
    <cellStyle name="Normal 12" xfId="153"/>
    <cellStyle name="Normal 12 2" xfId="154"/>
    <cellStyle name="Normal 12 2 2" xfId="155"/>
    <cellStyle name="Normal 12 2 2 2" xfId="156"/>
    <cellStyle name="Normal 12 2 2 3" xfId="157"/>
    <cellStyle name="Normal 12 2 2 4" xfId="158"/>
    <cellStyle name="Normal 12 2 2 5" xfId="159"/>
    <cellStyle name="Normal 12 2 2 6" xfId="160"/>
    <cellStyle name="Normal 12 2 3" xfId="161"/>
    <cellStyle name="Normal 12 2 4" xfId="162"/>
    <cellStyle name="Normal 12 2 5" xfId="163"/>
    <cellStyle name="Normal 12 2 6" xfId="164"/>
    <cellStyle name="Normal 12 2 7" xfId="165"/>
    <cellStyle name="Normal 12 3" xfId="166"/>
    <cellStyle name="Normal 12 3 2" xfId="167"/>
    <cellStyle name="Normal 12 3 3" xfId="168"/>
    <cellStyle name="Normal 12 3 4" xfId="169"/>
    <cellStyle name="Normal 12 3 5" xfId="170"/>
    <cellStyle name="Normal 12 3 6" xfId="171"/>
    <cellStyle name="Normal 12 4" xfId="172"/>
    <cellStyle name="Normal 12 5" xfId="173"/>
    <cellStyle name="Normal 12 6" xfId="174"/>
    <cellStyle name="Normal 12 7" xfId="175"/>
    <cellStyle name="Normal 12 8" xfId="176"/>
    <cellStyle name="Normal 13" xfId="177"/>
    <cellStyle name="Normal 13 2" xfId="178"/>
    <cellStyle name="Normal 13 2 2" xfId="179"/>
    <cellStyle name="Normal 13 2 2 2" xfId="180"/>
    <cellStyle name="Normal 13 2 2 3" xfId="181"/>
    <cellStyle name="Normal 13 2 2 4" xfId="182"/>
    <cellStyle name="Normal 13 2 2 5" xfId="183"/>
    <cellStyle name="Normal 13 2 2 6" xfId="184"/>
    <cellStyle name="Normal 13 2 3" xfId="185"/>
    <cellStyle name="Normal 13 2 4" xfId="186"/>
    <cellStyle name="Normal 13 2 5" xfId="187"/>
    <cellStyle name="Normal 13 2 6" xfId="188"/>
    <cellStyle name="Normal 13 2 7" xfId="189"/>
    <cellStyle name="Normal 13 3" xfId="190"/>
    <cellStyle name="Normal 13 3 2" xfId="191"/>
    <cellStyle name="Normal 13 3 3" xfId="192"/>
    <cellStyle name="Normal 13 3 4" xfId="193"/>
    <cellStyle name="Normal 13 3 5" xfId="194"/>
    <cellStyle name="Normal 13 3 6" xfId="195"/>
    <cellStyle name="Normal 13 4" xfId="196"/>
    <cellStyle name="Normal 13 5" xfId="197"/>
    <cellStyle name="Normal 13 6" xfId="198"/>
    <cellStyle name="Normal 13 7" xfId="199"/>
    <cellStyle name="Normal 13 8" xfId="200"/>
    <cellStyle name="Normal 14" xfId="201"/>
    <cellStyle name="Normal 14 2" xfId="202"/>
    <cellStyle name="Normal 14 2 2" xfId="203"/>
    <cellStyle name="Normal 14 2 2 2" xfId="204"/>
    <cellStyle name="Normal 14 2 2 3" xfId="205"/>
    <cellStyle name="Normal 14 2 2 4" xfId="206"/>
    <cellStyle name="Normal 14 2 2 5" xfId="207"/>
    <cellStyle name="Normal 14 2 2 6" xfId="208"/>
    <cellStyle name="Normal 14 2 3" xfId="209"/>
    <cellStyle name="Normal 14 2 4" xfId="210"/>
    <cellStyle name="Normal 14 2 5" xfId="211"/>
    <cellStyle name="Normal 14 2 6" xfId="212"/>
    <cellStyle name="Normal 14 2 7" xfId="213"/>
    <cellStyle name="Normal 14 3" xfId="214"/>
    <cellStyle name="Normal 14 3 2" xfId="215"/>
    <cellStyle name="Normal 14 3 3" xfId="216"/>
    <cellStyle name="Normal 14 3 4" xfId="217"/>
    <cellStyle name="Normal 14 3 5" xfId="218"/>
    <cellStyle name="Normal 14 3 6" xfId="219"/>
    <cellStyle name="Normal 14 4" xfId="220"/>
    <cellStyle name="Normal 14 5" xfId="221"/>
    <cellStyle name="Normal 14 6" xfId="222"/>
    <cellStyle name="Normal 14 7" xfId="223"/>
    <cellStyle name="Normal 14 8" xfId="224"/>
    <cellStyle name="Normal 15" xfId="225"/>
    <cellStyle name="Normal 15 2" xfId="226"/>
    <cellStyle name="Normal 15 2 2" xfId="227"/>
    <cellStyle name="Normal 15 2 2 2" xfId="228"/>
    <cellStyle name="Normal 15 2 2 3" xfId="229"/>
    <cellStyle name="Normal 15 2 2 4" xfId="230"/>
    <cellStyle name="Normal 15 2 2 5" xfId="231"/>
    <cellStyle name="Normal 15 2 2 6" xfId="232"/>
    <cellStyle name="Normal 15 2 3" xfId="233"/>
    <cellStyle name="Normal 15 2 4" xfId="234"/>
    <cellStyle name="Normal 15 2 5" xfId="235"/>
    <cellStyle name="Normal 15 2 6" xfId="236"/>
    <cellStyle name="Normal 15 2 7" xfId="237"/>
    <cellStyle name="Normal 15 3" xfId="238"/>
    <cellStyle name="Normal 15 3 2" xfId="239"/>
    <cellStyle name="Normal 15 3 3" xfId="240"/>
    <cellStyle name="Normal 15 3 4" xfId="241"/>
    <cellStyle name="Normal 15 3 5" xfId="242"/>
    <cellStyle name="Normal 15 3 6" xfId="243"/>
    <cellStyle name="Normal 15 4" xfId="244"/>
    <cellStyle name="Normal 15 5" xfId="245"/>
    <cellStyle name="Normal 15 6" xfId="246"/>
    <cellStyle name="Normal 15 7" xfId="247"/>
    <cellStyle name="Normal 15 8" xfId="248"/>
    <cellStyle name="Normal 16" xfId="249"/>
    <cellStyle name="Normal 16 2" xfId="250"/>
    <cellStyle name="Normal 16 2 2" xfId="251"/>
    <cellStyle name="Normal 16 2 2 2" xfId="252"/>
    <cellStyle name="Normal 16 2 2 3" xfId="253"/>
    <cellStyle name="Normal 16 2 2 4" xfId="254"/>
    <cellStyle name="Normal 16 2 2 5" xfId="255"/>
    <cellStyle name="Normal 16 2 2 6" xfId="256"/>
    <cellStyle name="Normal 16 2 3" xfId="257"/>
    <cellStyle name="Normal 16 2 4" xfId="258"/>
    <cellStyle name="Normal 16 2 5" xfId="259"/>
    <cellStyle name="Normal 16 2 6" xfId="260"/>
    <cellStyle name="Normal 16 2 7" xfId="261"/>
    <cellStyle name="Normal 16 3" xfId="262"/>
    <cellStyle name="Normal 16 3 2" xfId="263"/>
    <cellStyle name="Normal 16 3 3" xfId="264"/>
    <cellStyle name="Normal 16 3 4" xfId="265"/>
    <cellStyle name="Normal 16 3 5" xfId="266"/>
    <cellStyle name="Normal 16 3 6" xfId="267"/>
    <cellStyle name="Normal 16 4" xfId="268"/>
    <cellStyle name="Normal 16 5" xfId="269"/>
    <cellStyle name="Normal 16 6" xfId="270"/>
    <cellStyle name="Normal 16 7" xfId="271"/>
    <cellStyle name="Normal 16 8" xfId="272"/>
    <cellStyle name="Normal 17" xfId="273"/>
    <cellStyle name="Normal 17 2" xfId="274"/>
    <cellStyle name="Normal 17 2 2" xfId="275"/>
    <cellStyle name="Normal 17 2 2 2" xfId="276"/>
    <cellStyle name="Normal 17 2 2 3" xfId="277"/>
    <cellStyle name="Normal 17 2 2 4" xfId="278"/>
    <cellStyle name="Normal 17 2 2 5" xfId="279"/>
    <cellStyle name="Normal 17 2 2 6" xfId="280"/>
    <cellStyle name="Normal 17 2 3" xfId="281"/>
    <cellStyle name="Normal 17 2 4" xfId="282"/>
    <cellStyle name="Normal 17 2 5" xfId="283"/>
    <cellStyle name="Normal 17 2 6" xfId="284"/>
    <cellStyle name="Normal 17 2 7" xfId="285"/>
    <cellStyle name="Normal 17 3" xfId="286"/>
    <cellStyle name="Normal 17 3 2" xfId="287"/>
    <cellStyle name="Normal 17 3 3" xfId="288"/>
    <cellStyle name="Normal 17 3 4" xfId="289"/>
    <cellStyle name="Normal 17 3 5" xfId="290"/>
    <cellStyle name="Normal 17 3 6" xfId="291"/>
    <cellStyle name="Normal 17 4" xfId="292"/>
    <cellStyle name="Normal 17 5" xfId="293"/>
    <cellStyle name="Normal 17 6" xfId="294"/>
    <cellStyle name="Normal 17 7" xfId="295"/>
    <cellStyle name="Normal 17 8" xfId="296"/>
    <cellStyle name="Normal 18" xfId="297"/>
    <cellStyle name="Normal 18 2" xfId="298"/>
    <cellStyle name="Normal 18 2 2" xfId="299"/>
    <cellStyle name="Normal 18 2 2 2" xfId="300"/>
    <cellStyle name="Normal 18 2 2 3" xfId="301"/>
    <cellStyle name="Normal 18 2 2 4" xfId="302"/>
    <cellStyle name="Normal 18 2 2 5" xfId="303"/>
    <cellStyle name="Normal 18 2 2 6" xfId="304"/>
    <cellStyle name="Normal 18 2 3" xfId="305"/>
    <cellStyle name="Normal 18 2 4" xfId="306"/>
    <cellStyle name="Normal 18 2 5" xfId="307"/>
    <cellStyle name="Normal 18 2 6" xfId="308"/>
    <cellStyle name="Normal 18 2 7" xfId="309"/>
    <cellStyle name="Normal 18 3" xfId="310"/>
    <cellStyle name="Normal 18 3 2" xfId="311"/>
    <cellStyle name="Normal 18 3 3" xfId="312"/>
    <cellStyle name="Normal 18 3 4" xfId="313"/>
    <cellStyle name="Normal 18 3 5" xfId="314"/>
    <cellStyle name="Normal 18 3 6" xfId="315"/>
    <cellStyle name="Normal 18 4" xfId="316"/>
    <cellStyle name="Normal 18 5" xfId="317"/>
    <cellStyle name="Normal 18 6" xfId="318"/>
    <cellStyle name="Normal 18 7" xfId="319"/>
    <cellStyle name="Normal 18 8" xfId="320"/>
    <cellStyle name="Normal 19" xfId="321"/>
    <cellStyle name="Normal 19 2" xfId="322"/>
    <cellStyle name="Normal 19 2 2" xfId="323"/>
    <cellStyle name="Normal 19 2 2 2" xfId="324"/>
    <cellStyle name="Normal 19 2 2 3" xfId="325"/>
    <cellStyle name="Normal 19 2 2 4" xfId="326"/>
    <cellStyle name="Normal 19 2 2 5" xfId="327"/>
    <cellStyle name="Normal 19 2 2 6" xfId="328"/>
    <cellStyle name="Normal 19 2 3" xfId="329"/>
    <cellStyle name="Normal 19 2 4" xfId="330"/>
    <cellStyle name="Normal 19 2 5" xfId="331"/>
    <cellStyle name="Normal 19 2 6" xfId="332"/>
    <cellStyle name="Normal 19 2 7" xfId="333"/>
    <cellStyle name="Normal 19 3" xfId="334"/>
    <cellStyle name="Normal 19 3 2" xfId="335"/>
    <cellStyle name="Normal 19 3 3" xfId="336"/>
    <cellStyle name="Normal 19 3 4" xfId="337"/>
    <cellStyle name="Normal 19 3 5" xfId="338"/>
    <cellStyle name="Normal 19 3 6" xfId="339"/>
    <cellStyle name="Normal 19 4" xfId="340"/>
    <cellStyle name="Normal 19 5" xfId="341"/>
    <cellStyle name="Normal 19 6" xfId="342"/>
    <cellStyle name="Normal 19 7" xfId="343"/>
    <cellStyle name="Normal 19 8" xfId="344"/>
    <cellStyle name="Normal 2" xfId="1"/>
    <cellStyle name="Normal 2 2" xfId="345"/>
    <cellStyle name="Normal 20" xfId="346"/>
    <cellStyle name="Normal 20 2" xfId="347"/>
    <cellStyle name="Normal 20 2 2" xfId="348"/>
    <cellStyle name="Normal 20 2 2 2" xfId="349"/>
    <cellStyle name="Normal 20 2 2 3" xfId="350"/>
    <cellStyle name="Normal 20 2 2 4" xfId="351"/>
    <cellStyle name="Normal 20 2 2 5" xfId="352"/>
    <cellStyle name="Normal 20 2 2 6" xfId="353"/>
    <cellStyle name="Normal 20 2 3" xfId="354"/>
    <cellStyle name="Normal 20 2 4" xfId="355"/>
    <cellStyle name="Normal 20 2 5" xfId="356"/>
    <cellStyle name="Normal 20 2 6" xfId="357"/>
    <cellStyle name="Normal 20 2 7" xfId="358"/>
    <cellStyle name="Normal 20 3" xfId="359"/>
    <cellStyle name="Normal 20 3 2" xfId="360"/>
    <cellStyle name="Normal 20 3 3" xfId="361"/>
    <cellStyle name="Normal 20 3 4" xfId="362"/>
    <cellStyle name="Normal 20 3 5" xfId="363"/>
    <cellStyle name="Normal 20 3 6" xfId="364"/>
    <cellStyle name="Normal 20 4" xfId="365"/>
    <cellStyle name="Normal 20 5" xfId="366"/>
    <cellStyle name="Normal 20 6" xfId="367"/>
    <cellStyle name="Normal 20 7" xfId="368"/>
    <cellStyle name="Normal 20 8" xfId="369"/>
    <cellStyle name="Normal 21" xfId="370"/>
    <cellStyle name="Normal 21 2" xfId="371"/>
    <cellStyle name="Normal 21 2 2" xfId="372"/>
    <cellStyle name="Normal 21 2 2 2" xfId="373"/>
    <cellStyle name="Normal 21 2 2 3" xfId="374"/>
    <cellStyle name="Normal 21 2 2 4" xfId="375"/>
    <cellStyle name="Normal 21 2 2 5" xfId="376"/>
    <cellStyle name="Normal 21 2 2 6" xfId="377"/>
    <cellStyle name="Normal 21 2 3" xfId="378"/>
    <cellStyle name="Normal 21 2 4" xfId="379"/>
    <cellStyle name="Normal 21 2 5" xfId="380"/>
    <cellStyle name="Normal 21 2 6" xfId="381"/>
    <cellStyle name="Normal 21 2 7" xfId="382"/>
    <cellStyle name="Normal 21 3" xfId="383"/>
    <cellStyle name="Normal 21 3 2" xfId="384"/>
    <cellStyle name="Normal 21 3 3" xfId="385"/>
    <cellStyle name="Normal 21 3 4" xfId="386"/>
    <cellStyle name="Normal 21 3 5" xfId="387"/>
    <cellStyle name="Normal 21 3 6" xfId="388"/>
    <cellStyle name="Normal 21 4" xfId="389"/>
    <cellStyle name="Normal 21 5" xfId="390"/>
    <cellStyle name="Normal 21 6" xfId="391"/>
    <cellStyle name="Normal 21 7" xfId="392"/>
    <cellStyle name="Normal 21 8" xfId="393"/>
    <cellStyle name="Normal 22" xfId="394"/>
    <cellStyle name="Normal 22 2" xfId="395"/>
    <cellStyle name="Normal 22 2 2" xfId="396"/>
    <cellStyle name="Normal 22 2 2 2" xfId="397"/>
    <cellStyle name="Normal 22 2 2 3" xfId="398"/>
    <cellStyle name="Normal 22 2 2 4" xfId="399"/>
    <cellStyle name="Normal 22 2 2 5" xfId="400"/>
    <cellStyle name="Normal 22 2 2 6" xfId="401"/>
    <cellStyle name="Normal 22 2 3" xfId="402"/>
    <cellStyle name="Normal 22 2 4" xfId="403"/>
    <cellStyle name="Normal 22 2 5" xfId="404"/>
    <cellStyle name="Normal 22 2 6" xfId="405"/>
    <cellStyle name="Normal 22 2 7" xfId="406"/>
    <cellStyle name="Normal 22 3" xfId="407"/>
    <cellStyle name="Normal 22 3 2" xfId="408"/>
    <cellStyle name="Normal 22 3 3" xfId="409"/>
    <cellStyle name="Normal 22 3 4" xfId="410"/>
    <cellStyle name="Normal 22 3 5" xfId="411"/>
    <cellStyle name="Normal 22 3 6" xfId="412"/>
    <cellStyle name="Normal 22 4" xfId="413"/>
    <cellStyle name="Normal 22 5" xfId="414"/>
    <cellStyle name="Normal 22 6" xfId="415"/>
    <cellStyle name="Normal 22 7" xfId="416"/>
    <cellStyle name="Normal 22 8" xfId="417"/>
    <cellStyle name="Normal 23" xfId="418"/>
    <cellStyle name="Normal 23 2" xfId="419"/>
    <cellStyle name="Normal 23 2 2" xfId="420"/>
    <cellStyle name="Normal 23 2 2 2" xfId="421"/>
    <cellStyle name="Normal 23 2 2 3" xfId="422"/>
    <cellStyle name="Normal 23 2 2 4" xfId="423"/>
    <cellStyle name="Normal 23 2 2 5" xfId="424"/>
    <cellStyle name="Normal 23 2 2 6" xfId="425"/>
    <cellStyle name="Normal 23 2 3" xfId="426"/>
    <cellStyle name="Normal 23 2 4" xfId="427"/>
    <cellStyle name="Normal 23 2 5" xfId="428"/>
    <cellStyle name="Normal 23 2 6" xfId="429"/>
    <cellStyle name="Normal 23 2 7" xfId="430"/>
    <cellStyle name="Normal 23 3" xfId="431"/>
    <cellStyle name="Normal 23 3 2" xfId="432"/>
    <cellStyle name="Normal 23 3 3" xfId="433"/>
    <cellStyle name="Normal 23 3 4" xfId="434"/>
    <cellStyle name="Normal 23 3 5" xfId="435"/>
    <cellStyle name="Normal 23 3 6" xfId="436"/>
    <cellStyle name="Normal 23 4" xfId="437"/>
    <cellStyle name="Normal 23 5" xfId="438"/>
    <cellStyle name="Normal 23 6" xfId="439"/>
    <cellStyle name="Normal 23 7" xfId="440"/>
    <cellStyle name="Normal 23 8" xfId="441"/>
    <cellStyle name="Normal 24" xfId="442"/>
    <cellStyle name="Normal 24 2" xfId="443"/>
    <cellStyle name="Normal 24 2 2" xfId="444"/>
    <cellStyle name="Normal 24 2 2 2" xfId="445"/>
    <cellStyle name="Normal 24 2 2 3" xfId="446"/>
    <cellStyle name="Normal 24 2 2 4" xfId="447"/>
    <cellStyle name="Normal 24 2 2 5" xfId="448"/>
    <cellStyle name="Normal 24 2 2 6" xfId="449"/>
    <cellStyle name="Normal 24 2 3" xfId="450"/>
    <cellStyle name="Normal 24 2 4" xfId="451"/>
    <cellStyle name="Normal 24 2 5" xfId="452"/>
    <cellStyle name="Normal 24 2 6" xfId="453"/>
    <cellStyle name="Normal 24 2 7" xfId="454"/>
    <cellStyle name="Normal 24 3" xfId="455"/>
    <cellStyle name="Normal 24 3 2" xfId="456"/>
    <cellStyle name="Normal 24 3 3" xfId="457"/>
    <cellStyle name="Normal 24 3 4" xfId="458"/>
    <cellStyle name="Normal 24 3 5" xfId="459"/>
    <cellStyle name="Normal 24 3 6" xfId="460"/>
    <cellStyle name="Normal 24 4" xfId="461"/>
    <cellStyle name="Normal 24 5" xfId="462"/>
    <cellStyle name="Normal 24 6" xfId="463"/>
    <cellStyle name="Normal 24 7" xfId="464"/>
    <cellStyle name="Normal 24 8" xfId="465"/>
    <cellStyle name="Normal 25" xfId="466"/>
    <cellStyle name="Normal 25 2" xfId="467"/>
    <cellStyle name="Normal 25 2 2" xfId="468"/>
    <cellStyle name="Normal 25 2 2 2" xfId="469"/>
    <cellStyle name="Normal 25 2 2 3" xfId="470"/>
    <cellStyle name="Normal 25 2 2 4" xfId="471"/>
    <cellStyle name="Normal 25 2 2 5" xfId="472"/>
    <cellStyle name="Normal 25 2 2 6" xfId="473"/>
    <cellStyle name="Normal 25 2 3" xfId="474"/>
    <cellStyle name="Normal 25 2 4" xfId="475"/>
    <cellStyle name="Normal 25 2 5" xfId="476"/>
    <cellStyle name="Normal 25 2 6" xfId="477"/>
    <cellStyle name="Normal 25 2 7" xfId="478"/>
    <cellStyle name="Normal 25 3" xfId="479"/>
    <cellStyle name="Normal 25 3 2" xfId="480"/>
    <cellStyle name="Normal 25 3 3" xfId="481"/>
    <cellStyle name="Normal 25 3 4" xfId="482"/>
    <cellStyle name="Normal 25 3 5" xfId="483"/>
    <cellStyle name="Normal 25 3 6" xfId="484"/>
    <cellStyle name="Normal 25 4" xfId="485"/>
    <cellStyle name="Normal 25 5" xfId="486"/>
    <cellStyle name="Normal 25 6" xfId="487"/>
    <cellStyle name="Normal 25 7" xfId="488"/>
    <cellStyle name="Normal 25 8" xfId="489"/>
    <cellStyle name="Normal 26" xfId="490"/>
    <cellStyle name="Normal 26 2" xfId="491"/>
    <cellStyle name="Normal 26 2 2" xfId="492"/>
    <cellStyle name="Normal 26 2 2 2" xfId="493"/>
    <cellStyle name="Normal 26 2 2 3" xfId="494"/>
    <cellStyle name="Normal 26 2 2 4" xfId="495"/>
    <cellStyle name="Normal 26 2 2 5" xfId="496"/>
    <cellStyle name="Normal 26 2 2 6" xfId="497"/>
    <cellStyle name="Normal 26 2 3" xfId="498"/>
    <cellStyle name="Normal 26 2 4" xfId="499"/>
    <cellStyle name="Normal 26 2 5" xfId="500"/>
    <cellStyle name="Normal 26 2 6" xfId="501"/>
    <cellStyle name="Normal 26 2 7" xfId="502"/>
    <cellStyle name="Normal 26 3" xfId="503"/>
    <cellStyle name="Normal 26 3 2" xfId="504"/>
    <cellStyle name="Normal 26 3 3" xfId="505"/>
    <cellStyle name="Normal 26 3 4" xfId="506"/>
    <cellStyle name="Normal 26 3 5" xfId="507"/>
    <cellStyle name="Normal 26 3 6" xfId="508"/>
    <cellStyle name="Normal 26 4" xfId="509"/>
    <cellStyle name="Normal 26 5" xfId="510"/>
    <cellStyle name="Normal 26 6" xfId="511"/>
    <cellStyle name="Normal 26 7" xfId="512"/>
    <cellStyle name="Normal 26 8" xfId="513"/>
    <cellStyle name="Normal 27" xfId="514"/>
    <cellStyle name="Normal 27 2" xfId="515"/>
    <cellStyle name="Normal 27 2 2" xfId="516"/>
    <cellStyle name="Normal 27 2 2 2" xfId="517"/>
    <cellStyle name="Normal 27 2 2 3" xfId="518"/>
    <cellStyle name="Normal 27 2 2 4" xfId="519"/>
    <cellStyle name="Normal 27 2 2 5" xfId="520"/>
    <cellStyle name="Normal 27 2 2 6" xfId="521"/>
    <cellStyle name="Normal 27 2 3" xfId="522"/>
    <cellStyle name="Normal 27 2 4" xfId="523"/>
    <cellStyle name="Normal 27 2 5" xfId="524"/>
    <cellStyle name="Normal 27 2 6" xfId="525"/>
    <cellStyle name="Normal 27 2 7" xfId="526"/>
    <cellStyle name="Normal 27 3" xfId="527"/>
    <cellStyle name="Normal 27 3 2" xfId="528"/>
    <cellStyle name="Normal 27 3 3" xfId="529"/>
    <cellStyle name="Normal 27 3 4" xfId="530"/>
    <cellStyle name="Normal 27 3 5" xfId="531"/>
    <cellStyle name="Normal 27 3 6" xfId="532"/>
    <cellStyle name="Normal 27 4" xfId="533"/>
    <cellStyle name="Normal 27 5" xfId="534"/>
    <cellStyle name="Normal 27 6" xfId="535"/>
    <cellStyle name="Normal 27 7" xfId="536"/>
    <cellStyle name="Normal 27 8" xfId="537"/>
    <cellStyle name="Normal 28" xfId="538"/>
    <cellStyle name="Normal 28 2" xfId="539"/>
    <cellStyle name="Normal 28 2 2" xfId="540"/>
    <cellStyle name="Normal 28 2 2 2" xfId="541"/>
    <cellStyle name="Normal 28 2 2 3" xfId="542"/>
    <cellStyle name="Normal 28 2 2 4" xfId="543"/>
    <cellStyle name="Normal 28 2 2 5" xfId="544"/>
    <cellStyle name="Normal 28 2 2 6" xfId="545"/>
    <cellStyle name="Normal 28 2 3" xfId="546"/>
    <cellStyle name="Normal 28 2 4" xfId="547"/>
    <cellStyle name="Normal 28 2 5" xfId="548"/>
    <cellStyle name="Normal 28 2 6" xfId="549"/>
    <cellStyle name="Normal 28 2 7" xfId="550"/>
    <cellStyle name="Normal 28 3" xfId="551"/>
    <cellStyle name="Normal 28 3 2" xfId="552"/>
    <cellStyle name="Normal 28 3 3" xfId="553"/>
    <cellStyle name="Normal 28 3 4" xfId="554"/>
    <cellStyle name="Normal 28 3 5" xfId="555"/>
    <cellStyle name="Normal 28 3 6" xfId="556"/>
    <cellStyle name="Normal 28 4" xfId="557"/>
    <cellStyle name="Normal 28 5" xfId="558"/>
    <cellStyle name="Normal 28 6" xfId="559"/>
    <cellStyle name="Normal 28 7" xfId="560"/>
    <cellStyle name="Normal 28 8" xfId="561"/>
    <cellStyle name="Normal 29" xfId="562"/>
    <cellStyle name="Normal 29 2" xfId="563"/>
    <cellStyle name="Normal 29 2 2" xfId="564"/>
    <cellStyle name="Normal 29 2 2 2" xfId="565"/>
    <cellStyle name="Normal 29 2 2 3" xfId="566"/>
    <cellStyle name="Normal 29 2 2 4" xfId="567"/>
    <cellStyle name="Normal 29 2 2 5" xfId="568"/>
    <cellStyle name="Normal 29 2 2 6" xfId="569"/>
    <cellStyle name="Normal 29 2 3" xfId="570"/>
    <cellStyle name="Normal 29 2 4" xfId="571"/>
    <cellStyle name="Normal 29 2 5" xfId="572"/>
    <cellStyle name="Normal 29 2 6" xfId="573"/>
    <cellStyle name="Normal 29 2 7" xfId="574"/>
    <cellStyle name="Normal 29 3" xfId="575"/>
    <cellStyle name="Normal 29 3 2" xfId="576"/>
    <cellStyle name="Normal 29 3 3" xfId="577"/>
    <cellStyle name="Normal 29 3 4" xfId="578"/>
    <cellStyle name="Normal 29 3 5" xfId="579"/>
    <cellStyle name="Normal 29 3 6" xfId="580"/>
    <cellStyle name="Normal 29 4" xfId="581"/>
    <cellStyle name="Normal 29 5" xfId="582"/>
    <cellStyle name="Normal 29 6" xfId="583"/>
    <cellStyle name="Normal 29 7" xfId="584"/>
    <cellStyle name="Normal 29 8" xfId="585"/>
    <cellStyle name="Normal 3" xfId="586"/>
    <cellStyle name="Normal 30" xfId="587"/>
    <cellStyle name="Normal 30 2" xfId="588"/>
    <cellStyle name="Normal 30 2 2" xfId="589"/>
    <cellStyle name="Normal 30 2 2 2" xfId="590"/>
    <cellStyle name="Normal 30 2 2 3" xfId="591"/>
    <cellStyle name="Normal 30 2 2 4" xfId="592"/>
    <cellStyle name="Normal 30 2 2 5" xfId="593"/>
    <cellStyle name="Normal 30 2 2 6" xfId="594"/>
    <cellStyle name="Normal 30 2 3" xfId="595"/>
    <cellStyle name="Normal 30 2 4" xfId="596"/>
    <cellStyle name="Normal 30 2 5" xfId="597"/>
    <cellStyle name="Normal 30 2 6" xfId="598"/>
    <cellStyle name="Normal 30 2 7" xfId="599"/>
    <cellStyle name="Normal 30 3" xfId="600"/>
    <cellStyle name="Normal 30 3 2" xfId="601"/>
    <cellStyle name="Normal 30 3 3" xfId="602"/>
    <cellStyle name="Normal 30 3 4" xfId="603"/>
    <cellStyle name="Normal 30 3 5" xfId="604"/>
    <cellStyle name="Normal 30 3 6" xfId="605"/>
    <cellStyle name="Normal 30 4" xfId="606"/>
    <cellStyle name="Normal 30 5" xfId="607"/>
    <cellStyle name="Normal 30 6" xfId="608"/>
    <cellStyle name="Normal 30 7" xfId="609"/>
    <cellStyle name="Normal 30 8" xfId="610"/>
    <cellStyle name="Normal 31" xfId="611"/>
    <cellStyle name="Normal 31 2" xfId="612"/>
    <cellStyle name="Normal 31 2 2" xfId="613"/>
    <cellStyle name="Normal 31 2 2 2" xfId="614"/>
    <cellStyle name="Normal 31 2 2 3" xfId="615"/>
    <cellStyle name="Normal 31 2 2 4" xfId="616"/>
    <cellStyle name="Normal 31 2 2 5" xfId="617"/>
    <cellStyle name="Normal 31 2 2 6" xfId="618"/>
    <cellStyle name="Normal 31 2 3" xfId="619"/>
    <cellStyle name="Normal 31 2 4" xfId="620"/>
    <cellStyle name="Normal 31 2 5" xfId="621"/>
    <cellStyle name="Normal 31 2 6" xfId="622"/>
    <cellStyle name="Normal 31 2 7" xfId="623"/>
    <cellStyle name="Normal 31 3" xfId="624"/>
    <cellStyle name="Normal 31 3 2" xfId="625"/>
    <cellStyle name="Normal 31 3 3" xfId="626"/>
    <cellStyle name="Normal 31 3 4" xfId="627"/>
    <cellStyle name="Normal 31 3 5" xfId="628"/>
    <cellStyle name="Normal 31 3 6" xfId="629"/>
    <cellStyle name="Normal 31 4" xfId="630"/>
    <cellStyle name="Normal 31 5" xfId="631"/>
    <cellStyle name="Normal 31 6" xfId="632"/>
    <cellStyle name="Normal 31 7" xfId="633"/>
    <cellStyle name="Normal 31 8" xfId="634"/>
    <cellStyle name="Normal 32" xfId="635"/>
    <cellStyle name="Normal 32 2" xfId="636"/>
    <cellStyle name="Normal 32 2 2" xfId="637"/>
    <cellStyle name="Normal 32 2 2 2" xfId="638"/>
    <cellStyle name="Normal 32 2 2 3" xfId="639"/>
    <cellStyle name="Normal 32 2 2 4" xfId="640"/>
    <cellStyle name="Normal 32 2 2 5" xfId="641"/>
    <cellStyle name="Normal 32 2 2 6" xfId="642"/>
    <cellStyle name="Normal 32 2 3" xfId="643"/>
    <cellStyle name="Normal 32 2 4" xfId="644"/>
    <cellStyle name="Normal 32 2 5" xfId="645"/>
    <cellStyle name="Normal 32 2 6" xfId="646"/>
    <cellStyle name="Normal 32 2 7" xfId="647"/>
    <cellStyle name="Normal 32 3" xfId="648"/>
    <cellStyle name="Normal 32 3 2" xfId="649"/>
    <cellStyle name="Normal 32 3 3" xfId="650"/>
    <cellStyle name="Normal 32 3 4" xfId="651"/>
    <cellStyle name="Normal 32 3 5" xfId="652"/>
    <cellStyle name="Normal 32 3 6" xfId="653"/>
    <cellStyle name="Normal 32 4" xfId="654"/>
    <cellStyle name="Normal 32 5" xfId="655"/>
    <cellStyle name="Normal 32 6" xfId="656"/>
    <cellStyle name="Normal 32 7" xfId="657"/>
    <cellStyle name="Normal 32 8" xfId="658"/>
    <cellStyle name="Normal 33" xfId="659"/>
    <cellStyle name="Normal 33 2" xfId="660"/>
    <cellStyle name="Normal 33 2 2" xfId="661"/>
    <cellStyle name="Normal 33 2 2 2" xfId="662"/>
    <cellStyle name="Normal 33 2 2 3" xfId="663"/>
    <cellStyle name="Normal 33 2 2 4" xfId="664"/>
    <cellStyle name="Normal 33 2 2 5" xfId="665"/>
    <cellStyle name="Normal 33 2 2 6" xfId="666"/>
    <cellStyle name="Normal 33 2 3" xfId="667"/>
    <cellStyle name="Normal 33 2 4" xfId="668"/>
    <cellStyle name="Normal 33 2 5" xfId="669"/>
    <cellStyle name="Normal 33 2 6" xfId="670"/>
    <cellStyle name="Normal 33 2 7" xfId="671"/>
    <cellStyle name="Normal 33 3" xfId="672"/>
    <cellStyle name="Normal 33 3 2" xfId="673"/>
    <cellStyle name="Normal 33 3 3" xfId="674"/>
    <cellStyle name="Normal 33 3 4" xfId="675"/>
    <cellStyle name="Normal 33 3 5" xfId="676"/>
    <cellStyle name="Normal 33 3 6" xfId="677"/>
    <cellStyle name="Normal 33 4" xfId="678"/>
    <cellStyle name="Normal 33 5" xfId="679"/>
    <cellStyle name="Normal 33 6" xfId="680"/>
    <cellStyle name="Normal 33 7" xfId="681"/>
    <cellStyle name="Normal 33 8" xfId="682"/>
    <cellStyle name="Normal 34" xfId="683"/>
    <cellStyle name="Normal 34 2" xfId="684"/>
    <cellStyle name="Normal 34 2 2" xfId="685"/>
    <cellStyle name="Normal 34 2 2 2" xfId="686"/>
    <cellStyle name="Normal 34 2 2 3" xfId="687"/>
    <cellStyle name="Normal 34 2 2 4" xfId="688"/>
    <cellStyle name="Normal 34 2 2 5" xfId="689"/>
    <cellStyle name="Normal 34 2 2 6" xfId="690"/>
    <cellStyle name="Normal 34 2 3" xfId="691"/>
    <cellStyle name="Normal 34 2 4" xfId="692"/>
    <cellStyle name="Normal 34 2 5" xfId="693"/>
    <cellStyle name="Normal 34 2 6" xfId="694"/>
    <cellStyle name="Normal 34 2 7" xfId="695"/>
    <cellStyle name="Normal 34 3" xfId="696"/>
    <cellStyle name="Normal 34 3 2" xfId="697"/>
    <cellStyle name="Normal 34 3 3" xfId="698"/>
    <cellStyle name="Normal 34 3 4" xfId="699"/>
    <cellStyle name="Normal 34 3 5" xfId="700"/>
    <cellStyle name="Normal 34 3 6" xfId="701"/>
    <cellStyle name="Normal 34 4" xfId="702"/>
    <cellStyle name="Normal 34 5" xfId="703"/>
    <cellStyle name="Normal 34 6" xfId="704"/>
    <cellStyle name="Normal 34 7" xfId="705"/>
    <cellStyle name="Normal 34 8" xfId="706"/>
    <cellStyle name="Normal 35" xfId="707"/>
    <cellStyle name="Normal 35 2" xfId="708"/>
    <cellStyle name="Normal 35 2 2" xfId="709"/>
    <cellStyle name="Normal 35 2 2 2" xfId="710"/>
    <cellStyle name="Normal 35 2 2 3" xfId="711"/>
    <cellStyle name="Normal 35 2 2 4" xfId="712"/>
    <cellStyle name="Normal 35 2 2 5" xfId="713"/>
    <cellStyle name="Normal 35 2 2 6" xfId="714"/>
    <cellStyle name="Normal 35 2 3" xfId="715"/>
    <cellStyle name="Normal 35 2 4" xfId="716"/>
    <cellStyle name="Normal 35 2 5" xfId="717"/>
    <cellStyle name="Normal 35 2 6" xfId="718"/>
    <cellStyle name="Normal 35 2 7" xfId="719"/>
    <cellStyle name="Normal 35 3" xfId="720"/>
    <cellStyle name="Normal 35 3 2" xfId="721"/>
    <cellStyle name="Normal 35 3 3" xfId="722"/>
    <cellStyle name="Normal 35 3 4" xfId="723"/>
    <cellStyle name="Normal 35 3 5" xfId="724"/>
    <cellStyle name="Normal 35 3 6" xfId="725"/>
    <cellStyle name="Normal 35 4" xfId="726"/>
    <cellStyle name="Normal 35 5" xfId="727"/>
    <cellStyle name="Normal 35 6" xfId="728"/>
    <cellStyle name="Normal 35 7" xfId="729"/>
    <cellStyle name="Normal 35 8" xfId="730"/>
    <cellStyle name="Normal 36" xfId="731"/>
    <cellStyle name="Normal 36 2" xfId="732"/>
    <cellStyle name="Normal 36 2 2" xfId="733"/>
    <cellStyle name="Normal 36 2 2 2" xfId="734"/>
    <cellStyle name="Normal 36 2 2 3" xfId="735"/>
    <cellStyle name="Normal 36 2 2 4" xfId="736"/>
    <cellStyle name="Normal 36 2 2 5" xfId="737"/>
    <cellStyle name="Normal 36 2 2 6" xfId="738"/>
    <cellStyle name="Normal 36 2 3" xfId="739"/>
    <cellStyle name="Normal 36 2 4" xfId="740"/>
    <cellStyle name="Normal 36 2 5" xfId="741"/>
    <cellStyle name="Normal 36 2 6" xfId="742"/>
    <cellStyle name="Normal 36 2 7" xfId="743"/>
    <cellStyle name="Normal 36 3" xfId="744"/>
    <cellStyle name="Normal 36 3 2" xfId="745"/>
    <cellStyle name="Normal 36 3 3" xfId="746"/>
    <cellStyle name="Normal 36 3 4" xfId="747"/>
    <cellStyle name="Normal 36 3 5" xfId="748"/>
    <cellStyle name="Normal 36 3 6" xfId="749"/>
    <cellStyle name="Normal 36 4" xfId="750"/>
    <cellStyle name="Normal 36 5" xfId="751"/>
    <cellStyle name="Normal 36 6" xfId="752"/>
    <cellStyle name="Normal 36 7" xfId="753"/>
    <cellStyle name="Normal 36 8" xfId="754"/>
    <cellStyle name="Normal 37" xfId="755"/>
    <cellStyle name="Normal 37 2" xfId="756"/>
    <cellStyle name="Normal 37 2 2" xfId="757"/>
    <cellStyle name="Normal 37 2 2 2" xfId="758"/>
    <cellStyle name="Normal 37 2 2 3" xfId="759"/>
    <cellStyle name="Normal 37 2 2 4" xfId="760"/>
    <cellStyle name="Normal 37 2 2 5" xfId="761"/>
    <cellStyle name="Normal 37 2 2 6" xfId="762"/>
    <cellStyle name="Normal 37 2 3" xfId="763"/>
    <cellStyle name="Normal 37 2 4" xfId="764"/>
    <cellStyle name="Normal 37 2 5" xfId="765"/>
    <cellStyle name="Normal 37 2 6" xfId="766"/>
    <cellStyle name="Normal 37 2 7" xfId="767"/>
    <cellStyle name="Normal 37 3" xfId="768"/>
    <cellStyle name="Normal 37 3 2" xfId="769"/>
    <cellStyle name="Normal 37 3 3" xfId="770"/>
    <cellStyle name="Normal 37 3 4" xfId="771"/>
    <cellStyle name="Normal 37 3 5" xfId="772"/>
    <cellStyle name="Normal 37 3 6" xfId="773"/>
    <cellStyle name="Normal 37 4" xfId="774"/>
    <cellStyle name="Normal 37 5" xfId="775"/>
    <cellStyle name="Normal 37 6" xfId="776"/>
    <cellStyle name="Normal 37 7" xfId="777"/>
    <cellStyle name="Normal 37 8" xfId="778"/>
    <cellStyle name="Normal 38" xfId="779"/>
    <cellStyle name="Normal 38 2" xfId="780"/>
    <cellStyle name="Normal 38 2 2" xfId="781"/>
    <cellStyle name="Normal 38 2 2 2" xfId="782"/>
    <cellStyle name="Normal 38 2 2 3" xfId="783"/>
    <cellStyle name="Normal 38 2 2 4" xfId="784"/>
    <cellStyle name="Normal 38 2 2 5" xfId="785"/>
    <cellStyle name="Normal 38 2 2 6" xfId="786"/>
    <cellStyle name="Normal 38 2 3" xfId="787"/>
    <cellStyle name="Normal 38 2 4" xfId="788"/>
    <cellStyle name="Normal 38 2 5" xfId="789"/>
    <cellStyle name="Normal 38 2 6" xfId="790"/>
    <cellStyle name="Normal 38 2 7" xfId="791"/>
    <cellStyle name="Normal 38 3" xfId="792"/>
    <cellStyle name="Normal 38 3 2" xfId="793"/>
    <cellStyle name="Normal 38 3 3" xfId="794"/>
    <cellStyle name="Normal 38 3 4" xfId="795"/>
    <cellStyle name="Normal 38 3 5" xfId="796"/>
    <cellStyle name="Normal 38 3 6" xfId="797"/>
    <cellStyle name="Normal 38 4" xfId="798"/>
    <cellStyle name="Normal 38 5" xfId="799"/>
    <cellStyle name="Normal 38 6" xfId="800"/>
    <cellStyle name="Normal 38 7" xfId="801"/>
    <cellStyle name="Normal 38 8" xfId="802"/>
    <cellStyle name="Normal 39" xfId="803"/>
    <cellStyle name="Normal 39 2" xfId="804"/>
    <cellStyle name="Normal 39 2 2" xfId="805"/>
    <cellStyle name="Normal 39 2 2 2" xfId="806"/>
    <cellStyle name="Normal 39 2 2 3" xfId="807"/>
    <cellStyle name="Normal 39 2 2 4" xfId="808"/>
    <cellStyle name="Normal 39 2 2 5" xfId="809"/>
    <cellStyle name="Normal 39 2 2 6" xfId="810"/>
    <cellStyle name="Normal 39 2 3" xfId="811"/>
    <cellStyle name="Normal 39 2 4" xfId="812"/>
    <cellStyle name="Normal 39 2 5" xfId="813"/>
    <cellStyle name="Normal 39 2 6" xfId="814"/>
    <cellStyle name="Normal 39 2 7" xfId="815"/>
    <cellStyle name="Normal 39 3" xfId="816"/>
    <cellStyle name="Normal 39 3 2" xfId="817"/>
    <cellStyle name="Normal 39 3 3" xfId="818"/>
    <cellStyle name="Normal 39 3 4" xfId="819"/>
    <cellStyle name="Normal 39 3 5" xfId="820"/>
    <cellStyle name="Normal 39 3 6" xfId="821"/>
    <cellStyle name="Normal 39 4" xfId="822"/>
    <cellStyle name="Normal 39 5" xfId="823"/>
    <cellStyle name="Normal 39 6" xfId="824"/>
    <cellStyle name="Normal 39 7" xfId="825"/>
    <cellStyle name="Normal 39 8" xfId="826"/>
    <cellStyle name="Normal 4" xfId="827"/>
    <cellStyle name="Normal 4 10" xfId="828"/>
    <cellStyle name="Normal 4 10 2" xfId="829"/>
    <cellStyle name="Normal 4 10 2 2" xfId="830"/>
    <cellStyle name="Normal 4 10 2 2 2" xfId="831"/>
    <cellStyle name="Normal 4 10 2 2 3" xfId="832"/>
    <cellStyle name="Normal 4 10 2 2 4" xfId="833"/>
    <cellStyle name="Normal 4 10 2 2 5" xfId="834"/>
    <cellStyle name="Normal 4 10 2 2 6" xfId="835"/>
    <cellStyle name="Normal 4 10 2 3" xfId="836"/>
    <cellStyle name="Normal 4 10 2 4" xfId="837"/>
    <cellStyle name="Normal 4 10 2 5" xfId="838"/>
    <cellStyle name="Normal 4 10 2 6" xfId="839"/>
    <cellStyle name="Normal 4 10 2 7" xfId="840"/>
    <cellStyle name="Normal 4 10 3" xfId="841"/>
    <cellStyle name="Normal 4 10 3 2" xfId="842"/>
    <cellStyle name="Normal 4 10 3 3" xfId="843"/>
    <cellStyle name="Normal 4 10 3 4" xfId="844"/>
    <cellStyle name="Normal 4 10 3 5" xfId="845"/>
    <cellStyle name="Normal 4 10 3 6" xfId="846"/>
    <cellStyle name="Normal 4 10 4" xfId="847"/>
    <cellStyle name="Normal 4 10 5" xfId="848"/>
    <cellStyle name="Normal 4 10 6" xfId="849"/>
    <cellStyle name="Normal 4 10 7" xfId="850"/>
    <cellStyle name="Normal 4 10 8" xfId="851"/>
    <cellStyle name="Normal 4 11" xfId="852"/>
    <cellStyle name="Normal 4 11 2" xfId="853"/>
    <cellStyle name="Normal 4 11 2 2" xfId="854"/>
    <cellStyle name="Normal 4 11 2 2 2" xfId="855"/>
    <cellStyle name="Normal 4 11 2 2 3" xfId="856"/>
    <cellStyle name="Normal 4 11 2 2 4" xfId="857"/>
    <cellStyle name="Normal 4 11 2 2 5" xfId="858"/>
    <cellStyle name="Normal 4 11 2 2 6" xfId="859"/>
    <cellStyle name="Normal 4 11 2 3" xfId="860"/>
    <cellStyle name="Normal 4 11 2 4" xfId="861"/>
    <cellStyle name="Normal 4 11 2 5" xfId="862"/>
    <cellStyle name="Normal 4 11 2 6" xfId="863"/>
    <cellStyle name="Normal 4 11 2 7" xfId="864"/>
    <cellStyle name="Normal 4 11 3" xfId="865"/>
    <cellStyle name="Normal 4 11 3 2" xfId="866"/>
    <cellStyle name="Normal 4 11 3 3" xfId="867"/>
    <cellStyle name="Normal 4 11 3 4" xfId="868"/>
    <cellStyle name="Normal 4 11 3 5" xfId="869"/>
    <cellStyle name="Normal 4 11 3 6" xfId="870"/>
    <cellStyle name="Normal 4 11 4" xfId="871"/>
    <cellStyle name="Normal 4 11 5" xfId="872"/>
    <cellStyle name="Normal 4 11 6" xfId="873"/>
    <cellStyle name="Normal 4 11 7" xfId="874"/>
    <cellStyle name="Normal 4 11 8" xfId="875"/>
    <cellStyle name="Normal 4 12" xfId="876"/>
    <cellStyle name="Normal 4 12 2" xfId="877"/>
    <cellStyle name="Normal 4 12 2 2" xfId="878"/>
    <cellStyle name="Normal 4 12 2 2 2" xfId="879"/>
    <cellStyle name="Normal 4 12 2 2 3" xfId="880"/>
    <cellStyle name="Normal 4 12 2 2 4" xfId="881"/>
    <cellStyle name="Normal 4 12 2 2 5" xfId="882"/>
    <cellStyle name="Normal 4 12 2 2 6" xfId="883"/>
    <cellStyle name="Normal 4 12 2 3" xfId="884"/>
    <cellStyle name="Normal 4 12 2 4" xfId="885"/>
    <cellStyle name="Normal 4 12 2 5" xfId="886"/>
    <cellStyle name="Normal 4 12 2 6" xfId="887"/>
    <cellStyle name="Normal 4 12 2 7" xfId="888"/>
    <cellStyle name="Normal 4 12 3" xfId="889"/>
    <cellStyle name="Normal 4 12 3 2" xfId="890"/>
    <cellStyle name="Normal 4 12 3 3" xfId="891"/>
    <cellStyle name="Normal 4 12 3 4" xfId="892"/>
    <cellStyle name="Normal 4 12 3 5" xfId="893"/>
    <cellStyle name="Normal 4 12 3 6" xfId="894"/>
    <cellStyle name="Normal 4 12 4" xfId="895"/>
    <cellStyle name="Normal 4 12 5" xfId="896"/>
    <cellStyle name="Normal 4 12 6" xfId="897"/>
    <cellStyle name="Normal 4 12 7" xfId="898"/>
    <cellStyle name="Normal 4 12 8" xfId="899"/>
    <cellStyle name="Normal 4 13" xfId="900"/>
    <cellStyle name="Normal 4 13 2" xfId="901"/>
    <cellStyle name="Normal 4 13 2 2" xfId="902"/>
    <cellStyle name="Normal 4 13 2 2 2" xfId="903"/>
    <cellStyle name="Normal 4 13 2 2 3" xfId="904"/>
    <cellStyle name="Normal 4 13 2 2 4" xfId="905"/>
    <cellStyle name="Normal 4 13 2 2 5" xfId="906"/>
    <cellStyle name="Normal 4 13 2 2 6" xfId="907"/>
    <cellStyle name="Normal 4 13 2 3" xfId="908"/>
    <cellStyle name="Normal 4 13 2 4" xfId="909"/>
    <cellStyle name="Normal 4 13 2 5" xfId="910"/>
    <cellStyle name="Normal 4 13 2 6" xfId="911"/>
    <cellStyle name="Normal 4 13 2 7" xfId="912"/>
    <cellStyle name="Normal 4 13 3" xfId="913"/>
    <cellStyle name="Normal 4 13 3 2" xfId="914"/>
    <cellStyle name="Normal 4 13 3 3" xfId="915"/>
    <cellStyle name="Normal 4 13 3 4" xfId="916"/>
    <cellStyle name="Normal 4 13 3 5" xfId="917"/>
    <cellStyle name="Normal 4 13 3 6" xfId="918"/>
    <cellStyle name="Normal 4 13 4" xfId="919"/>
    <cellStyle name="Normal 4 13 5" xfId="920"/>
    <cellStyle name="Normal 4 13 6" xfId="921"/>
    <cellStyle name="Normal 4 13 7" xfId="922"/>
    <cellStyle name="Normal 4 13 8" xfId="923"/>
    <cellStyle name="Normal 4 14" xfId="924"/>
    <cellStyle name="Normal 4 14 2" xfId="925"/>
    <cellStyle name="Normal 4 14 2 2" xfId="926"/>
    <cellStyle name="Normal 4 14 2 2 2" xfId="927"/>
    <cellStyle name="Normal 4 14 2 2 3" xfId="928"/>
    <cellStyle name="Normal 4 14 2 2 4" xfId="929"/>
    <cellStyle name="Normal 4 14 2 2 5" xfId="930"/>
    <cellStyle name="Normal 4 14 2 2 6" xfId="931"/>
    <cellStyle name="Normal 4 14 2 3" xfId="932"/>
    <cellStyle name="Normal 4 14 2 4" xfId="933"/>
    <cellStyle name="Normal 4 14 2 5" xfId="934"/>
    <cellStyle name="Normal 4 14 2 6" xfId="935"/>
    <cellStyle name="Normal 4 14 2 7" xfId="936"/>
    <cellStyle name="Normal 4 14 3" xfId="937"/>
    <cellStyle name="Normal 4 14 3 2" xfId="938"/>
    <cellStyle name="Normal 4 14 3 3" xfId="939"/>
    <cellStyle name="Normal 4 14 3 4" xfId="940"/>
    <cellStyle name="Normal 4 14 3 5" xfId="941"/>
    <cellStyle name="Normal 4 14 3 6" xfId="942"/>
    <cellStyle name="Normal 4 14 4" xfId="943"/>
    <cellStyle name="Normal 4 14 5" xfId="944"/>
    <cellStyle name="Normal 4 14 6" xfId="945"/>
    <cellStyle name="Normal 4 14 7" xfId="946"/>
    <cellStyle name="Normal 4 14 8" xfId="947"/>
    <cellStyle name="Normal 4 15" xfId="948"/>
    <cellStyle name="Normal 4 15 2" xfId="949"/>
    <cellStyle name="Normal 4 15 2 2" xfId="950"/>
    <cellStyle name="Normal 4 15 2 2 2" xfId="951"/>
    <cellStyle name="Normal 4 15 2 2 3" xfId="952"/>
    <cellStyle name="Normal 4 15 2 2 4" xfId="953"/>
    <cellStyle name="Normal 4 15 2 2 5" xfId="954"/>
    <cellStyle name="Normal 4 15 2 2 6" xfId="955"/>
    <cellStyle name="Normal 4 15 2 3" xfId="956"/>
    <cellStyle name="Normal 4 15 2 4" xfId="957"/>
    <cellStyle name="Normal 4 15 2 5" xfId="958"/>
    <cellStyle name="Normal 4 15 2 6" xfId="959"/>
    <cellStyle name="Normal 4 15 2 7" xfId="960"/>
    <cellStyle name="Normal 4 15 3" xfId="961"/>
    <cellStyle name="Normal 4 15 3 2" xfId="962"/>
    <cellStyle name="Normal 4 15 3 3" xfId="963"/>
    <cellStyle name="Normal 4 15 3 4" xfId="964"/>
    <cellStyle name="Normal 4 15 3 5" xfId="965"/>
    <cellStyle name="Normal 4 15 3 6" xfId="966"/>
    <cellStyle name="Normal 4 15 4" xfId="967"/>
    <cellStyle name="Normal 4 15 5" xfId="968"/>
    <cellStyle name="Normal 4 15 6" xfId="969"/>
    <cellStyle name="Normal 4 15 7" xfId="970"/>
    <cellStyle name="Normal 4 15 8" xfId="971"/>
    <cellStyle name="Normal 4 16" xfId="972"/>
    <cellStyle name="Normal 4 16 2" xfId="973"/>
    <cellStyle name="Normal 4 16 2 2" xfId="974"/>
    <cellStyle name="Normal 4 16 2 2 2" xfId="975"/>
    <cellStyle name="Normal 4 16 2 2 3" xfId="976"/>
    <cellStyle name="Normal 4 16 2 2 4" xfId="977"/>
    <cellStyle name="Normal 4 16 2 2 5" xfId="978"/>
    <cellStyle name="Normal 4 16 2 2 6" xfId="979"/>
    <cellStyle name="Normal 4 16 2 3" xfId="980"/>
    <cellStyle name="Normal 4 16 2 4" xfId="981"/>
    <cellStyle name="Normal 4 16 2 5" xfId="982"/>
    <cellStyle name="Normal 4 16 2 6" xfId="983"/>
    <cellStyle name="Normal 4 16 2 7" xfId="984"/>
    <cellStyle name="Normal 4 16 3" xfId="985"/>
    <cellStyle name="Normal 4 16 3 2" xfId="986"/>
    <cellStyle name="Normal 4 16 3 3" xfId="987"/>
    <cellStyle name="Normal 4 16 3 4" xfId="988"/>
    <cellStyle name="Normal 4 16 3 5" xfId="989"/>
    <cellStyle name="Normal 4 16 3 6" xfId="990"/>
    <cellStyle name="Normal 4 16 4" xfId="991"/>
    <cellStyle name="Normal 4 16 5" xfId="992"/>
    <cellStyle name="Normal 4 16 6" xfId="993"/>
    <cellStyle name="Normal 4 16 7" xfId="994"/>
    <cellStyle name="Normal 4 16 8" xfId="995"/>
    <cellStyle name="Normal 4 17" xfId="996"/>
    <cellStyle name="Normal 4 17 2" xfId="997"/>
    <cellStyle name="Normal 4 17 2 2" xfId="998"/>
    <cellStyle name="Normal 4 17 2 2 2" xfId="999"/>
    <cellStyle name="Normal 4 17 2 2 3" xfId="1000"/>
    <cellStyle name="Normal 4 17 2 2 4" xfId="1001"/>
    <cellStyle name="Normal 4 17 2 2 5" xfId="1002"/>
    <cellStyle name="Normal 4 17 2 2 6" xfId="1003"/>
    <cellStyle name="Normal 4 17 2 3" xfId="1004"/>
    <cellStyle name="Normal 4 17 2 4" xfId="1005"/>
    <cellStyle name="Normal 4 17 2 5" xfId="1006"/>
    <cellStyle name="Normal 4 17 2 6" xfId="1007"/>
    <cellStyle name="Normal 4 17 2 7" xfId="1008"/>
    <cellStyle name="Normal 4 17 3" xfId="1009"/>
    <cellStyle name="Normal 4 17 3 2" xfId="1010"/>
    <cellStyle name="Normal 4 17 3 3" xfId="1011"/>
    <cellStyle name="Normal 4 17 3 4" xfId="1012"/>
    <cellStyle name="Normal 4 17 3 5" xfId="1013"/>
    <cellStyle name="Normal 4 17 3 6" xfId="1014"/>
    <cellStyle name="Normal 4 17 4" xfId="1015"/>
    <cellStyle name="Normal 4 17 5" xfId="1016"/>
    <cellStyle name="Normal 4 17 6" xfId="1017"/>
    <cellStyle name="Normal 4 17 7" xfId="1018"/>
    <cellStyle name="Normal 4 17 8" xfId="1019"/>
    <cellStyle name="Normal 4 18" xfId="1020"/>
    <cellStyle name="Normal 4 18 2" xfId="1021"/>
    <cellStyle name="Normal 4 18 2 2" xfId="1022"/>
    <cellStyle name="Normal 4 18 2 2 2" xfId="1023"/>
    <cellStyle name="Normal 4 18 2 2 3" xfId="1024"/>
    <cellStyle name="Normal 4 18 2 2 4" xfId="1025"/>
    <cellStyle name="Normal 4 18 2 2 5" xfId="1026"/>
    <cellStyle name="Normal 4 18 2 2 6" xfId="1027"/>
    <cellStyle name="Normal 4 18 2 3" xfId="1028"/>
    <cellStyle name="Normal 4 18 2 4" xfId="1029"/>
    <cellStyle name="Normal 4 18 2 5" xfId="1030"/>
    <cellStyle name="Normal 4 18 2 6" xfId="1031"/>
    <cellStyle name="Normal 4 18 2 7" xfId="1032"/>
    <cellStyle name="Normal 4 18 3" xfId="1033"/>
    <cellStyle name="Normal 4 18 3 2" xfId="1034"/>
    <cellStyle name="Normal 4 18 3 3" xfId="1035"/>
    <cellStyle name="Normal 4 18 3 4" xfId="1036"/>
    <cellStyle name="Normal 4 18 3 5" xfId="1037"/>
    <cellStyle name="Normal 4 18 3 6" xfId="1038"/>
    <cellStyle name="Normal 4 18 4" xfId="1039"/>
    <cellStyle name="Normal 4 18 5" xfId="1040"/>
    <cellStyle name="Normal 4 18 6" xfId="1041"/>
    <cellStyle name="Normal 4 18 7" xfId="1042"/>
    <cellStyle name="Normal 4 18 8" xfId="1043"/>
    <cellStyle name="Normal 4 19" xfId="1044"/>
    <cellStyle name="Normal 4 19 2" xfId="1045"/>
    <cellStyle name="Normal 4 19 2 2" xfId="1046"/>
    <cellStyle name="Normal 4 19 2 2 2" xfId="1047"/>
    <cellStyle name="Normal 4 19 2 2 3" xfId="1048"/>
    <cellStyle name="Normal 4 19 2 2 4" xfId="1049"/>
    <cellStyle name="Normal 4 19 2 2 5" xfId="1050"/>
    <cellStyle name="Normal 4 19 2 2 6" xfId="1051"/>
    <cellStyle name="Normal 4 19 2 3" xfId="1052"/>
    <cellStyle name="Normal 4 19 2 4" xfId="1053"/>
    <cellStyle name="Normal 4 19 2 5" xfId="1054"/>
    <cellStyle name="Normal 4 19 2 6" xfId="1055"/>
    <cellStyle name="Normal 4 19 2 7" xfId="1056"/>
    <cellStyle name="Normal 4 19 3" xfId="1057"/>
    <cellStyle name="Normal 4 19 3 2" xfId="1058"/>
    <cellStyle name="Normal 4 19 3 3" xfId="1059"/>
    <cellStyle name="Normal 4 19 3 4" xfId="1060"/>
    <cellStyle name="Normal 4 19 3 5" xfId="1061"/>
    <cellStyle name="Normal 4 19 3 6" xfId="1062"/>
    <cellStyle name="Normal 4 19 4" xfId="1063"/>
    <cellStyle name="Normal 4 19 5" xfId="1064"/>
    <cellStyle name="Normal 4 19 6" xfId="1065"/>
    <cellStyle name="Normal 4 19 7" xfId="1066"/>
    <cellStyle name="Normal 4 19 8" xfId="1067"/>
    <cellStyle name="Normal 4 2" xfId="1068"/>
    <cellStyle name="Normal 4 2 2" xfId="1069"/>
    <cellStyle name="Normal 4 2 2 2" xfId="1070"/>
    <cellStyle name="Normal 4 2 2 2 2" xfId="1071"/>
    <cellStyle name="Normal 4 2 2 2 3" xfId="1072"/>
    <cellStyle name="Normal 4 2 2 2 4" xfId="1073"/>
    <cellStyle name="Normal 4 2 2 2 5" xfId="1074"/>
    <cellStyle name="Normal 4 2 2 2 6" xfId="1075"/>
    <cellStyle name="Normal 4 2 2 3" xfId="1076"/>
    <cellStyle name="Normal 4 2 2 4" xfId="1077"/>
    <cellStyle name="Normal 4 2 2 5" xfId="1078"/>
    <cellStyle name="Normal 4 2 2 6" xfId="1079"/>
    <cellStyle name="Normal 4 2 2 7" xfId="1080"/>
    <cellStyle name="Normal 4 2 3" xfId="1081"/>
    <cellStyle name="Normal 4 2 3 2" xfId="1082"/>
    <cellStyle name="Normal 4 2 3 3" xfId="1083"/>
    <cellStyle name="Normal 4 2 3 4" xfId="1084"/>
    <cellStyle name="Normal 4 2 3 5" xfId="1085"/>
    <cellStyle name="Normal 4 2 3 6" xfId="1086"/>
    <cellStyle name="Normal 4 2 4" xfId="1087"/>
    <cellStyle name="Normal 4 2 5" xfId="1088"/>
    <cellStyle name="Normal 4 2 6" xfId="1089"/>
    <cellStyle name="Normal 4 2 7" xfId="1090"/>
    <cellStyle name="Normal 4 2 8" xfId="1091"/>
    <cellStyle name="Normal 4 20" xfId="1092"/>
    <cellStyle name="Normal 4 20 2" xfId="1093"/>
    <cellStyle name="Normal 4 20 2 2" xfId="1094"/>
    <cellStyle name="Normal 4 20 2 2 2" xfId="1095"/>
    <cellStyle name="Normal 4 20 2 2 3" xfId="1096"/>
    <cellStyle name="Normal 4 20 2 2 4" xfId="1097"/>
    <cellStyle name="Normal 4 20 2 2 5" xfId="1098"/>
    <cellStyle name="Normal 4 20 2 2 6" xfId="1099"/>
    <cellStyle name="Normal 4 20 2 3" xfId="1100"/>
    <cellStyle name="Normal 4 20 2 4" xfId="1101"/>
    <cellStyle name="Normal 4 20 2 5" xfId="1102"/>
    <cellStyle name="Normal 4 20 2 6" xfId="1103"/>
    <cellStyle name="Normal 4 20 2 7" xfId="1104"/>
    <cellStyle name="Normal 4 20 3" xfId="1105"/>
    <cellStyle name="Normal 4 20 3 2" xfId="1106"/>
    <cellStyle name="Normal 4 20 3 3" xfId="1107"/>
    <cellStyle name="Normal 4 20 3 4" xfId="1108"/>
    <cellStyle name="Normal 4 20 3 5" xfId="1109"/>
    <cellStyle name="Normal 4 20 3 6" xfId="1110"/>
    <cellStyle name="Normal 4 20 4" xfId="1111"/>
    <cellStyle name="Normal 4 20 5" xfId="1112"/>
    <cellStyle name="Normal 4 20 6" xfId="1113"/>
    <cellStyle name="Normal 4 20 7" xfId="1114"/>
    <cellStyle name="Normal 4 20 8" xfId="1115"/>
    <cellStyle name="Normal 4 21" xfId="1116"/>
    <cellStyle name="Normal 4 21 2" xfId="1117"/>
    <cellStyle name="Normal 4 21 2 2" xfId="1118"/>
    <cellStyle name="Normal 4 21 2 2 2" xfId="1119"/>
    <cellStyle name="Normal 4 21 2 2 3" xfId="1120"/>
    <cellStyle name="Normal 4 21 2 2 4" xfId="1121"/>
    <cellStyle name="Normal 4 21 2 2 5" xfId="1122"/>
    <cellStyle name="Normal 4 21 2 2 6" xfId="1123"/>
    <cellStyle name="Normal 4 21 2 3" xfId="1124"/>
    <cellStyle name="Normal 4 21 2 4" xfId="1125"/>
    <cellStyle name="Normal 4 21 2 5" xfId="1126"/>
    <cellStyle name="Normal 4 21 2 6" xfId="1127"/>
    <cellStyle name="Normal 4 21 2 7" xfId="1128"/>
    <cellStyle name="Normal 4 21 3" xfId="1129"/>
    <cellStyle name="Normal 4 21 3 2" xfId="1130"/>
    <cellStyle name="Normal 4 21 3 3" xfId="1131"/>
    <cellStyle name="Normal 4 21 3 4" xfId="1132"/>
    <cellStyle name="Normal 4 21 3 5" xfId="1133"/>
    <cellStyle name="Normal 4 21 3 6" xfId="1134"/>
    <cellStyle name="Normal 4 21 4" xfId="1135"/>
    <cellStyle name="Normal 4 21 5" xfId="1136"/>
    <cellStyle name="Normal 4 21 6" xfId="1137"/>
    <cellStyle name="Normal 4 21 7" xfId="1138"/>
    <cellStyle name="Normal 4 21 8" xfId="1139"/>
    <cellStyle name="Normal 4 22" xfId="1140"/>
    <cellStyle name="Normal 4 22 2" xfId="1141"/>
    <cellStyle name="Normal 4 22 2 2" xfId="1142"/>
    <cellStyle name="Normal 4 22 2 2 2" xfId="1143"/>
    <cellStyle name="Normal 4 22 2 2 3" xfId="1144"/>
    <cellStyle name="Normal 4 22 2 2 4" xfId="1145"/>
    <cellStyle name="Normal 4 22 2 2 5" xfId="1146"/>
    <cellStyle name="Normal 4 22 2 2 6" xfId="1147"/>
    <cellStyle name="Normal 4 22 2 3" xfId="1148"/>
    <cellStyle name="Normal 4 22 2 4" xfId="1149"/>
    <cellStyle name="Normal 4 22 2 5" xfId="1150"/>
    <cellStyle name="Normal 4 22 2 6" xfId="1151"/>
    <cellStyle name="Normal 4 22 2 7" xfId="1152"/>
    <cellStyle name="Normal 4 22 3" xfId="1153"/>
    <cellStyle name="Normal 4 22 3 2" xfId="1154"/>
    <cellStyle name="Normal 4 22 3 3" xfId="1155"/>
    <cellStyle name="Normal 4 22 3 4" xfId="1156"/>
    <cellStyle name="Normal 4 22 3 5" xfId="1157"/>
    <cellStyle name="Normal 4 22 3 6" xfId="1158"/>
    <cellStyle name="Normal 4 22 4" xfId="1159"/>
    <cellStyle name="Normal 4 22 5" xfId="1160"/>
    <cellStyle name="Normal 4 22 6" xfId="1161"/>
    <cellStyle name="Normal 4 22 7" xfId="1162"/>
    <cellStyle name="Normal 4 22 8" xfId="1163"/>
    <cellStyle name="Normal 4 23" xfId="1164"/>
    <cellStyle name="Normal 4 23 2" xfId="1165"/>
    <cellStyle name="Normal 4 23 2 2" xfId="1166"/>
    <cellStyle name="Normal 4 23 2 2 2" xfId="1167"/>
    <cellStyle name="Normal 4 23 2 2 3" xfId="1168"/>
    <cellStyle name="Normal 4 23 2 2 4" xfId="1169"/>
    <cellStyle name="Normal 4 23 2 2 5" xfId="1170"/>
    <cellStyle name="Normal 4 23 2 2 6" xfId="1171"/>
    <cellStyle name="Normal 4 23 2 3" xfId="1172"/>
    <cellStyle name="Normal 4 23 2 4" xfId="1173"/>
    <cellStyle name="Normal 4 23 2 5" xfId="1174"/>
    <cellStyle name="Normal 4 23 2 6" xfId="1175"/>
    <cellStyle name="Normal 4 23 2 7" xfId="1176"/>
    <cellStyle name="Normal 4 23 3" xfId="1177"/>
    <cellStyle name="Normal 4 23 3 2" xfId="1178"/>
    <cellStyle name="Normal 4 23 3 3" xfId="1179"/>
    <cellStyle name="Normal 4 23 3 4" xfId="1180"/>
    <cellStyle name="Normal 4 23 3 5" xfId="1181"/>
    <cellStyle name="Normal 4 23 3 6" xfId="1182"/>
    <cellStyle name="Normal 4 23 4" xfId="1183"/>
    <cellStyle name="Normal 4 23 5" xfId="1184"/>
    <cellStyle name="Normal 4 23 6" xfId="1185"/>
    <cellStyle name="Normal 4 23 7" xfId="1186"/>
    <cellStyle name="Normal 4 23 8" xfId="1187"/>
    <cellStyle name="Normal 4 24" xfId="1188"/>
    <cellStyle name="Normal 4 24 2" xfId="1189"/>
    <cellStyle name="Normal 4 24 2 2" xfId="1190"/>
    <cellStyle name="Normal 4 24 2 2 2" xfId="1191"/>
    <cellStyle name="Normal 4 24 2 2 3" xfId="1192"/>
    <cellStyle name="Normal 4 24 2 2 4" xfId="1193"/>
    <cellStyle name="Normal 4 24 2 2 5" xfId="1194"/>
    <cellStyle name="Normal 4 24 2 2 6" xfId="1195"/>
    <cellStyle name="Normal 4 24 2 3" xfId="1196"/>
    <cellStyle name="Normal 4 24 2 4" xfId="1197"/>
    <cellStyle name="Normal 4 24 2 5" xfId="1198"/>
    <cellStyle name="Normal 4 24 2 6" xfId="1199"/>
    <cellStyle name="Normal 4 24 2 7" xfId="1200"/>
    <cellStyle name="Normal 4 24 3" xfId="1201"/>
    <cellStyle name="Normal 4 24 3 2" xfId="1202"/>
    <cellStyle name="Normal 4 24 3 3" xfId="1203"/>
    <cellStyle name="Normal 4 24 3 4" xfId="1204"/>
    <cellStyle name="Normal 4 24 3 5" xfId="1205"/>
    <cellStyle name="Normal 4 24 3 6" xfId="1206"/>
    <cellStyle name="Normal 4 24 4" xfId="1207"/>
    <cellStyle name="Normal 4 24 5" xfId="1208"/>
    <cellStyle name="Normal 4 24 6" xfId="1209"/>
    <cellStyle name="Normal 4 24 7" xfId="1210"/>
    <cellStyle name="Normal 4 24 8" xfId="1211"/>
    <cellStyle name="Normal 4 25" xfId="1212"/>
    <cellStyle name="Normal 4 25 2" xfId="1213"/>
    <cellStyle name="Normal 4 25 2 2" xfId="1214"/>
    <cellStyle name="Normal 4 25 2 2 2" xfId="1215"/>
    <cellStyle name="Normal 4 25 2 2 3" xfId="1216"/>
    <cellStyle name="Normal 4 25 2 2 4" xfId="1217"/>
    <cellStyle name="Normal 4 25 2 2 5" xfId="1218"/>
    <cellStyle name="Normal 4 25 2 2 6" xfId="1219"/>
    <cellStyle name="Normal 4 25 2 3" xfId="1220"/>
    <cellStyle name="Normal 4 25 2 4" xfId="1221"/>
    <cellStyle name="Normal 4 25 2 5" xfId="1222"/>
    <cellStyle name="Normal 4 25 2 6" xfId="1223"/>
    <cellStyle name="Normal 4 25 2 7" xfId="1224"/>
    <cellStyle name="Normal 4 25 3" xfId="1225"/>
    <cellStyle name="Normal 4 25 3 2" xfId="1226"/>
    <cellStyle name="Normal 4 25 3 3" xfId="1227"/>
    <cellStyle name="Normal 4 25 3 4" xfId="1228"/>
    <cellStyle name="Normal 4 25 3 5" xfId="1229"/>
    <cellStyle name="Normal 4 25 3 6" xfId="1230"/>
    <cellStyle name="Normal 4 25 4" xfId="1231"/>
    <cellStyle name="Normal 4 25 5" xfId="1232"/>
    <cellStyle name="Normal 4 25 6" xfId="1233"/>
    <cellStyle name="Normal 4 25 7" xfId="1234"/>
    <cellStyle name="Normal 4 25 8" xfId="1235"/>
    <cellStyle name="Normal 4 26" xfId="1236"/>
    <cellStyle name="Normal 4 26 2" xfId="1237"/>
    <cellStyle name="Normal 4 26 2 2" xfId="1238"/>
    <cellStyle name="Normal 4 26 2 2 2" xfId="1239"/>
    <cellStyle name="Normal 4 26 2 2 3" xfId="1240"/>
    <cellStyle name="Normal 4 26 2 2 4" xfId="1241"/>
    <cellStyle name="Normal 4 26 2 2 5" xfId="1242"/>
    <cellStyle name="Normal 4 26 2 2 6" xfId="1243"/>
    <cellStyle name="Normal 4 26 2 3" xfId="1244"/>
    <cellStyle name="Normal 4 26 2 4" xfId="1245"/>
    <cellStyle name="Normal 4 26 2 5" xfId="1246"/>
    <cellStyle name="Normal 4 26 2 6" xfId="1247"/>
    <cellStyle name="Normal 4 26 2 7" xfId="1248"/>
    <cellStyle name="Normal 4 26 3" xfId="1249"/>
    <cellStyle name="Normal 4 26 3 2" xfId="1250"/>
    <cellStyle name="Normal 4 26 3 3" xfId="1251"/>
    <cellStyle name="Normal 4 26 3 4" xfId="1252"/>
    <cellStyle name="Normal 4 26 3 5" xfId="1253"/>
    <cellStyle name="Normal 4 26 3 6" xfId="1254"/>
    <cellStyle name="Normal 4 26 4" xfId="1255"/>
    <cellStyle name="Normal 4 26 5" xfId="1256"/>
    <cellStyle name="Normal 4 26 6" xfId="1257"/>
    <cellStyle name="Normal 4 26 7" xfId="1258"/>
    <cellStyle name="Normal 4 26 8" xfId="1259"/>
    <cellStyle name="Normal 4 27" xfId="1260"/>
    <cellStyle name="Normal 4 27 2" xfId="1261"/>
    <cellStyle name="Normal 4 27 2 2" xfId="1262"/>
    <cellStyle name="Normal 4 27 2 2 2" xfId="1263"/>
    <cellStyle name="Normal 4 27 2 2 3" xfId="1264"/>
    <cellStyle name="Normal 4 27 2 2 4" xfId="1265"/>
    <cellStyle name="Normal 4 27 2 2 5" xfId="1266"/>
    <cellStyle name="Normal 4 27 2 2 6" xfId="1267"/>
    <cellStyle name="Normal 4 27 2 3" xfId="1268"/>
    <cellStyle name="Normal 4 27 2 4" xfId="1269"/>
    <cellStyle name="Normal 4 27 2 5" xfId="1270"/>
    <cellStyle name="Normal 4 27 2 6" xfId="1271"/>
    <cellStyle name="Normal 4 27 2 7" xfId="1272"/>
    <cellStyle name="Normal 4 27 3" xfId="1273"/>
    <cellStyle name="Normal 4 27 3 2" xfId="1274"/>
    <cellStyle name="Normal 4 27 3 3" xfId="1275"/>
    <cellStyle name="Normal 4 27 3 4" xfId="1276"/>
    <cellStyle name="Normal 4 27 3 5" xfId="1277"/>
    <cellStyle name="Normal 4 27 3 6" xfId="1278"/>
    <cellStyle name="Normal 4 27 4" xfId="1279"/>
    <cellStyle name="Normal 4 27 5" xfId="1280"/>
    <cellStyle name="Normal 4 27 6" xfId="1281"/>
    <cellStyle name="Normal 4 27 7" xfId="1282"/>
    <cellStyle name="Normal 4 27 8" xfId="1283"/>
    <cellStyle name="Normal 4 28" xfId="1284"/>
    <cellStyle name="Normal 4 28 2" xfId="1285"/>
    <cellStyle name="Normal 4 28 2 2" xfId="1286"/>
    <cellStyle name="Normal 4 28 2 2 2" xfId="1287"/>
    <cellStyle name="Normal 4 28 2 2 3" xfId="1288"/>
    <cellStyle name="Normal 4 28 2 2 4" xfId="1289"/>
    <cellStyle name="Normal 4 28 2 2 5" xfId="1290"/>
    <cellStyle name="Normal 4 28 2 2 6" xfId="1291"/>
    <cellStyle name="Normal 4 28 2 3" xfId="1292"/>
    <cellStyle name="Normal 4 28 2 4" xfId="1293"/>
    <cellStyle name="Normal 4 28 2 5" xfId="1294"/>
    <cellStyle name="Normal 4 28 2 6" xfId="1295"/>
    <cellStyle name="Normal 4 28 2 7" xfId="1296"/>
    <cellStyle name="Normal 4 28 3" xfId="1297"/>
    <cellStyle name="Normal 4 28 3 2" xfId="1298"/>
    <cellStyle name="Normal 4 28 3 3" xfId="1299"/>
    <cellStyle name="Normal 4 28 3 4" xfId="1300"/>
    <cellStyle name="Normal 4 28 3 5" xfId="1301"/>
    <cellStyle name="Normal 4 28 3 6" xfId="1302"/>
    <cellStyle name="Normal 4 28 4" xfId="1303"/>
    <cellStyle name="Normal 4 28 5" xfId="1304"/>
    <cellStyle name="Normal 4 28 6" xfId="1305"/>
    <cellStyle name="Normal 4 28 7" xfId="1306"/>
    <cellStyle name="Normal 4 28 8" xfId="1307"/>
    <cellStyle name="Normal 4 29" xfId="1308"/>
    <cellStyle name="Normal 4 29 2" xfId="1309"/>
    <cellStyle name="Normal 4 29 2 2" xfId="1310"/>
    <cellStyle name="Normal 4 29 2 2 2" xfId="1311"/>
    <cellStyle name="Normal 4 29 2 2 3" xfId="1312"/>
    <cellStyle name="Normal 4 29 2 2 4" xfId="1313"/>
    <cellStyle name="Normal 4 29 2 2 5" xfId="1314"/>
    <cellStyle name="Normal 4 29 2 2 6" xfId="1315"/>
    <cellStyle name="Normal 4 29 2 3" xfId="1316"/>
    <cellStyle name="Normal 4 29 2 4" xfId="1317"/>
    <cellStyle name="Normal 4 29 2 5" xfId="1318"/>
    <cellStyle name="Normal 4 29 2 6" xfId="1319"/>
    <cellStyle name="Normal 4 29 2 7" xfId="1320"/>
    <cellStyle name="Normal 4 29 3" xfId="1321"/>
    <cellStyle name="Normal 4 29 3 2" xfId="1322"/>
    <cellStyle name="Normal 4 29 3 3" xfId="1323"/>
    <cellStyle name="Normal 4 29 3 4" xfId="1324"/>
    <cellStyle name="Normal 4 29 3 5" xfId="1325"/>
    <cellStyle name="Normal 4 29 3 6" xfId="1326"/>
    <cellStyle name="Normal 4 29 4" xfId="1327"/>
    <cellStyle name="Normal 4 29 5" xfId="1328"/>
    <cellStyle name="Normal 4 29 6" xfId="1329"/>
    <cellStyle name="Normal 4 29 7" xfId="1330"/>
    <cellStyle name="Normal 4 29 8" xfId="1331"/>
    <cellStyle name="Normal 4 3" xfId="1332"/>
    <cellStyle name="Normal 4 3 2" xfId="1333"/>
    <cellStyle name="Normal 4 3 2 2" xfId="1334"/>
    <cellStyle name="Normal 4 3 2 2 2" xfId="1335"/>
    <cellStyle name="Normal 4 3 2 2 3" xfId="1336"/>
    <cellStyle name="Normal 4 3 2 2 4" xfId="1337"/>
    <cellStyle name="Normal 4 3 2 2 5" xfId="1338"/>
    <cellStyle name="Normal 4 3 2 2 6" xfId="1339"/>
    <cellStyle name="Normal 4 3 2 3" xfId="1340"/>
    <cellStyle name="Normal 4 3 2 4" xfId="1341"/>
    <cellStyle name="Normal 4 3 2 5" xfId="1342"/>
    <cellStyle name="Normal 4 3 2 6" xfId="1343"/>
    <cellStyle name="Normal 4 3 2 7" xfId="1344"/>
    <cellStyle name="Normal 4 3 3" xfId="1345"/>
    <cellStyle name="Normal 4 3 3 2" xfId="1346"/>
    <cellStyle name="Normal 4 3 3 3" xfId="1347"/>
    <cellStyle name="Normal 4 3 3 4" xfId="1348"/>
    <cellStyle name="Normal 4 3 3 5" xfId="1349"/>
    <cellStyle name="Normal 4 3 3 6" xfId="1350"/>
    <cellStyle name="Normal 4 3 4" xfId="1351"/>
    <cellStyle name="Normal 4 3 5" xfId="1352"/>
    <cellStyle name="Normal 4 3 6" xfId="1353"/>
    <cellStyle name="Normal 4 3 7" xfId="1354"/>
    <cellStyle name="Normal 4 3 8" xfId="1355"/>
    <cellStyle name="Normal 4 30" xfId="1356"/>
    <cellStyle name="Normal 4 30 2" xfId="1357"/>
    <cellStyle name="Normal 4 30 2 2" xfId="1358"/>
    <cellStyle name="Normal 4 30 2 2 2" xfId="1359"/>
    <cellStyle name="Normal 4 30 2 2 3" xfId="1360"/>
    <cellStyle name="Normal 4 30 2 2 4" xfId="1361"/>
    <cellStyle name="Normal 4 30 2 2 5" xfId="1362"/>
    <cellStyle name="Normal 4 30 2 2 6" xfId="1363"/>
    <cellStyle name="Normal 4 30 2 3" xfId="1364"/>
    <cellStyle name="Normal 4 30 2 4" xfId="1365"/>
    <cellStyle name="Normal 4 30 2 5" xfId="1366"/>
    <cellStyle name="Normal 4 30 2 6" xfId="1367"/>
    <cellStyle name="Normal 4 30 2 7" xfId="1368"/>
    <cellStyle name="Normal 4 30 3" xfId="1369"/>
    <cellStyle name="Normal 4 30 3 2" xfId="1370"/>
    <cellStyle name="Normal 4 30 3 3" xfId="1371"/>
    <cellStyle name="Normal 4 30 3 4" xfId="1372"/>
    <cellStyle name="Normal 4 30 3 5" xfId="1373"/>
    <cellStyle name="Normal 4 30 3 6" xfId="1374"/>
    <cellStyle name="Normal 4 30 4" xfId="1375"/>
    <cellStyle name="Normal 4 30 5" xfId="1376"/>
    <cellStyle name="Normal 4 30 6" xfId="1377"/>
    <cellStyle name="Normal 4 30 7" xfId="1378"/>
    <cellStyle name="Normal 4 30 8" xfId="1379"/>
    <cellStyle name="Normal 4 31" xfId="1380"/>
    <cellStyle name="Normal 4 31 2" xfId="1381"/>
    <cellStyle name="Normal 4 31 2 2" xfId="1382"/>
    <cellStyle name="Normal 4 31 2 2 2" xfId="1383"/>
    <cellStyle name="Normal 4 31 2 2 3" xfId="1384"/>
    <cellStyle name="Normal 4 31 2 2 4" xfId="1385"/>
    <cellStyle name="Normal 4 31 2 2 5" xfId="1386"/>
    <cellStyle name="Normal 4 31 2 2 6" xfId="1387"/>
    <cellStyle name="Normal 4 31 2 3" xfId="1388"/>
    <cellStyle name="Normal 4 31 2 4" xfId="1389"/>
    <cellStyle name="Normal 4 31 2 5" xfId="1390"/>
    <cellStyle name="Normal 4 31 2 6" xfId="1391"/>
    <cellStyle name="Normal 4 31 2 7" xfId="1392"/>
    <cellStyle name="Normal 4 31 3" xfId="1393"/>
    <cellStyle name="Normal 4 31 3 2" xfId="1394"/>
    <cellStyle name="Normal 4 31 3 3" xfId="1395"/>
    <cellStyle name="Normal 4 31 3 4" xfId="1396"/>
    <cellStyle name="Normal 4 31 3 5" xfId="1397"/>
    <cellStyle name="Normal 4 31 3 6" xfId="1398"/>
    <cellStyle name="Normal 4 31 4" xfId="1399"/>
    <cellStyle name="Normal 4 31 5" xfId="1400"/>
    <cellStyle name="Normal 4 31 6" xfId="1401"/>
    <cellStyle name="Normal 4 31 7" xfId="1402"/>
    <cellStyle name="Normal 4 31 8" xfId="1403"/>
    <cellStyle name="Normal 4 32" xfId="1404"/>
    <cellStyle name="Normal 4 32 2" xfId="1405"/>
    <cellStyle name="Normal 4 32 2 2" xfId="1406"/>
    <cellStyle name="Normal 4 32 2 2 2" xfId="1407"/>
    <cellStyle name="Normal 4 32 2 2 3" xfId="1408"/>
    <cellStyle name="Normal 4 32 2 2 4" xfId="1409"/>
    <cellStyle name="Normal 4 32 2 2 5" xfId="1410"/>
    <cellStyle name="Normal 4 32 2 2 6" xfId="1411"/>
    <cellStyle name="Normal 4 32 2 3" xfId="1412"/>
    <cellStyle name="Normal 4 32 2 4" xfId="1413"/>
    <cellStyle name="Normal 4 32 2 5" xfId="1414"/>
    <cellStyle name="Normal 4 32 2 6" xfId="1415"/>
    <cellStyle name="Normal 4 32 2 7" xfId="1416"/>
    <cellStyle name="Normal 4 32 3" xfId="1417"/>
    <cellStyle name="Normal 4 32 3 2" xfId="1418"/>
    <cellStyle name="Normal 4 32 3 3" xfId="1419"/>
    <cellStyle name="Normal 4 32 3 4" xfId="1420"/>
    <cellStyle name="Normal 4 32 3 5" xfId="1421"/>
    <cellStyle name="Normal 4 32 3 6" xfId="1422"/>
    <cellStyle name="Normal 4 32 4" xfId="1423"/>
    <cellStyle name="Normal 4 32 5" xfId="1424"/>
    <cellStyle name="Normal 4 32 6" xfId="1425"/>
    <cellStyle name="Normal 4 32 7" xfId="1426"/>
    <cellStyle name="Normal 4 32 8" xfId="1427"/>
    <cellStyle name="Normal 4 33" xfId="1428"/>
    <cellStyle name="Normal 4 33 2" xfId="1429"/>
    <cellStyle name="Normal 4 33 2 2" xfId="1430"/>
    <cellStyle name="Normal 4 33 2 2 2" xfId="1431"/>
    <cellStyle name="Normal 4 33 2 2 3" xfId="1432"/>
    <cellStyle name="Normal 4 33 2 2 4" xfId="1433"/>
    <cellStyle name="Normal 4 33 2 2 5" xfId="1434"/>
    <cellStyle name="Normal 4 33 2 2 6" xfId="1435"/>
    <cellStyle name="Normal 4 33 2 3" xfId="1436"/>
    <cellStyle name="Normal 4 33 2 4" xfId="1437"/>
    <cellStyle name="Normal 4 33 2 5" xfId="1438"/>
    <cellStyle name="Normal 4 33 2 6" xfId="1439"/>
    <cellStyle name="Normal 4 33 2 7" xfId="1440"/>
    <cellStyle name="Normal 4 33 3" xfId="1441"/>
    <cellStyle name="Normal 4 33 3 2" xfId="1442"/>
    <cellStyle name="Normal 4 33 3 3" xfId="1443"/>
    <cellStyle name="Normal 4 33 3 4" xfId="1444"/>
    <cellStyle name="Normal 4 33 3 5" xfId="1445"/>
    <cellStyle name="Normal 4 33 3 6" xfId="1446"/>
    <cellStyle name="Normal 4 33 4" xfId="1447"/>
    <cellStyle name="Normal 4 33 5" xfId="1448"/>
    <cellStyle name="Normal 4 33 6" xfId="1449"/>
    <cellStyle name="Normal 4 33 7" xfId="1450"/>
    <cellStyle name="Normal 4 33 8" xfId="1451"/>
    <cellStyle name="Normal 4 34" xfId="1452"/>
    <cellStyle name="Normal 4 34 2" xfId="1453"/>
    <cellStyle name="Normal 4 34 2 2" xfId="1454"/>
    <cellStyle name="Normal 4 34 2 2 2" xfId="1455"/>
    <cellStyle name="Normal 4 34 2 2 3" xfId="1456"/>
    <cellStyle name="Normal 4 34 2 2 4" xfId="1457"/>
    <cellStyle name="Normal 4 34 2 2 5" xfId="1458"/>
    <cellStyle name="Normal 4 34 2 2 6" xfId="1459"/>
    <cellStyle name="Normal 4 34 2 3" xfId="1460"/>
    <cellStyle name="Normal 4 34 2 4" xfId="1461"/>
    <cellStyle name="Normal 4 34 2 5" xfId="1462"/>
    <cellStyle name="Normal 4 34 2 6" xfId="1463"/>
    <cellStyle name="Normal 4 34 2 7" xfId="1464"/>
    <cellStyle name="Normal 4 34 3" xfId="1465"/>
    <cellStyle name="Normal 4 34 3 2" xfId="1466"/>
    <cellStyle name="Normal 4 34 3 3" xfId="1467"/>
    <cellStyle name="Normal 4 34 3 4" xfId="1468"/>
    <cellStyle name="Normal 4 34 3 5" xfId="1469"/>
    <cellStyle name="Normal 4 34 3 6" xfId="1470"/>
    <cellStyle name="Normal 4 34 4" xfId="1471"/>
    <cellStyle name="Normal 4 34 5" xfId="1472"/>
    <cellStyle name="Normal 4 34 6" xfId="1473"/>
    <cellStyle name="Normal 4 34 7" xfId="1474"/>
    <cellStyle name="Normal 4 34 8" xfId="1475"/>
    <cellStyle name="Normal 4 35" xfId="1476"/>
    <cellStyle name="Normal 4 35 2" xfId="1477"/>
    <cellStyle name="Normal 4 35 2 2" xfId="1478"/>
    <cellStyle name="Normal 4 35 2 2 2" xfId="1479"/>
    <cellStyle name="Normal 4 35 2 2 3" xfId="1480"/>
    <cellStyle name="Normal 4 35 2 2 4" xfId="1481"/>
    <cellStyle name="Normal 4 35 2 2 5" xfId="1482"/>
    <cellStyle name="Normal 4 35 2 2 6" xfId="1483"/>
    <cellStyle name="Normal 4 35 2 3" xfId="1484"/>
    <cellStyle name="Normal 4 35 2 4" xfId="1485"/>
    <cellStyle name="Normal 4 35 2 5" xfId="1486"/>
    <cellStyle name="Normal 4 35 2 6" xfId="1487"/>
    <cellStyle name="Normal 4 35 2 7" xfId="1488"/>
    <cellStyle name="Normal 4 35 3" xfId="1489"/>
    <cellStyle name="Normal 4 35 3 2" xfId="1490"/>
    <cellStyle name="Normal 4 35 3 3" xfId="1491"/>
    <cellStyle name="Normal 4 35 3 4" xfId="1492"/>
    <cellStyle name="Normal 4 35 3 5" xfId="1493"/>
    <cellStyle name="Normal 4 35 3 6" xfId="1494"/>
    <cellStyle name="Normal 4 35 4" xfId="1495"/>
    <cellStyle name="Normal 4 35 5" xfId="1496"/>
    <cellStyle name="Normal 4 35 6" xfId="1497"/>
    <cellStyle name="Normal 4 35 7" xfId="1498"/>
    <cellStyle name="Normal 4 35 8" xfId="1499"/>
    <cellStyle name="Normal 4 36" xfId="1500"/>
    <cellStyle name="Normal 4 36 2" xfId="1501"/>
    <cellStyle name="Normal 4 36 2 2" xfId="1502"/>
    <cellStyle name="Normal 4 36 2 3" xfId="1503"/>
    <cellStyle name="Normal 4 36 2 4" xfId="1504"/>
    <cellStyle name="Normal 4 36 2 5" xfId="1505"/>
    <cellStyle name="Normal 4 36 2 6" xfId="1506"/>
    <cellStyle name="Normal 4 36 3" xfId="1507"/>
    <cellStyle name="Normal 4 36 4" xfId="1508"/>
    <cellStyle name="Normal 4 36 5" xfId="1509"/>
    <cellStyle name="Normal 4 36 6" xfId="1510"/>
    <cellStyle name="Normal 4 36 7" xfId="1511"/>
    <cellStyle name="Normal 4 37" xfId="1512"/>
    <cellStyle name="Normal 4 37 2" xfId="1513"/>
    <cellStyle name="Normal 4 37 2 2" xfId="1514"/>
    <cellStyle name="Normal 4 37 2 3" xfId="1515"/>
    <cellStyle name="Normal 4 37 2 4" xfId="1516"/>
    <cellStyle name="Normal 4 37 2 5" xfId="1517"/>
    <cellStyle name="Normal 4 37 2 6" xfId="1518"/>
    <cellStyle name="Normal 4 37 3" xfId="1519"/>
    <cellStyle name="Normal 4 37 4" xfId="1520"/>
    <cellStyle name="Normal 4 37 5" xfId="1521"/>
    <cellStyle name="Normal 4 37 6" xfId="1522"/>
    <cellStyle name="Normal 4 37 7" xfId="1523"/>
    <cellStyle name="Normal 4 38" xfId="1524"/>
    <cellStyle name="Normal 4 38 2" xfId="1525"/>
    <cellStyle name="Normal 4 38 2 2" xfId="1526"/>
    <cellStyle name="Normal 4 38 2 3" xfId="1527"/>
    <cellStyle name="Normal 4 38 2 4" xfId="1528"/>
    <cellStyle name="Normal 4 38 2 5" xfId="1529"/>
    <cellStyle name="Normal 4 38 2 6" xfId="1530"/>
    <cellStyle name="Normal 4 38 3" xfId="1531"/>
    <cellStyle name="Normal 4 38 4" xfId="1532"/>
    <cellStyle name="Normal 4 38 5" xfId="1533"/>
    <cellStyle name="Normal 4 38 6" xfId="1534"/>
    <cellStyle name="Normal 4 38 7" xfId="1535"/>
    <cellStyle name="Normal 4 39" xfId="1536"/>
    <cellStyle name="Normal 4 39 2" xfId="1537"/>
    <cellStyle name="Normal 4 39 2 2" xfId="1538"/>
    <cellStyle name="Normal 4 39 2 3" xfId="1539"/>
    <cellStyle name="Normal 4 39 2 4" xfId="1540"/>
    <cellStyle name="Normal 4 39 2 5" xfId="1541"/>
    <cellStyle name="Normal 4 39 2 6" xfId="1542"/>
    <cellStyle name="Normal 4 39 3" xfId="1543"/>
    <cellStyle name="Normal 4 39 4" xfId="1544"/>
    <cellStyle name="Normal 4 39 5" xfId="1545"/>
    <cellStyle name="Normal 4 39 6" xfId="1546"/>
    <cellStyle name="Normal 4 39 7" xfId="1547"/>
    <cellStyle name="Normal 4 4" xfId="1548"/>
    <cellStyle name="Normal 4 4 2" xfId="1549"/>
    <cellStyle name="Normal 4 4 2 2" xfId="1550"/>
    <cellStyle name="Normal 4 4 2 2 2" xfId="1551"/>
    <cellStyle name="Normal 4 4 2 2 3" xfId="1552"/>
    <cellStyle name="Normal 4 4 2 2 4" xfId="1553"/>
    <cellStyle name="Normal 4 4 2 2 5" xfId="1554"/>
    <cellStyle name="Normal 4 4 2 2 6" xfId="1555"/>
    <cellStyle name="Normal 4 4 2 3" xfId="1556"/>
    <cellStyle name="Normal 4 4 2 4" xfId="1557"/>
    <cellStyle name="Normal 4 4 2 5" xfId="1558"/>
    <cellStyle name="Normal 4 4 2 6" xfId="1559"/>
    <cellStyle name="Normal 4 4 2 7" xfId="1560"/>
    <cellStyle name="Normal 4 4 3" xfId="1561"/>
    <cellStyle name="Normal 4 4 3 2" xfId="1562"/>
    <cellStyle name="Normal 4 4 3 3" xfId="1563"/>
    <cellStyle name="Normal 4 4 3 4" xfId="1564"/>
    <cellStyle name="Normal 4 4 3 5" xfId="1565"/>
    <cellStyle name="Normal 4 4 3 6" xfId="1566"/>
    <cellStyle name="Normal 4 4 4" xfId="1567"/>
    <cellStyle name="Normal 4 4 5" xfId="1568"/>
    <cellStyle name="Normal 4 4 6" xfId="1569"/>
    <cellStyle name="Normal 4 4 7" xfId="1570"/>
    <cellStyle name="Normal 4 4 8" xfId="1571"/>
    <cellStyle name="Normal 4 40" xfId="1572"/>
    <cellStyle name="Normal 4 40 2" xfId="1573"/>
    <cellStyle name="Normal 4 40 2 2" xfId="1574"/>
    <cellStyle name="Normal 4 40 2 3" xfId="1575"/>
    <cellStyle name="Normal 4 40 2 4" xfId="1576"/>
    <cellStyle name="Normal 4 40 2 5" xfId="1577"/>
    <cellStyle name="Normal 4 40 2 6" xfId="1578"/>
    <cellStyle name="Normal 4 40 3" xfId="1579"/>
    <cellStyle name="Normal 4 40 4" xfId="1580"/>
    <cellStyle name="Normal 4 40 5" xfId="1581"/>
    <cellStyle name="Normal 4 40 6" xfId="1582"/>
    <cellStyle name="Normal 4 40 7" xfId="1583"/>
    <cellStyle name="Normal 4 41" xfId="1584"/>
    <cellStyle name="Normal 4 41 2" xfId="1585"/>
    <cellStyle name="Normal 4 41 2 2" xfId="1586"/>
    <cellStyle name="Normal 4 41 2 3" xfId="1587"/>
    <cellStyle name="Normal 4 41 2 4" xfId="1588"/>
    <cellStyle name="Normal 4 41 2 5" xfId="1589"/>
    <cellStyle name="Normal 4 41 2 6" xfId="1590"/>
    <cellStyle name="Normal 4 41 3" xfId="1591"/>
    <cellStyle name="Normal 4 41 4" xfId="1592"/>
    <cellStyle name="Normal 4 41 5" xfId="1593"/>
    <cellStyle name="Normal 4 41 6" xfId="1594"/>
    <cellStyle name="Normal 4 41 7" xfId="1595"/>
    <cellStyle name="Normal 4 42" xfId="1596"/>
    <cellStyle name="Normal 4 42 2" xfId="1597"/>
    <cellStyle name="Normal 4 42 2 2" xfId="1598"/>
    <cellStyle name="Normal 4 42 2 3" xfId="1599"/>
    <cellStyle name="Normal 4 42 2 4" xfId="1600"/>
    <cellStyle name="Normal 4 42 2 5" xfId="1601"/>
    <cellStyle name="Normal 4 42 2 6" xfId="1602"/>
    <cellStyle name="Normal 4 42 3" xfId="1603"/>
    <cellStyle name="Normal 4 42 4" xfId="1604"/>
    <cellStyle name="Normal 4 42 5" xfId="1605"/>
    <cellStyle name="Normal 4 42 6" xfId="1606"/>
    <cellStyle name="Normal 4 42 7" xfId="1607"/>
    <cellStyle name="Normal 4 43" xfId="1608"/>
    <cellStyle name="Normal 4 43 2" xfId="1609"/>
    <cellStyle name="Normal 4 43 2 2" xfId="1610"/>
    <cellStyle name="Normal 4 43 2 3" xfId="1611"/>
    <cellStyle name="Normal 4 43 2 4" xfId="1612"/>
    <cellStyle name="Normal 4 43 2 5" xfId="1613"/>
    <cellStyle name="Normal 4 43 2 6" xfId="1614"/>
    <cellStyle name="Normal 4 43 3" xfId="1615"/>
    <cellStyle name="Normal 4 43 4" xfId="1616"/>
    <cellStyle name="Normal 4 43 5" xfId="1617"/>
    <cellStyle name="Normal 4 43 6" xfId="1618"/>
    <cellStyle name="Normal 4 43 7" xfId="1619"/>
    <cellStyle name="Normal 4 44" xfId="1620"/>
    <cellStyle name="Normal 4 44 2" xfId="1621"/>
    <cellStyle name="Normal 4 44 2 2" xfId="1622"/>
    <cellStyle name="Normal 4 44 2 3" xfId="1623"/>
    <cellStyle name="Normal 4 44 2 4" xfId="1624"/>
    <cellStyle name="Normal 4 44 2 5" xfId="1625"/>
    <cellStyle name="Normal 4 44 2 6" xfId="1626"/>
    <cellStyle name="Normal 4 44 3" xfId="1627"/>
    <cellStyle name="Normal 4 44 4" xfId="1628"/>
    <cellStyle name="Normal 4 44 5" xfId="1629"/>
    <cellStyle name="Normal 4 44 6" xfId="1630"/>
    <cellStyle name="Normal 4 44 7" xfId="1631"/>
    <cellStyle name="Normal 4 45" xfId="1632"/>
    <cellStyle name="Normal 4 45 2" xfId="1633"/>
    <cellStyle name="Normal 4 45 2 2" xfId="1634"/>
    <cellStyle name="Normal 4 45 2 3" xfId="1635"/>
    <cellStyle name="Normal 4 45 2 4" xfId="1636"/>
    <cellStyle name="Normal 4 45 2 5" xfId="1637"/>
    <cellStyle name="Normal 4 45 2 6" xfId="1638"/>
    <cellStyle name="Normal 4 45 3" xfId="1639"/>
    <cellStyle name="Normal 4 45 4" xfId="1640"/>
    <cellStyle name="Normal 4 45 5" xfId="1641"/>
    <cellStyle name="Normal 4 45 6" xfId="1642"/>
    <cellStyle name="Normal 4 45 7" xfId="1643"/>
    <cellStyle name="Normal 4 46" xfId="1644"/>
    <cellStyle name="Normal 4 46 2" xfId="1645"/>
    <cellStyle name="Normal 4 46 2 2" xfId="1646"/>
    <cellStyle name="Normal 4 46 2 3" xfId="1647"/>
    <cellStyle name="Normal 4 46 2 4" xfId="1648"/>
    <cellStyle name="Normal 4 46 2 5" xfId="1649"/>
    <cellStyle name="Normal 4 46 2 6" xfId="1650"/>
    <cellStyle name="Normal 4 46 3" xfId="1651"/>
    <cellStyle name="Normal 4 46 4" xfId="1652"/>
    <cellStyle name="Normal 4 46 5" xfId="1653"/>
    <cellStyle name="Normal 4 46 6" xfId="1654"/>
    <cellStyle name="Normal 4 46 7" xfId="1655"/>
    <cellStyle name="Normal 4 47" xfId="1656"/>
    <cellStyle name="Normal 4 47 2" xfId="1657"/>
    <cellStyle name="Normal 4 47 2 2" xfId="1658"/>
    <cellStyle name="Normal 4 47 2 3" xfId="1659"/>
    <cellStyle name="Normal 4 47 2 4" xfId="1660"/>
    <cellStyle name="Normal 4 47 2 5" xfId="1661"/>
    <cellStyle name="Normal 4 47 2 6" xfId="1662"/>
    <cellStyle name="Normal 4 47 3" xfId="1663"/>
    <cellStyle name="Normal 4 47 4" xfId="1664"/>
    <cellStyle name="Normal 4 47 5" xfId="1665"/>
    <cellStyle name="Normal 4 47 6" xfId="1666"/>
    <cellStyle name="Normal 4 47 7" xfId="1667"/>
    <cellStyle name="Normal 4 48" xfId="1668"/>
    <cellStyle name="Normal 4 48 2" xfId="1669"/>
    <cellStyle name="Normal 4 48 2 2" xfId="1670"/>
    <cellStyle name="Normal 4 48 2 3" xfId="1671"/>
    <cellStyle name="Normal 4 48 2 4" xfId="1672"/>
    <cellStyle name="Normal 4 48 2 5" xfId="1673"/>
    <cellStyle name="Normal 4 48 2 6" xfId="1674"/>
    <cellStyle name="Normal 4 48 3" xfId="1675"/>
    <cellStyle name="Normal 4 48 4" xfId="1676"/>
    <cellStyle name="Normal 4 48 5" xfId="1677"/>
    <cellStyle name="Normal 4 48 6" xfId="1678"/>
    <cellStyle name="Normal 4 48 7" xfId="1679"/>
    <cellStyle name="Normal 4 49" xfId="1680"/>
    <cellStyle name="Normal 4 49 2" xfId="1681"/>
    <cellStyle name="Normal 4 49 2 2" xfId="1682"/>
    <cellStyle name="Normal 4 49 2 3" xfId="1683"/>
    <cellStyle name="Normal 4 49 2 4" xfId="1684"/>
    <cellStyle name="Normal 4 49 2 5" xfId="1685"/>
    <cellStyle name="Normal 4 49 2 6" xfId="1686"/>
    <cellStyle name="Normal 4 49 3" xfId="1687"/>
    <cellStyle name="Normal 4 49 4" xfId="1688"/>
    <cellStyle name="Normal 4 49 5" xfId="1689"/>
    <cellStyle name="Normal 4 49 6" xfId="1690"/>
    <cellStyle name="Normal 4 49 7" xfId="1691"/>
    <cellStyle name="Normal 4 5" xfId="1692"/>
    <cellStyle name="Normal 4 5 2" xfId="1693"/>
    <cellStyle name="Normal 4 5 2 2" xfId="1694"/>
    <cellStyle name="Normal 4 5 2 2 2" xfId="1695"/>
    <cellStyle name="Normal 4 5 2 2 3" xfId="1696"/>
    <cellStyle name="Normal 4 5 2 2 4" xfId="1697"/>
    <cellStyle name="Normal 4 5 2 2 5" xfId="1698"/>
    <cellStyle name="Normal 4 5 2 2 6" xfId="1699"/>
    <cellStyle name="Normal 4 5 2 3" xfId="1700"/>
    <cellStyle name="Normal 4 5 2 4" xfId="1701"/>
    <cellStyle name="Normal 4 5 2 5" xfId="1702"/>
    <cellStyle name="Normal 4 5 2 6" xfId="1703"/>
    <cellStyle name="Normal 4 5 2 7" xfId="1704"/>
    <cellStyle name="Normal 4 5 3" xfId="1705"/>
    <cellStyle name="Normal 4 5 3 2" xfId="1706"/>
    <cellStyle name="Normal 4 5 3 3" xfId="1707"/>
    <cellStyle name="Normal 4 5 3 4" xfId="1708"/>
    <cellStyle name="Normal 4 5 3 5" xfId="1709"/>
    <cellStyle name="Normal 4 5 3 6" xfId="1710"/>
    <cellStyle name="Normal 4 5 4" xfId="1711"/>
    <cellStyle name="Normal 4 5 5" xfId="1712"/>
    <cellStyle name="Normal 4 5 6" xfId="1713"/>
    <cellStyle name="Normal 4 5 7" xfId="1714"/>
    <cellStyle name="Normal 4 5 8" xfId="1715"/>
    <cellStyle name="Normal 4 50" xfId="1716"/>
    <cellStyle name="Normal 4 50 2" xfId="1717"/>
    <cellStyle name="Normal 4 50 2 2" xfId="1718"/>
    <cellStyle name="Normal 4 50 2 3" xfId="1719"/>
    <cellStyle name="Normal 4 50 2 4" xfId="1720"/>
    <cellStyle name="Normal 4 50 2 5" xfId="1721"/>
    <cellStyle name="Normal 4 50 2 6" xfId="1722"/>
    <cellStyle name="Normal 4 50 3" xfId="1723"/>
    <cellStyle name="Normal 4 50 4" xfId="1724"/>
    <cellStyle name="Normal 4 50 5" xfId="1725"/>
    <cellStyle name="Normal 4 50 6" xfId="1726"/>
    <cellStyle name="Normal 4 50 7" xfId="1727"/>
    <cellStyle name="Normal 4 51" xfId="1728"/>
    <cellStyle name="Normal 4 51 2" xfId="1729"/>
    <cellStyle name="Normal 4 51 2 2" xfId="1730"/>
    <cellStyle name="Normal 4 51 2 3" xfId="1731"/>
    <cellStyle name="Normal 4 51 2 4" xfId="1732"/>
    <cellStyle name="Normal 4 51 2 5" xfId="1733"/>
    <cellStyle name="Normal 4 51 2 6" xfId="1734"/>
    <cellStyle name="Normal 4 51 3" xfId="1735"/>
    <cellStyle name="Normal 4 51 4" xfId="1736"/>
    <cellStyle name="Normal 4 51 5" xfId="1737"/>
    <cellStyle name="Normal 4 51 6" xfId="1738"/>
    <cellStyle name="Normal 4 51 7" xfId="1739"/>
    <cellStyle name="Normal 4 52" xfId="1740"/>
    <cellStyle name="Normal 4 52 2" xfId="1741"/>
    <cellStyle name="Normal 4 52 2 2" xfId="1742"/>
    <cellStyle name="Normal 4 52 2 3" xfId="1743"/>
    <cellStyle name="Normal 4 52 2 4" xfId="1744"/>
    <cellStyle name="Normal 4 52 2 5" xfId="1745"/>
    <cellStyle name="Normal 4 52 2 6" xfId="1746"/>
    <cellStyle name="Normal 4 52 3" xfId="1747"/>
    <cellStyle name="Normal 4 52 4" xfId="1748"/>
    <cellStyle name="Normal 4 52 5" xfId="1749"/>
    <cellStyle name="Normal 4 52 6" xfId="1750"/>
    <cellStyle name="Normal 4 52 7" xfId="1751"/>
    <cellStyle name="Normal 4 53" xfId="1752"/>
    <cellStyle name="Normal 4 53 2" xfId="1753"/>
    <cellStyle name="Normal 4 53 2 2" xfId="1754"/>
    <cellStyle name="Normal 4 53 2 3" xfId="1755"/>
    <cellStyle name="Normal 4 53 2 4" xfId="1756"/>
    <cellStyle name="Normal 4 53 2 5" xfId="1757"/>
    <cellStyle name="Normal 4 53 2 6" xfId="1758"/>
    <cellStyle name="Normal 4 53 3" xfId="1759"/>
    <cellStyle name="Normal 4 53 4" xfId="1760"/>
    <cellStyle name="Normal 4 53 5" xfId="1761"/>
    <cellStyle name="Normal 4 53 6" xfId="1762"/>
    <cellStyle name="Normal 4 53 7" xfId="1763"/>
    <cellStyle name="Normal 4 54" xfId="1764"/>
    <cellStyle name="Normal 4 54 2" xfId="1765"/>
    <cellStyle name="Normal 4 54 2 2" xfId="1766"/>
    <cellStyle name="Normal 4 54 2 3" xfId="1767"/>
    <cellStyle name="Normal 4 54 2 4" xfId="1768"/>
    <cellStyle name="Normal 4 54 2 5" xfId="1769"/>
    <cellStyle name="Normal 4 54 2 6" xfId="1770"/>
    <cellStyle name="Normal 4 54 3" xfId="1771"/>
    <cellStyle name="Normal 4 54 4" xfId="1772"/>
    <cellStyle name="Normal 4 54 5" xfId="1773"/>
    <cellStyle name="Normal 4 54 6" xfId="1774"/>
    <cellStyle name="Normal 4 54 7" xfId="1775"/>
    <cellStyle name="Normal 4 55" xfId="1776"/>
    <cellStyle name="Normal 4 55 2" xfId="1777"/>
    <cellStyle name="Normal 4 55 2 2" xfId="1778"/>
    <cellStyle name="Normal 4 55 2 3" xfId="1779"/>
    <cellStyle name="Normal 4 55 2 4" xfId="1780"/>
    <cellStyle name="Normal 4 55 2 5" xfId="1781"/>
    <cellStyle name="Normal 4 55 2 6" xfId="1782"/>
    <cellStyle name="Normal 4 55 3" xfId="1783"/>
    <cellStyle name="Normal 4 55 4" xfId="1784"/>
    <cellStyle name="Normal 4 55 5" xfId="1785"/>
    <cellStyle name="Normal 4 55 6" xfId="1786"/>
    <cellStyle name="Normal 4 55 7" xfId="1787"/>
    <cellStyle name="Normal 4 56" xfId="1788"/>
    <cellStyle name="Normal 4 56 2" xfId="1789"/>
    <cellStyle name="Normal 4 56 2 2" xfId="1790"/>
    <cellStyle name="Normal 4 56 2 3" xfId="1791"/>
    <cellStyle name="Normal 4 56 2 4" xfId="1792"/>
    <cellStyle name="Normal 4 56 2 5" xfId="1793"/>
    <cellStyle name="Normal 4 56 2 6" xfId="1794"/>
    <cellStyle name="Normal 4 56 3" xfId="1795"/>
    <cellStyle name="Normal 4 56 4" xfId="1796"/>
    <cellStyle name="Normal 4 56 5" xfId="1797"/>
    <cellStyle name="Normal 4 56 6" xfId="1798"/>
    <cellStyle name="Normal 4 56 7" xfId="1799"/>
    <cellStyle name="Normal 4 57" xfId="1800"/>
    <cellStyle name="Normal 4 57 2" xfId="1801"/>
    <cellStyle name="Normal 4 57 2 2" xfId="1802"/>
    <cellStyle name="Normal 4 57 2 3" xfId="1803"/>
    <cellStyle name="Normal 4 57 2 4" xfId="1804"/>
    <cellStyle name="Normal 4 57 2 5" xfId="1805"/>
    <cellStyle name="Normal 4 57 2 6" xfId="1806"/>
    <cellStyle name="Normal 4 57 3" xfId="1807"/>
    <cellStyle name="Normal 4 57 4" xfId="1808"/>
    <cellStyle name="Normal 4 57 5" xfId="1809"/>
    <cellStyle name="Normal 4 57 6" xfId="1810"/>
    <cellStyle name="Normal 4 57 7" xfId="1811"/>
    <cellStyle name="Normal 4 58" xfId="1812"/>
    <cellStyle name="Normal 4 58 2" xfId="1813"/>
    <cellStyle name="Normal 4 58 2 2" xfId="1814"/>
    <cellStyle name="Normal 4 58 2 3" xfId="1815"/>
    <cellStyle name="Normal 4 58 2 4" xfId="1816"/>
    <cellStyle name="Normal 4 58 2 5" xfId="1817"/>
    <cellStyle name="Normal 4 58 2 6" xfId="1818"/>
    <cellStyle name="Normal 4 58 3" xfId="1819"/>
    <cellStyle name="Normal 4 58 4" xfId="1820"/>
    <cellStyle name="Normal 4 58 5" xfId="1821"/>
    <cellStyle name="Normal 4 58 6" xfId="1822"/>
    <cellStyle name="Normal 4 58 7" xfId="1823"/>
    <cellStyle name="Normal 4 59" xfId="1824"/>
    <cellStyle name="Normal 4 59 2" xfId="1825"/>
    <cellStyle name="Normal 4 59 2 2" xfId="1826"/>
    <cellStyle name="Normal 4 59 2 3" xfId="1827"/>
    <cellStyle name="Normal 4 59 2 4" xfId="1828"/>
    <cellStyle name="Normal 4 59 2 5" xfId="1829"/>
    <cellStyle name="Normal 4 59 2 6" xfId="1830"/>
    <cellStyle name="Normal 4 59 3" xfId="1831"/>
    <cellStyle name="Normal 4 59 4" xfId="1832"/>
    <cellStyle name="Normal 4 59 5" xfId="1833"/>
    <cellStyle name="Normal 4 59 6" xfId="1834"/>
    <cellStyle name="Normal 4 59 7" xfId="1835"/>
    <cellStyle name="Normal 4 6" xfId="1836"/>
    <cellStyle name="Normal 4 6 2" xfId="1837"/>
    <cellStyle name="Normal 4 6 2 2" xfId="1838"/>
    <cellStyle name="Normal 4 6 2 2 2" xfId="1839"/>
    <cellStyle name="Normal 4 6 2 2 3" xfId="1840"/>
    <cellStyle name="Normal 4 6 2 2 4" xfId="1841"/>
    <cellStyle name="Normal 4 6 2 2 5" xfId="1842"/>
    <cellStyle name="Normal 4 6 2 2 6" xfId="1843"/>
    <cellStyle name="Normal 4 6 2 3" xfId="1844"/>
    <cellStyle name="Normal 4 6 2 4" xfId="1845"/>
    <cellStyle name="Normal 4 6 2 5" xfId="1846"/>
    <cellStyle name="Normal 4 6 2 6" xfId="1847"/>
    <cellStyle name="Normal 4 6 2 7" xfId="1848"/>
    <cellStyle name="Normal 4 6 3" xfId="1849"/>
    <cellStyle name="Normal 4 6 3 2" xfId="1850"/>
    <cellStyle name="Normal 4 6 3 3" xfId="1851"/>
    <cellStyle name="Normal 4 6 3 4" xfId="1852"/>
    <cellStyle name="Normal 4 6 3 5" xfId="1853"/>
    <cellStyle name="Normal 4 6 3 6" xfId="1854"/>
    <cellStyle name="Normal 4 6 4" xfId="1855"/>
    <cellStyle name="Normal 4 6 5" xfId="1856"/>
    <cellStyle name="Normal 4 6 6" xfId="1857"/>
    <cellStyle name="Normal 4 6 7" xfId="1858"/>
    <cellStyle name="Normal 4 6 8" xfId="1859"/>
    <cellStyle name="Normal 4 60" xfId="1860"/>
    <cellStyle name="Normal 4 60 2" xfId="1861"/>
    <cellStyle name="Normal 4 60 2 2" xfId="1862"/>
    <cellStyle name="Normal 4 60 2 3" xfId="1863"/>
    <cellStyle name="Normal 4 60 2 4" xfId="1864"/>
    <cellStyle name="Normal 4 60 2 5" xfId="1865"/>
    <cellStyle name="Normal 4 60 2 6" xfId="1866"/>
    <cellStyle name="Normal 4 60 3" xfId="1867"/>
    <cellStyle name="Normal 4 60 4" xfId="1868"/>
    <cellStyle name="Normal 4 60 5" xfId="1869"/>
    <cellStyle name="Normal 4 60 6" xfId="1870"/>
    <cellStyle name="Normal 4 60 7" xfId="1871"/>
    <cellStyle name="Normal 4 61" xfId="1872"/>
    <cellStyle name="Normal 4 61 2" xfId="1873"/>
    <cellStyle name="Normal 4 61 2 2" xfId="1874"/>
    <cellStyle name="Normal 4 61 2 3" xfId="1875"/>
    <cellStyle name="Normal 4 61 2 4" xfId="1876"/>
    <cellStyle name="Normal 4 61 2 5" xfId="1877"/>
    <cellStyle name="Normal 4 61 2 6" xfId="1878"/>
    <cellStyle name="Normal 4 61 3" xfId="1879"/>
    <cellStyle name="Normal 4 61 4" xfId="1880"/>
    <cellStyle name="Normal 4 61 5" xfId="1881"/>
    <cellStyle name="Normal 4 61 6" xfId="1882"/>
    <cellStyle name="Normal 4 61 7" xfId="1883"/>
    <cellStyle name="Normal 4 62" xfId="1884"/>
    <cellStyle name="Normal 4 62 2" xfId="1885"/>
    <cellStyle name="Normal 4 62 2 2" xfId="1886"/>
    <cellStyle name="Normal 4 62 2 3" xfId="1887"/>
    <cellStyle name="Normal 4 62 2 4" xfId="1888"/>
    <cellStyle name="Normal 4 62 2 5" xfId="1889"/>
    <cellStyle name="Normal 4 62 2 6" xfId="1890"/>
    <cellStyle name="Normal 4 62 3" xfId="1891"/>
    <cellStyle name="Normal 4 62 4" xfId="1892"/>
    <cellStyle name="Normal 4 62 5" xfId="1893"/>
    <cellStyle name="Normal 4 62 6" xfId="1894"/>
    <cellStyle name="Normal 4 62 7" xfId="1895"/>
    <cellStyle name="Normal 4 63" xfId="1896"/>
    <cellStyle name="Normal 4 63 2" xfId="1897"/>
    <cellStyle name="Normal 4 63 2 2" xfId="1898"/>
    <cellStyle name="Normal 4 63 2 3" xfId="1899"/>
    <cellStyle name="Normal 4 63 2 4" xfId="1900"/>
    <cellStyle name="Normal 4 63 2 5" xfId="1901"/>
    <cellStyle name="Normal 4 63 2 6" xfId="1902"/>
    <cellStyle name="Normal 4 63 3" xfId="1903"/>
    <cellStyle name="Normal 4 63 4" xfId="1904"/>
    <cellStyle name="Normal 4 63 5" xfId="1905"/>
    <cellStyle name="Normal 4 63 6" xfId="1906"/>
    <cellStyle name="Normal 4 63 7" xfId="1907"/>
    <cellStyle name="Normal 4 64" xfId="1908"/>
    <cellStyle name="Normal 4 64 2" xfId="1909"/>
    <cellStyle name="Normal 4 64 2 2" xfId="1910"/>
    <cellStyle name="Normal 4 64 2 3" xfId="1911"/>
    <cellStyle name="Normal 4 64 2 4" xfId="1912"/>
    <cellStyle name="Normal 4 64 2 5" xfId="1913"/>
    <cellStyle name="Normal 4 64 2 6" xfId="1914"/>
    <cellStyle name="Normal 4 64 3" xfId="1915"/>
    <cellStyle name="Normal 4 64 4" xfId="1916"/>
    <cellStyle name="Normal 4 64 5" xfId="1917"/>
    <cellStyle name="Normal 4 64 6" xfId="1918"/>
    <cellStyle name="Normal 4 64 7" xfId="1919"/>
    <cellStyle name="Normal 4 65" xfId="1920"/>
    <cellStyle name="Normal 4 65 2" xfId="1921"/>
    <cellStyle name="Normal 4 65 2 2" xfId="1922"/>
    <cellStyle name="Normal 4 65 2 3" xfId="1923"/>
    <cellStyle name="Normal 4 65 2 4" xfId="1924"/>
    <cellStyle name="Normal 4 65 2 5" xfId="1925"/>
    <cellStyle name="Normal 4 65 2 6" xfId="1926"/>
    <cellStyle name="Normal 4 65 3" xfId="1927"/>
    <cellStyle name="Normal 4 65 4" xfId="1928"/>
    <cellStyle name="Normal 4 65 5" xfId="1929"/>
    <cellStyle name="Normal 4 65 6" xfId="1930"/>
    <cellStyle name="Normal 4 65 7" xfId="1931"/>
    <cellStyle name="Normal 4 66" xfId="1932"/>
    <cellStyle name="Normal 4 66 2" xfId="1933"/>
    <cellStyle name="Normal 4 66 2 2" xfId="1934"/>
    <cellStyle name="Normal 4 66 2 3" xfId="1935"/>
    <cellStyle name="Normal 4 66 2 4" xfId="1936"/>
    <cellStyle name="Normal 4 66 2 5" xfId="1937"/>
    <cellStyle name="Normal 4 66 2 6" xfId="1938"/>
    <cellStyle name="Normal 4 66 3" xfId="1939"/>
    <cellStyle name="Normal 4 66 4" xfId="1940"/>
    <cellStyle name="Normal 4 66 5" xfId="1941"/>
    <cellStyle name="Normal 4 66 6" xfId="1942"/>
    <cellStyle name="Normal 4 66 7" xfId="1943"/>
    <cellStyle name="Normal 4 67" xfId="1944"/>
    <cellStyle name="Normal 4 67 2" xfId="1945"/>
    <cellStyle name="Normal 4 67 2 2" xfId="1946"/>
    <cellStyle name="Normal 4 67 2 3" xfId="1947"/>
    <cellStyle name="Normal 4 67 2 4" xfId="1948"/>
    <cellStyle name="Normal 4 67 2 5" xfId="1949"/>
    <cellStyle name="Normal 4 67 2 6" xfId="1950"/>
    <cellStyle name="Normal 4 67 3" xfId="1951"/>
    <cellStyle name="Normal 4 67 4" xfId="1952"/>
    <cellStyle name="Normal 4 67 5" xfId="1953"/>
    <cellStyle name="Normal 4 67 6" xfId="1954"/>
    <cellStyle name="Normal 4 67 7" xfId="1955"/>
    <cellStyle name="Normal 4 68" xfId="1956"/>
    <cellStyle name="Normal 4 68 2" xfId="1957"/>
    <cellStyle name="Normal 4 68 2 2" xfId="1958"/>
    <cellStyle name="Normal 4 68 2 3" xfId="1959"/>
    <cellStyle name="Normal 4 68 2 4" xfId="1960"/>
    <cellStyle name="Normal 4 68 2 5" xfId="1961"/>
    <cellStyle name="Normal 4 68 2 6" xfId="1962"/>
    <cellStyle name="Normal 4 68 3" xfId="1963"/>
    <cellStyle name="Normal 4 68 4" xfId="1964"/>
    <cellStyle name="Normal 4 68 5" xfId="1965"/>
    <cellStyle name="Normal 4 68 6" xfId="1966"/>
    <cellStyle name="Normal 4 68 7" xfId="1967"/>
    <cellStyle name="Normal 4 69" xfId="1968"/>
    <cellStyle name="Normal 4 69 2" xfId="1969"/>
    <cellStyle name="Normal 4 69 2 2" xfId="1970"/>
    <cellStyle name="Normal 4 69 2 3" xfId="1971"/>
    <cellStyle name="Normal 4 69 2 4" xfId="1972"/>
    <cellStyle name="Normal 4 69 2 5" xfId="1973"/>
    <cellStyle name="Normal 4 69 2 6" xfId="1974"/>
    <cellStyle name="Normal 4 69 3" xfId="1975"/>
    <cellStyle name="Normal 4 69 4" xfId="1976"/>
    <cellStyle name="Normal 4 69 5" xfId="1977"/>
    <cellStyle name="Normal 4 69 6" xfId="1978"/>
    <cellStyle name="Normal 4 69 7" xfId="1979"/>
    <cellStyle name="Normal 4 7" xfId="1980"/>
    <cellStyle name="Normal 4 7 2" xfId="1981"/>
    <cellStyle name="Normal 4 7 2 2" xfId="1982"/>
    <cellStyle name="Normal 4 7 2 2 2" xfId="1983"/>
    <cellStyle name="Normal 4 7 2 2 3" xfId="1984"/>
    <cellStyle name="Normal 4 7 2 2 4" xfId="1985"/>
    <cellStyle name="Normal 4 7 2 2 5" xfId="1986"/>
    <cellStyle name="Normal 4 7 2 2 6" xfId="1987"/>
    <cellStyle name="Normal 4 7 2 3" xfId="1988"/>
    <cellStyle name="Normal 4 7 2 4" xfId="1989"/>
    <cellStyle name="Normal 4 7 2 5" xfId="1990"/>
    <cellStyle name="Normal 4 7 2 6" xfId="1991"/>
    <cellStyle name="Normal 4 7 2 7" xfId="1992"/>
    <cellStyle name="Normal 4 7 3" xfId="1993"/>
    <cellStyle name="Normal 4 7 3 2" xfId="1994"/>
    <cellStyle name="Normal 4 7 3 3" xfId="1995"/>
    <cellStyle name="Normal 4 7 3 4" xfId="1996"/>
    <cellStyle name="Normal 4 7 3 5" xfId="1997"/>
    <cellStyle name="Normal 4 7 3 6" xfId="1998"/>
    <cellStyle name="Normal 4 7 4" xfId="1999"/>
    <cellStyle name="Normal 4 7 5" xfId="2000"/>
    <cellStyle name="Normal 4 7 6" xfId="2001"/>
    <cellStyle name="Normal 4 7 7" xfId="2002"/>
    <cellStyle name="Normal 4 7 8" xfId="2003"/>
    <cellStyle name="Normal 4 70" xfId="2004"/>
    <cellStyle name="Normal 4 70 2" xfId="2005"/>
    <cellStyle name="Normal 4 70 2 2" xfId="2006"/>
    <cellStyle name="Normal 4 70 2 3" xfId="2007"/>
    <cellStyle name="Normal 4 70 2 4" xfId="2008"/>
    <cellStyle name="Normal 4 70 2 5" xfId="2009"/>
    <cellStyle name="Normal 4 70 2 6" xfId="2010"/>
    <cellStyle name="Normal 4 70 3" xfId="2011"/>
    <cellStyle name="Normal 4 70 4" xfId="2012"/>
    <cellStyle name="Normal 4 70 5" xfId="2013"/>
    <cellStyle name="Normal 4 70 6" xfId="2014"/>
    <cellStyle name="Normal 4 70 7" xfId="2015"/>
    <cellStyle name="Normal 4 71" xfId="2016"/>
    <cellStyle name="Normal 4 71 2" xfId="2017"/>
    <cellStyle name="Normal 4 71 2 2" xfId="2018"/>
    <cellStyle name="Normal 4 71 2 3" xfId="2019"/>
    <cellStyle name="Normal 4 71 2 4" xfId="2020"/>
    <cellStyle name="Normal 4 71 2 5" xfId="2021"/>
    <cellStyle name="Normal 4 71 2 6" xfId="2022"/>
    <cellStyle name="Normal 4 71 3" xfId="2023"/>
    <cellStyle name="Normal 4 71 4" xfId="2024"/>
    <cellStyle name="Normal 4 71 5" xfId="2025"/>
    <cellStyle name="Normal 4 71 6" xfId="2026"/>
    <cellStyle name="Normal 4 71 7" xfId="2027"/>
    <cellStyle name="Normal 4 72" xfId="2028"/>
    <cellStyle name="Normal 4 72 2" xfId="2029"/>
    <cellStyle name="Normal 4 72 2 2" xfId="2030"/>
    <cellStyle name="Normal 4 72 2 3" xfId="2031"/>
    <cellStyle name="Normal 4 72 2 4" xfId="2032"/>
    <cellStyle name="Normal 4 72 2 5" xfId="2033"/>
    <cellStyle name="Normal 4 72 2 6" xfId="2034"/>
    <cellStyle name="Normal 4 72 3" xfId="2035"/>
    <cellStyle name="Normal 4 72 4" xfId="2036"/>
    <cellStyle name="Normal 4 72 5" xfId="2037"/>
    <cellStyle name="Normal 4 72 6" xfId="2038"/>
    <cellStyle name="Normal 4 72 7" xfId="2039"/>
    <cellStyle name="Normal 4 73" xfId="2040"/>
    <cellStyle name="Normal 4 73 2" xfId="2041"/>
    <cellStyle name="Normal 4 73 2 2" xfId="2042"/>
    <cellStyle name="Normal 4 73 2 3" xfId="2043"/>
    <cellStyle name="Normal 4 73 2 4" xfId="2044"/>
    <cellStyle name="Normal 4 73 2 5" xfId="2045"/>
    <cellStyle name="Normal 4 73 2 6" xfId="2046"/>
    <cellStyle name="Normal 4 73 3" xfId="2047"/>
    <cellStyle name="Normal 4 73 4" xfId="2048"/>
    <cellStyle name="Normal 4 73 5" xfId="2049"/>
    <cellStyle name="Normal 4 73 6" xfId="2050"/>
    <cellStyle name="Normal 4 73 7" xfId="2051"/>
    <cellStyle name="Normal 4 74" xfId="2052"/>
    <cellStyle name="Normal 4 74 2" xfId="2053"/>
    <cellStyle name="Normal 4 74 2 2" xfId="2054"/>
    <cellStyle name="Normal 4 74 2 3" xfId="2055"/>
    <cellStyle name="Normal 4 74 2 4" xfId="2056"/>
    <cellStyle name="Normal 4 74 2 5" xfId="2057"/>
    <cellStyle name="Normal 4 74 2 6" xfId="2058"/>
    <cellStyle name="Normal 4 74 3" xfId="2059"/>
    <cellStyle name="Normal 4 74 4" xfId="2060"/>
    <cellStyle name="Normal 4 74 5" xfId="2061"/>
    <cellStyle name="Normal 4 74 6" xfId="2062"/>
    <cellStyle name="Normal 4 74 7" xfId="2063"/>
    <cellStyle name="Normal 4 75" xfId="2064"/>
    <cellStyle name="Normal 4 75 2" xfId="2065"/>
    <cellStyle name="Normal 4 75 2 2" xfId="2066"/>
    <cellStyle name="Normal 4 75 2 3" xfId="2067"/>
    <cellStyle name="Normal 4 75 2 4" xfId="2068"/>
    <cellStyle name="Normal 4 75 2 5" xfId="2069"/>
    <cellStyle name="Normal 4 75 2 6" xfId="2070"/>
    <cellStyle name="Normal 4 75 3" xfId="2071"/>
    <cellStyle name="Normal 4 75 4" xfId="2072"/>
    <cellStyle name="Normal 4 75 5" xfId="2073"/>
    <cellStyle name="Normal 4 75 6" xfId="2074"/>
    <cellStyle name="Normal 4 75 7" xfId="2075"/>
    <cellStyle name="Normal 4 76" xfId="2076"/>
    <cellStyle name="Normal 4 76 2" xfId="2077"/>
    <cellStyle name="Normal 4 76 3" xfId="2078"/>
    <cellStyle name="Normal 4 76 4" xfId="2079"/>
    <cellStyle name="Normal 4 76 5" xfId="2080"/>
    <cellStyle name="Normal 4 76 6" xfId="2081"/>
    <cellStyle name="Normal 4 77" xfId="2082"/>
    <cellStyle name="Normal 4 78" xfId="2083"/>
    <cellStyle name="Normal 4 79" xfId="2084"/>
    <cellStyle name="Normal 4 8" xfId="2085"/>
    <cellStyle name="Normal 4 8 2" xfId="2086"/>
    <cellStyle name="Normal 4 8 2 2" xfId="2087"/>
    <cellStyle name="Normal 4 8 2 2 2" xfId="2088"/>
    <cellStyle name="Normal 4 8 2 2 3" xfId="2089"/>
    <cellStyle name="Normal 4 8 2 2 4" xfId="2090"/>
    <cellStyle name="Normal 4 8 2 2 5" xfId="2091"/>
    <cellStyle name="Normal 4 8 2 2 6" xfId="2092"/>
    <cellStyle name="Normal 4 8 2 3" xfId="2093"/>
    <cellStyle name="Normal 4 8 2 4" xfId="2094"/>
    <cellStyle name="Normal 4 8 2 5" xfId="2095"/>
    <cellStyle name="Normal 4 8 2 6" xfId="2096"/>
    <cellStyle name="Normal 4 8 2 7" xfId="2097"/>
    <cellStyle name="Normal 4 8 3" xfId="2098"/>
    <cellStyle name="Normal 4 8 3 2" xfId="2099"/>
    <cellStyle name="Normal 4 8 3 3" xfId="2100"/>
    <cellStyle name="Normal 4 8 3 4" xfId="2101"/>
    <cellStyle name="Normal 4 8 3 5" xfId="2102"/>
    <cellStyle name="Normal 4 8 3 6" xfId="2103"/>
    <cellStyle name="Normal 4 8 4" xfId="2104"/>
    <cellStyle name="Normal 4 8 5" xfId="2105"/>
    <cellStyle name="Normal 4 8 6" xfId="2106"/>
    <cellStyle name="Normal 4 8 7" xfId="2107"/>
    <cellStyle name="Normal 4 8 8" xfId="2108"/>
    <cellStyle name="Normal 4 80" xfId="2109"/>
    <cellStyle name="Normal 4 81" xfId="2110"/>
    <cellStyle name="Normal 4 9" xfId="2111"/>
    <cellStyle name="Normal 4 9 2" xfId="2112"/>
    <cellStyle name="Normal 4 9 2 2" xfId="2113"/>
    <cellStyle name="Normal 4 9 2 2 2" xfId="2114"/>
    <cellStyle name="Normal 4 9 2 2 3" xfId="2115"/>
    <cellStyle name="Normal 4 9 2 2 4" xfId="2116"/>
    <cellStyle name="Normal 4 9 2 2 5" xfId="2117"/>
    <cellStyle name="Normal 4 9 2 2 6" xfId="2118"/>
    <cellStyle name="Normal 4 9 2 3" xfId="2119"/>
    <cellStyle name="Normal 4 9 2 4" xfId="2120"/>
    <cellStyle name="Normal 4 9 2 5" xfId="2121"/>
    <cellStyle name="Normal 4 9 2 6" xfId="2122"/>
    <cellStyle name="Normal 4 9 2 7" xfId="2123"/>
    <cellStyle name="Normal 4 9 3" xfId="2124"/>
    <cellStyle name="Normal 4 9 3 2" xfId="2125"/>
    <cellStyle name="Normal 4 9 3 3" xfId="2126"/>
    <cellStyle name="Normal 4 9 3 4" xfId="2127"/>
    <cellStyle name="Normal 4 9 3 5" xfId="2128"/>
    <cellStyle name="Normal 4 9 3 6" xfId="2129"/>
    <cellStyle name="Normal 4 9 4" xfId="2130"/>
    <cellStyle name="Normal 4 9 5" xfId="2131"/>
    <cellStyle name="Normal 4 9 6" xfId="2132"/>
    <cellStyle name="Normal 4 9 7" xfId="2133"/>
    <cellStyle name="Normal 4 9 8" xfId="2134"/>
    <cellStyle name="Normal 40" xfId="2135"/>
    <cellStyle name="Normal 40 2" xfId="2136"/>
    <cellStyle name="Normal 40 2 2" xfId="2137"/>
    <cellStyle name="Normal 40 2 2 2" xfId="2138"/>
    <cellStyle name="Normal 40 2 2 3" xfId="2139"/>
    <cellStyle name="Normal 40 2 2 4" xfId="2140"/>
    <cellStyle name="Normal 40 2 2 5" xfId="2141"/>
    <cellStyle name="Normal 40 2 2 6" xfId="2142"/>
    <cellStyle name="Normal 40 2 3" xfId="2143"/>
    <cellStyle name="Normal 40 2 4" xfId="2144"/>
    <cellStyle name="Normal 40 2 5" xfId="2145"/>
    <cellStyle name="Normal 40 2 6" xfId="2146"/>
    <cellStyle name="Normal 40 2 7" xfId="2147"/>
    <cellStyle name="Normal 40 3" xfId="2148"/>
    <cellStyle name="Normal 40 3 2" xfId="2149"/>
    <cellStyle name="Normal 40 3 3" xfId="2150"/>
    <cellStyle name="Normal 40 3 4" xfId="2151"/>
    <cellStyle name="Normal 40 3 5" xfId="2152"/>
    <cellStyle name="Normal 40 3 6" xfId="2153"/>
    <cellStyle name="Normal 40 4" xfId="2154"/>
    <cellStyle name="Normal 40 5" xfId="2155"/>
    <cellStyle name="Normal 40 6" xfId="2156"/>
    <cellStyle name="Normal 40 7" xfId="2157"/>
    <cellStyle name="Normal 40 8" xfId="2158"/>
    <cellStyle name="Normal 41" xfId="2159"/>
    <cellStyle name="Normal 42" xfId="2160"/>
    <cellStyle name="Normal 43" xfId="2161"/>
    <cellStyle name="Normal 43 2" xfId="2162"/>
    <cellStyle name="Normal 43 2 2" xfId="2163"/>
    <cellStyle name="Normal 43 2 3" xfId="2164"/>
    <cellStyle name="Normal 43 2 4" xfId="2165"/>
    <cellStyle name="Normal 43 2 5" xfId="2166"/>
    <cellStyle name="Normal 43 2 6" xfId="2167"/>
    <cellStyle name="Normal 43 3" xfId="2168"/>
    <cellStyle name="Normal 43 4" xfId="2169"/>
    <cellStyle name="Normal 43 5" xfId="2170"/>
    <cellStyle name="Normal 43 6" xfId="2171"/>
    <cellStyle name="Normal 43 7" xfId="2172"/>
    <cellStyle name="Normal 44" xfId="2173"/>
    <cellStyle name="Normal 44 2" xfId="2174"/>
    <cellStyle name="Normal 44 2 2" xfId="2175"/>
    <cellStyle name="Normal 44 2 3" xfId="2176"/>
    <cellStyle name="Normal 44 2 4" xfId="2177"/>
    <cellStyle name="Normal 44 2 5" xfId="2178"/>
    <cellStyle name="Normal 44 2 6" xfId="2179"/>
    <cellStyle name="Normal 44 3" xfId="2180"/>
    <cellStyle name="Normal 44 4" xfId="2181"/>
    <cellStyle name="Normal 44 5" xfId="2182"/>
    <cellStyle name="Normal 44 6" xfId="2183"/>
    <cellStyle name="Normal 44 7" xfId="2184"/>
    <cellStyle name="Normal 45" xfId="2185"/>
    <cellStyle name="Normal 45 2" xfId="2186"/>
    <cellStyle name="Normal 45 2 2" xfId="2187"/>
    <cellStyle name="Normal 45 2 3" xfId="2188"/>
    <cellStyle name="Normal 45 2 4" xfId="2189"/>
    <cellStyle name="Normal 45 2 5" xfId="2190"/>
    <cellStyle name="Normal 45 2 6" xfId="2191"/>
    <cellStyle name="Normal 45 3" xfId="2192"/>
    <cellStyle name="Normal 45 4" xfId="2193"/>
    <cellStyle name="Normal 45 5" xfId="2194"/>
    <cellStyle name="Normal 45 6" xfId="2195"/>
    <cellStyle name="Normal 45 7" xfId="2196"/>
    <cellStyle name="Normal 46" xfId="2197"/>
    <cellStyle name="Normal 46 2" xfId="2198"/>
    <cellStyle name="Normal 46 2 2" xfId="2199"/>
    <cellStyle name="Normal 46 2 3" xfId="2200"/>
    <cellStyle name="Normal 46 2 4" xfId="2201"/>
    <cellStyle name="Normal 46 2 5" xfId="2202"/>
    <cellStyle name="Normal 46 2 6" xfId="2203"/>
    <cellStyle name="Normal 46 3" xfId="2204"/>
    <cellStyle name="Normal 46 4" xfId="2205"/>
    <cellStyle name="Normal 46 5" xfId="2206"/>
    <cellStyle name="Normal 46 6" xfId="2207"/>
    <cellStyle name="Normal 46 7" xfId="2208"/>
    <cellStyle name="Normal 47" xfId="2209"/>
    <cellStyle name="Normal 47 2" xfId="2210"/>
    <cellStyle name="Normal 47 2 2" xfId="2211"/>
    <cellStyle name="Normal 47 2 3" xfId="2212"/>
    <cellStyle name="Normal 47 2 4" xfId="2213"/>
    <cellStyle name="Normal 47 2 5" xfId="2214"/>
    <cellStyle name="Normal 47 2 6" xfId="2215"/>
    <cellStyle name="Normal 47 3" xfId="2216"/>
    <cellStyle name="Normal 47 4" xfId="2217"/>
    <cellStyle name="Normal 47 5" xfId="2218"/>
    <cellStyle name="Normal 47 6" xfId="2219"/>
    <cellStyle name="Normal 47 7" xfId="2220"/>
    <cellStyle name="Normal 48" xfId="2221"/>
    <cellStyle name="Normal 48 2" xfId="2222"/>
    <cellStyle name="Normal 48 2 2" xfId="2223"/>
    <cellStyle name="Normal 48 2 3" xfId="2224"/>
    <cellStyle name="Normal 48 2 4" xfId="2225"/>
    <cellStyle name="Normal 48 2 5" xfId="2226"/>
    <cellStyle name="Normal 48 2 6" xfId="2227"/>
    <cellStyle name="Normal 48 3" xfId="2228"/>
    <cellStyle name="Normal 48 4" xfId="2229"/>
    <cellStyle name="Normal 48 5" xfId="2230"/>
    <cellStyle name="Normal 48 6" xfId="2231"/>
    <cellStyle name="Normal 48 7" xfId="2232"/>
    <cellStyle name="Normal 49" xfId="2233"/>
    <cellStyle name="Normal 49 2" xfId="2234"/>
    <cellStyle name="Normal 49 2 2" xfId="2235"/>
    <cellStyle name="Normal 49 2 3" xfId="2236"/>
    <cellStyle name="Normal 49 2 4" xfId="2237"/>
    <cellStyle name="Normal 49 2 5" xfId="2238"/>
    <cellStyle name="Normal 49 2 6" xfId="2239"/>
    <cellStyle name="Normal 49 3" xfId="2240"/>
    <cellStyle name="Normal 49 4" xfId="2241"/>
    <cellStyle name="Normal 49 5" xfId="2242"/>
    <cellStyle name="Normal 49 6" xfId="2243"/>
    <cellStyle name="Normal 49 7" xfId="2244"/>
    <cellStyle name="Normal 5" xfId="2245"/>
    <cellStyle name="Normal 5 10" xfId="2246"/>
    <cellStyle name="Normal 5 10 2" xfId="2247"/>
    <cellStyle name="Normal 5 10 2 2" xfId="2248"/>
    <cellStyle name="Normal 5 10 2 2 2" xfId="2249"/>
    <cellStyle name="Normal 5 10 2 2 3" xfId="2250"/>
    <cellStyle name="Normal 5 10 2 2 4" xfId="2251"/>
    <cellStyle name="Normal 5 10 2 2 5" xfId="2252"/>
    <cellStyle name="Normal 5 10 2 2 6" xfId="2253"/>
    <cellStyle name="Normal 5 10 2 3" xfId="2254"/>
    <cellStyle name="Normal 5 10 2 4" xfId="2255"/>
    <cellStyle name="Normal 5 10 2 5" xfId="2256"/>
    <cellStyle name="Normal 5 10 2 6" xfId="2257"/>
    <cellStyle name="Normal 5 10 2 7" xfId="2258"/>
    <cellStyle name="Normal 5 10 3" xfId="2259"/>
    <cellStyle name="Normal 5 10 3 2" xfId="2260"/>
    <cellStyle name="Normal 5 10 3 3" xfId="2261"/>
    <cellStyle name="Normal 5 10 3 4" xfId="2262"/>
    <cellStyle name="Normal 5 10 3 5" xfId="2263"/>
    <cellStyle name="Normal 5 10 3 6" xfId="2264"/>
    <cellStyle name="Normal 5 10 4" xfId="2265"/>
    <cellStyle name="Normal 5 10 5" xfId="2266"/>
    <cellStyle name="Normal 5 10 6" xfId="2267"/>
    <cellStyle name="Normal 5 10 7" xfId="2268"/>
    <cellStyle name="Normal 5 10 8" xfId="2269"/>
    <cellStyle name="Normal 5 11" xfId="2270"/>
    <cellStyle name="Normal 5 11 2" xfId="2271"/>
    <cellStyle name="Normal 5 11 2 2" xfId="2272"/>
    <cellStyle name="Normal 5 11 2 2 2" xfId="2273"/>
    <cellStyle name="Normal 5 11 2 2 3" xfId="2274"/>
    <cellStyle name="Normal 5 11 2 2 4" xfId="2275"/>
    <cellStyle name="Normal 5 11 2 2 5" xfId="2276"/>
    <cellStyle name="Normal 5 11 2 2 6" xfId="2277"/>
    <cellStyle name="Normal 5 11 2 3" xfId="2278"/>
    <cellStyle name="Normal 5 11 2 4" xfId="2279"/>
    <cellStyle name="Normal 5 11 2 5" xfId="2280"/>
    <cellStyle name="Normal 5 11 2 6" xfId="2281"/>
    <cellStyle name="Normal 5 11 2 7" xfId="2282"/>
    <cellStyle name="Normal 5 11 3" xfId="2283"/>
    <cellStyle name="Normal 5 11 3 2" xfId="2284"/>
    <cellStyle name="Normal 5 11 3 3" xfId="2285"/>
    <cellStyle name="Normal 5 11 3 4" xfId="2286"/>
    <cellStyle name="Normal 5 11 3 5" xfId="2287"/>
    <cellStyle name="Normal 5 11 3 6" xfId="2288"/>
    <cellStyle name="Normal 5 11 4" xfId="2289"/>
    <cellStyle name="Normal 5 11 5" xfId="2290"/>
    <cellStyle name="Normal 5 11 6" xfId="2291"/>
    <cellStyle name="Normal 5 11 7" xfId="2292"/>
    <cellStyle name="Normal 5 11 8" xfId="2293"/>
    <cellStyle name="Normal 5 12" xfId="2294"/>
    <cellStyle name="Normal 5 12 2" xfId="2295"/>
    <cellStyle name="Normal 5 12 2 2" xfId="2296"/>
    <cellStyle name="Normal 5 12 2 2 2" xfId="2297"/>
    <cellStyle name="Normal 5 12 2 2 3" xfId="2298"/>
    <cellStyle name="Normal 5 12 2 2 4" xfId="2299"/>
    <cellStyle name="Normal 5 12 2 2 5" xfId="2300"/>
    <cellStyle name="Normal 5 12 2 2 6" xfId="2301"/>
    <cellStyle name="Normal 5 12 2 3" xfId="2302"/>
    <cellStyle name="Normal 5 12 2 4" xfId="2303"/>
    <cellStyle name="Normal 5 12 2 5" xfId="2304"/>
    <cellStyle name="Normal 5 12 2 6" xfId="2305"/>
    <cellStyle name="Normal 5 12 2 7" xfId="2306"/>
    <cellStyle name="Normal 5 12 3" xfId="2307"/>
    <cellStyle name="Normal 5 12 3 2" xfId="2308"/>
    <cellStyle name="Normal 5 12 3 3" xfId="2309"/>
    <cellStyle name="Normal 5 12 3 4" xfId="2310"/>
    <cellStyle name="Normal 5 12 3 5" xfId="2311"/>
    <cellStyle name="Normal 5 12 3 6" xfId="2312"/>
    <cellStyle name="Normal 5 12 4" xfId="2313"/>
    <cellStyle name="Normal 5 12 5" xfId="2314"/>
    <cellStyle name="Normal 5 12 6" xfId="2315"/>
    <cellStyle name="Normal 5 12 7" xfId="2316"/>
    <cellStyle name="Normal 5 12 8" xfId="2317"/>
    <cellStyle name="Normal 5 13" xfId="2318"/>
    <cellStyle name="Normal 5 13 2" xfId="2319"/>
    <cellStyle name="Normal 5 13 2 2" xfId="2320"/>
    <cellStyle name="Normal 5 13 2 2 2" xfId="2321"/>
    <cellStyle name="Normal 5 13 2 2 3" xfId="2322"/>
    <cellStyle name="Normal 5 13 2 2 4" xfId="2323"/>
    <cellStyle name="Normal 5 13 2 2 5" xfId="2324"/>
    <cellStyle name="Normal 5 13 2 2 6" xfId="2325"/>
    <cellStyle name="Normal 5 13 2 3" xfId="2326"/>
    <cellStyle name="Normal 5 13 2 4" xfId="2327"/>
    <cellStyle name="Normal 5 13 2 5" xfId="2328"/>
    <cellStyle name="Normal 5 13 2 6" xfId="2329"/>
    <cellStyle name="Normal 5 13 2 7" xfId="2330"/>
    <cellStyle name="Normal 5 13 3" xfId="2331"/>
    <cellStyle name="Normal 5 13 3 2" xfId="2332"/>
    <cellStyle name="Normal 5 13 3 3" xfId="2333"/>
    <cellStyle name="Normal 5 13 3 4" xfId="2334"/>
    <cellStyle name="Normal 5 13 3 5" xfId="2335"/>
    <cellStyle name="Normal 5 13 3 6" xfId="2336"/>
    <cellStyle name="Normal 5 13 4" xfId="2337"/>
    <cellStyle name="Normal 5 13 5" xfId="2338"/>
    <cellStyle name="Normal 5 13 6" xfId="2339"/>
    <cellStyle name="Normal 5 13 7" xfId="2340"/>
    <cellStyle name="Normal 5 13 8" xfId="2341"/>
    <cellStyle name="Normal 5 14" xfId="2342"/>
    <cellStyle name="Normal 5 14 2" xfId="2343"/>
    <cellStyle name="Normal 5 14 2 2" xfId="2344"/>
    <cellStyle name="Normal 5 14 2 2 2" xfId="2345"/>
    <cellStyle name="Normal 5 14 2 2 3" xfId="2346"/>
    <cellStyle name="Normal 5 14 2 2 4" xfId="2347"/>
    <cellStyle name="Normal 5 14 2 2 5" xfId="2348"/>
    <cellStyle name="Normal 5 14 2 2 6" xfId="2349"/>
    <cellStyle name="Normal 5 14 2 3" xfId="2350"/>
    <cellStyle name="Normal 5 14 2 4" xfId="2351"/>
    <cellStyle name="Normal 5 14 2 5" xfId="2352"/>
    <cellStyle name="Normal 5 14 2 6" xfId="2353"/>
    <cellStyle name="Normal 5 14 2 7" xfId="2354"/>
    <cellStyle name="Normal 5 14 3" xfId="2355"/>
    <cellStyle name="Normal 5 14 3 2" xfId="2356"/>
    <cellStyle name="Normal 5 14 3 3" xfId="2357"/>
    <cellStyle name="Normal 5 14 3 4" xfId="2358"/>
    <cellStyle name="Normal 5 14 3 5" xfId="2359"/>
    <cellStyle name="Normal 5 14 3 6" xfId="2360"/>
    <cellStyle name="Normal 5 14 4" xfId="2361"/>
    <cellStyle name="Normal 5 14 5" xfId="2362"/>
    <cellStyle name="Normal 5 14 6" xfId="2363"/>
    <cellStyle name="Normal 5 14 7" xfId="2364"/>
    <cellStyle name="Normal 5 14 8" xfId="2365"/>
    <cellStyle name="Normal 5 15" xfId="2366"/>
    <cellStyle name="Normal 5 15 2" xfId="2367"/>
    <cellStyle name="Normal 5 15 2 2" xfId="2368"/>
    <cellStyle name="Normal 5 15 2 2 2" xfId="2369"/>
    <cellStyle name="Normal 5 15 2 2 3" xfId="2370"/>
    <cellStyle name="Normal 5 15 2 2 4" xfId="2371"/>
    <cellStyle name="Normal 5 15 2 2 5" xfId="2372"/>
    <cellStyle name="Normal 5 15 2 2 6" xfId="2373"/>
    <cellStyle name="Normal 5 15 2 3" xfId="2374"/>
    <cellStyle name="Normal 5 15 2 4" xfId="2375"/>
    <cellStyle name="Normal 5 15 2 5" xfId="2376"/>
    <cellStyle name="Normal 5 15 2 6" xfId="2377"/>
    <cellStyle name="Normal 5 15 2 7" xfId="2378"/>
    <cellStyle name="Normal 5 15 3" xfId="2379"/>
    <cellStyle name="Normal 5 15 3 2" xfId="2380"/>
    <cellStyle name="Normal 5 15 3 3" xfId="2381"/>
    <cellStyle name="Normal 5 15 3 4" xfId="2382"/>
    <cellStyle name="Normal 5 15 3 5" xfId="2383"/>
    <cellStyle name="Normal 5 15 3 6" xfId="2384"/>
    <cellStyle name="Normal 5 15 4" xfId="2385"/>
    <cellStyle name="Normal 5 15 5" xfId="2386"/>
    <cellStyle name="Normal 5 15 6" xfId="2387"/>
    <cellStyle name="Normal 5 15 7" xfId="2388"/>
    <cellStyle name="Normal 5 15 8" xfId="2389"/>
    <cellStyle name="Normal 5 16" xfId="2390"/>
    <cellStyle name="Normal 5 16 2" xfId="2391"/>
    <cellStyle name="Normal 5 16 2 2" xfId="2392"/>
    <cellStyle name="Normal 5 16 2 2 2" xfId="2393"/>
    <cellStyle name="Normal 5 16 2 2 3" xfId="2394"/>
    <cellStyle name="Normal 5 16 2 2 4" xfId="2395"/>
    <cellStyle name="Normal 5 16 2 2 5" xfId="2396"/>
    <cellStyle name="Normal 5 16 2 2 6" xfId="2397"/>
    <cellStyle name="Normal 5 16 2 3" xfId="2398"/>
    <cellStyle name="Normal 5 16 2 4" xfId="2399"/>
    <cellStyle name="Normal 5 16 2 5" xfId="2400"/>
    <cellStyle name="Normal 5 16 2 6" xfId="2401"/>
    <cellStyle name="Normal 5 16 2 7" xfId="2402"/>
    <cellStyle name="Normal 5 16 3" xfId="2403"/>
    <cellStyle name="Normal 5 16 3 2" xfId="2404"/>
    <cellStyle name="Normal 5 16 3 3" xfId="2405"/>
    <cellStyle name="Normal 5 16 3 4" xfId="2406"/>
    <cellStyle name="Normal 5 16 3 5" xfId="2407"/>
    <cellStyle name="Normal 5 16 3 6" xfId="2408"/>
    <cellStyle name="Normal 5 16 4" xfId="2409"/>
    <cellStyle name="Normal 5 16 5" xfId="2410"/>
    <cellStyle name="Normal 5 16 6" xfId="2411"/>
    <cellStyle name="Normal 5 16 7" xfId="2412"/>
    <cellStyle name="Normal 5 16 8" xfId="2413"/>
    <cellStyle name="Normal 5 17" xfId="2414"/>
    <cellStyle name="Normal 5 17 2" xfId="2415"/>
    <cellStyle name="Normal 5 17 2 2" xfId="2416"/>
    <cellStyle name="Normal 5 17 2 2 2" xfId="2417"/>
    <cellStyle name="Normal 5 17 2 2 3" xfId="2418"/>
    <cellStyle name="Normal 5 17 2 2 4" xfId="2419"/>
    <cellStyle name="Normal 5 17 2 2 5" xfId="2420"/>
    <cellStyle name="Normal 5 17 2 2 6" xfId="2421"/>
    <cellStyle name="Normal 5 17 2 3" xfId="2422"/>
    <cellStyle name="Normal 5 17 2 4" xfId="2423"/>
    <cellStyle name="Normal 5 17 2 5" xfId="2424"/>
    <cellStyle name="Normal 5 17 2 6" xfId="2425"/>
    <cellStyle name="Normal 5 17 2 7" xfId="2426"/>
    <cellStyle name="Normal 5 17 3" xfId="2427"/>
    <cellStyle name="Normal 5 17 3 2" xfId="2428"/>
    <cellStyle name="Normal 5 17 3 3" xfId="2429"/>
    <cellStyle name="Normal 5 17 3 4" xfId="2430"/>
    <cellStyle name="Normal 5 17 3 5" xfId="2431"/>
    <cellStyle name="Normal 5 17 3 6" xfId="2432"/>
    <cellStyle name="Normal 5 17 4" xfId="2433"/>
    <cellStyle name="Normal 5 17 5" xfId="2434"/>
    <cellStyle name="Normal 5 17 6" xfId="2435"/>
    <cellStyle name="Normal 5 17 7" xfId="2436"/>
    <cellStyle name="Normal 5 17 8" xfId="2437"/>
    <cellStyle name="Normal 5 18" xfId="2438"/>
    <cellStyle name="Normal 5 18 2" xfId="2439"/>
    <cellStyle name="Normal 5 18 2 2" xfId="2440"/>
    <cellStyle name="Normal 5 18 2 2 2" xfId="2441"/>
    <cellStyle name="Normal 5 18 2 2 3" xfId="2442"/>
    <cellStyle name="Normal 5 18 2 2 4" xfId="2443"/>
    <cellStyle name="Normal 5 18 2 2 5" xfId="2444"/>
    <cellStyle name="Normal 5 18 2 2 6" xfId="2445"/>
    <cellStyle name="Normal 5 18 2 3" xfId="2446"/>
    <cellStyle name="Normal 5 18 2 4" xfId="2447"/>
    <cellStyle name="Normal 5 18 2 5" xfId="2448"/>
    <cellStyle name="Normal 5 18 2 6" xfId="2449"/>
    <cellStyle name="Normal 5 18 2 7" xfId="2450"/>
    <cellStyle name="Normal 5 18 3" xfId="2451"/>
    <cellStyle name="Normal 5 18 3 2" xfId="2452"/>
    <cellStyle name="Normal 5 18 3 3" xfId="2453"/>
    <cellStyle name="Normal 5 18 3 4" xfId="2454"/>
    <cellStyle name="Normal 5 18 3 5" xfId="2455"/>
    <cellStyle name="Normal 5 18 3 6" xfId="2456"/>
    <cellStyle name="Normal 5 18 4" xfId="2457"/>
    <cellStyle name="Normal 5 18 5" xfId="2458"/>
    <cellStyle name="Normal 5 18 6" xfId="2459"/>
    <cellStyle name="Normal 5 18 7" xfId="2460"/>
    <cellStyle name="Normal 5 18 8" xfId="2461"/>
    <cellStyle name="Normal 5 19" xfId="2462"/>
    <cellStyle name="Normal 5 19 2" xfId="2463"/>
    <cellStyle name="Normal 5 19 2 2" xfId="2464"/>
    <cellStyle name="Normal 5 19 2 2 2" xfId="2465"/>
    <cellStyle name="Normal 5 19 2 2 3" xfId="2466"/>
    <cellStyle name="Normal 5 19 2 2 4" xfId="2467"/>
    <cellStyle name="Normal 5 19 2 2 5" xfId="2468"/>
    <cellStyle name="Normal 5 19 2 2 6" xfId="2469"/>
    <cellStyle name="Normal 5 19 2 3" xfId="2470"/>
    <cellStyle name="Normal 5 19 2 4" xfId="2471"/>
    <cellStyle name="Normal 5 19 2 5" xfId="2472"/>
    <cellStyle name="Normal 5 19 2 6" xfId="2473"/>
    <cellStyle name="Normal 5 19 2 7" xfId="2474"/>
    <cellStyle name="Normal 5 19 3" xfId="2475"/>
    <cellStyle name="Normal 5 19 3 2" xfId="2476"/>
    <cellStyle name="Normal 5 19 3 3" xfId="2477"/>
    <cellStyle name="Normal 5 19 3 4" xfId="2478"/>
    <cellStyle name="Normal 5 19 3 5" xfId="2479"/>
    <cellStyle name="Normal 5 19 3 6" xfId="2480"/>
    <cellStyle name="Normal 5 19 4" xfId="2481"/>
    <cellStyle name="Normal 5 19 5" xfId="2482"/>
    <cellStyle name="Normal 5 19 6" xfId="2483"/>
    <cellStyle name="Normal 5 19 7" xfId="2484"/>
    <cellStyle name="Normal 5 19 8" xfId="2485"/>
    <cellStyle name="Normal 5 2" xfId="2486"/>
    <cellStyle name="Normal 5 2 2" xfId="2487"/>
    <cellStyle name="Normal 5 2 2 2" xfId="2488"/>
    <cellStyle name="Normal 5 2 2 2 2" xfId="2489"/>
    <cellStyle name="Normal 5 2 2 2 3" xfId="2490"/>
    <cellStyle name="Normal 5 2 2 2 4" xfId="2491"/>
    <cellStyle name="Normal 5 2 2 2 5" xfId="2492"/>
    <cellStyle name="Normal 5 2 2 2 6" xfId="2493"/>
    <cellStyle name="Normal 5 2 2 3" xfId="2494"/>
    <cellStyle name="Normal 5 2 2 4" xfId="2495"/>
    <cellStyle name="Normal 5 2 2 5" xfId="2496"/>
    <cellStyle name="Normal 5 2 2 6" xfId="2497"/>
    <cellStyle name="Normal 5 2 2 7" xfId="2498"/>
    <cellStyle name="Normal 5 2 3" xfId="2499"/>
    <cellStyle name="Normal 5 2 3 2" xfId="2500"/>
    <cellStyle name="Normal 5 2 3 3" xfId="2501"/>
    <cellStyle name="Normal 5 2 3 4" xfId="2502"/>
    <cellStyle name="Normal 5 2 3 5" xfId="2503"/>
    <cellStyle name="Normal 5 2 3 6" xfId="2504"/>
    <cellStyle name="Normal 5 2 4" xfId="2505"/>
    <cellStyle name="Normal 5 2 5" xfId="2506"/>
    <cellStyle name="Normal 5 2 6" xfId="2507"/>
    <cellStyle name="Normal 5 2 7" xfId="2508"/>
    <cellStyle name="Normal 5 2 8" xfId="2509"/>
    <cellStyle name="Normal 5 20" xfId="2510"/>
    <cellStyle name="Normal 5 20 2" xfId="2511"/>
    <cellStyle name="Normal 5 20 2 2" xfId="2512"/>
    <cellStyle name="Normal 5 20 2 2 2" xfId="2513"/>
    <cellStyle name="Normal 5 20 2 2 3" xfId="2514"/>
    <cellStyle name="Normal 5 20 2 2 4" xfId="2515"/>
    <cellStyle name="Normal 5 20 2 2 5" xfId="2516"/>
    <cellStyle name="Normal 5 20 2 2 6" xfId="2517"/>
    <cellStyle name="Normal 5 20 2 3" xfId="2518"/>
    <cellStyle name="Normal 5 20 2 4" xfId="2519"/>
    <cellStyle name="Normal 5 20 2 5" xfId="2520"/>
    <cellStyle name="Normal 5 20 2 6" xfId="2521"/>
    <cellStyle name="Normal 5 20 2 7" xfId="2522"/>
    <cellStyle name="Normal 5 20 3" xfId="2523"/>
    <cellStyle name="Normal 5 20 3 2" xfId="2524"/>
    <cellStyle name="Normal 5 20 3 3" xfId="2525"/>
    <cellStyle name="Normal 5 20 3 4" xfId="2526"/>
    <cellStyle name="Normal 5 20 3 5" xfId="2527"/>
    <cellStyle name="Normal 5 20 3 6" xfId="2528"/>
    <cellStyle name="Normal 5 20 4" xfId="2529"/>
    <cellStyle name="Normal 5 20 5" xfId="2530"/>
    <cellStyle name="Normal 5 20 6" xfId="2531"/>
    <cellStyle name="Normal 5 20 7" xfId="2532"/>
    <cellStyle name="Normal 5 20 8" xfId="2533"/>
    <cellStyle name="Normal 5 21" xfId="2534"/>
    <cellStyle name="Normal 5 21 2" xfId="2535"/>
    <cellStyle name="Normal 5 21 2 2" xfId="2536"/>
    <cellStyle name="Normal 5 21 2 2 2" xfId="2537"/>
    <cellStyle name="Normal 5 21 2 2 3" xfId="2538"/>
    <cellStyle name="Normal 5 21 2 2 4" xfId="2539"/>
    <cellStyle name="Normal 5 21 2 2 5" xfId="2540"/>
    <cellStyle name="Normal 5 21 2 2 6" xfId="2541"/>
    <cellStyle name="Normal 5 21 2 3" xfId="2542"/>
    <cellStyle name="Normal 5 21 2 4" xfId="2543"/>
    <cellStyle name="Normal 5 21 2 5" xfId="2544"/>
    <cellStyle name="Normal 5 21 2 6" xfId="2545"/>
    <cellStyle name="Normal 5 21 2 7" xfId="2546"/>
    <cellStyle name="Normal 5 21 3" xfId="2547"/>
    <cellStyle name="Normal 5 21 3 2" xfId="2548"/>
    <cellStyle name="Normal 5 21 3 3" xfId="2549"/>
    <cellStyle name="Normal 5 21 3 4" xfId="2550"/>
    <cellStyle name="Normal 5 21 3 5" xfId="2551"/>
    <cellStyle name="Normal 5 21 3 6" xfId="2552"/>
    <cellStyle name="Normal 5 21 4" xfId="2553"/>
    <cellStyle name="Normal 5 21 5" xfId="2554"/>
    <cellStyle name="Normal 5 21 6" xfId="2555"/>
    <cellStyle name="Normal 5 21 7" xfId="2556"/>
    <cellStyle name="Normal 5 21 8" xfId="2557"/>
    <cellStyle name="Normal 5 22" xfId="2558"/>
    <cellStyle name="Normal 5 22 2" xfId="2559"/>
    <cellStyle name="Normal 5 22 2 2" xfId="2560"/>
    <cellStyle name="Normal 5 22 2 2 2" xfId="2561"/>
    <cellStyle name="Normal 5 22 2 2 3" xfId="2562"/>
    <cellStyle name="Normal 5 22 2 2 4" xfId="2563"/>
    <cellStyle name="Normal 5 22 2 2 5" xfId="2564"/>
    <cellStyle name="Normal 5 22 2 2 6" xfId="2565"/>
    <cellStyle name="Normal 5 22 2 3" xfId="2566"/>
    <cellStyle name="Normal 5 22 2 4" xfId="2567"/>
    <cellStyle name="Normal 5 22 2 5" xfId="2568"/>
    <cellStyle name="Normal 5 22 2 6" xfId="2569"/>
    <cellStyle name="Normal 5 22 2 7" xfId="2570"/>
    <cellStyle name="Normal 5 22 3" xfId="2571"/>
    <cellStyle name="Normal 5 22 3 2" xfId="2572"/>
    <cellStyle name="Normal 5 22 3 3" xfId="2573"/>
    <cellStyle name="Normal 5 22 3 4" xfId="2574"/>
    <cellStyle name="Normal 5 22 3 5" xfId="2575"/>
    <cellStyle name="Normal 5 22 3 6" xfId="2576"/>
    <cellStyle name="Normal 5 22 4" xfId="2577"/>
    <cellStyle name="Normal 5 22 5" xfId="2578"/>
    <cellStyle name="Normal 5 22 6" xfId="2579"/>
    <cellStyle name="Normal 5 22 7" xfId="2580"/>
    <cellStyle name="Normal 5 22 8" xfId="2581"/>
    <cellStyle name="Normal 5 23" xfId="2582"/>
    <cellStyle name="Normal 5 23 2" xfId="2583"/>
    <cellStyle name="Normal 5 23 2 2" xfId="2584"/>
    <cellStyle name="Normal 5 23 2 2 2" xfId="2585"/>
    <cellStyle name="Normal 5 23 2 2 3" xfId="2586"/>
    <cellStyle name="Normal 5 23 2 2 4" xfId="2587"/>
    <cellStyle name="Normal 5 23 2 2 5" xfId="2588"/>
    <cellStyle name="Normal 5 23 2 2 6" xfId="2589"/>
    <cellStyle name="Normal 5 23 2 3" xfId="2590"/>
    <cellStyle name="Normal 5 23 2 4" xfId="2591"/>
    <cellStyle name="Normal 5 23 2 5" xfId="2592"/>
    <cellStyle name="Normal 5 23 2 6" xfId="2593"/>
    <cellStyle name="Normal 5 23 2 7" xfId="2594"/>
    <cellStyle name="Normal 5 23 3" xfId="2595"/>
    <cellStyle name="Normal 5 23 3 2" xfId="2596"/>
    <cellStyle name="Normal 5 23 3 3" xfId="2597"/>
    <cellStyle name="Normal 5 23 3 4" xfId="2598"/>
    <cellStyle name="Normal 5 23 3 5" xfId="2599"/>
    <cellStyle name="Normal 5 23 3 6" xfId="2600"/>
    <cellStyle name="Normal 5 23 4" xfId="2601"/>
    <cellStyle name="Normal 5 23 5" xfId="2602"/>
    <cellStyle name="Normal 5 23 6" xfId="2603"/>
    <cellStyle name="Normal 5 23 7" xfId="2604"/>
    <cellStyle name="Normal 5 23 8" xfId="2605"/>
    <cellStyle name="Normal 5 24" xfId="2606"/>
    <cellStyle name="Normal 5 24 2" xfId="2607"/>
    <cellStyle name="Normal 5 24 2 2" xfId="2608"/>
    <cellStyle name="Normal 5 24 2 2 2" xfId="2609"/>
    <cellStyle name="Normal 5 24 2 2 3" xfId="2610"/>
    <cellStyle name="Normal 5 24 2 2 4" xfId="2611"/>
    <cellStyle name="Normal 5 24 2 2 5" xfId="2612"/>
    <cellStyle name="Normal 5 24 2 2 6" xfId="2613"/>
    <cellStyle name="Normal 5 24 2 3" xfId="2614"/>
    <cellStyle name="Normal 5 24 2 4" xfId="2615"/>
    <cellStyle name="Normal 5 24 2 5" xfId="2616"/>
    <cellStyle name="Normal 5 24 2 6" xfId="2617"/>
    <cellStyle name="Normal 5 24 2 7" xfId="2618"/>
    <cellStyle name="Normal 5 24 3" xfId="2619"/>
    <cellStyle name="Normal 5 24 3 2" xfId="2620"/>
    <cellStyle name="Normal 5 24 3 3" xfId="2621"/>
    <cellStyle name="Normal 5 24 3 4" xfId="2622"/>
    <cellStyle name="Normal 5 24 3 5" xfId="2623"/>
    <cellStyle name="Normal 5 24 3 6" xfId="2624"/>
    <cellStyle name="Normal 5 24 4" xfId="2625"/>
    <cellStyle name="Normal 5 24 5" xfId="2626"/>
    <cellStyle name="Normal 5 24 6" xfId="2627"/>
    <cellStyle name="Normal 5 24 7" xfId="2628"/>
    <cellStyle name="Normal 5 24 8" xfId="2629"/>
    <cellStyle name="Normal 5 25" xfId="2630"/>
    <cellStyle name="Normal 5 25 2" xfId="2631"/>
    <cellStyle name="Normal 5 25 2 2" xfId="2632"/>
    <cellStyle name="Normal 5 25 2 2 2" xfId="2633"/>
    <cellStyle name="Normal 5 25 2 2 3" xfId="2634"/>
    <cellStyle name="Normal 5 25 2 2 4" xfId="2635"/>
    <cellStyle name="Normal 5 25 2 2 5" xfId="2636"/>
    <cellStyle name="Normal 5 25 2 2 6" xfId="2637"/>
    <cellStyle name="Normal 5 25 2 3" xfId="2638"/>
    <cellStyle name="Normal 5 25 2 4" xfId="2639"/>
    <cellStyle name="Normal 5 25 2 5" xfId="2640"/>
    <cellStyle name="Normal 5 25 2 6" xfId="2641"/>
    <cellStyle name="Normal 5 25 2 7" xfId="2642"/>
    <cellStyle name="Normal 5 25 3" xfId="2643"/>
    <cellStyle name="Normal 5 25 3 2" xfId="2644"/>
    <cellStyle name="Normal 5 25 3 3" xfId="2645"/>
    <cellStyle name="Normal 5 25 3 4" xfId="2646"/>
    <cellStyle name="Normal 5 25 3 5" xfId="2647"/>
    <cellStyle name="Normal 5 25 3 6" xfId="2648"/>
    <cellStyle name="Normal 5 25 4" xfId="2649"/>
    <cellStyle name="Normal 5 25 5" xfId="2650"/>
    <cellStyle name="Normal 5 25 6" xfId="2651"/>
    <cellStyle name="Normal 5 25 7" xfId="2652"/>
    <cellStyle name="Normal 5 25 8" xfId="2653"/>
    <cellStyle name="Normal 5 26" xfId="2654"/>
    <cellStyle name="Normal 5 26 2" xfId="2655"/>
    <cellStyle name="Normal 5 26 2 2" xfId="2656"/>
    <cellStyle name="Normal 5 26 2 2 2" xfId="2657"/>
    <cellStyle name="Normal 5 26 2 2 3" xfId="2658"/>
    <cellStyle name="Normal 5 26 2 2 4" xfId="2659"/>
    <cellStyle name="Normal 5 26 2 2 5" xfId="2660"/>
    <cellStyle name="Normal 5 26 2 2 6" xfId="2661"/>
    <cellStyle name="Normal 5 26 2 3" xfId="2662"/>
    <cellStyle name="Normal 5 26 2 4" xfId="2663"/>
    <cellStyle name="Normal 5 26 2 5" xfId="2664"/>
    <cellStyle name="Normal 5 26 2 6" xfId="2665"/>
    <cellStyle name="Normal 5 26 2 7" xfId="2666"/>
    <cellStyle name="Normal 5 26 3" xfId="2667"/>
    <cellStyle name="Normal 5 26 3 2" xfId="2668"/>
    <cellStyle name="Normal 5 26 3 3" xfId="2669"/>
    <cellStyle name="Normal 5 26 3 4" xfId="2670"/>
    <cellStyle name="Normal 5 26 3 5" xfId="2671"/>
    <cellStyle name="Normal 5 26 3 6" xfId="2672"/>
    <cellStyle name="Normal 5 26 4" xfId="2673"/>
    <cellStyle name="Normal 5 26 5" xfId="2674"/>
    <cellStyle name="Normal 5 26 6" xfId="2675"/>
    <cellStyle name="Normal 5 26 7" xfId="2676"/>
    <cellStyle name="Normal 5 26 8" xfId="2677"/>
    <cellStyle name="Normal 5 27" xfId="2678"/>
    <cellStyle name="Normal 5 27 2" xfId="2679"/>
    <cellStyle name="Normal 5 27 2 2" xfId="2680"/>
    <cellStyle name="Normal 5 27 2 2 2" xfId="2681"/>
    <cellStyle name="Normal 5 27 2 2 3" xfId="2682"/>
    <cellStyle name="Normal 5 27 2 2 4" xfId="2683"/>
    <cellStyle name="Normal 5 27 2 2 5" xfId="2684"/>
    <cellStyle name="Normal 5 27 2 2 6" xfId="2685"/>
    <cellStyle name="Normal 5 27 2 3" xfId="2686"/>
    <cellStyle name="Normal 5 27 2 4" xfId="2687"/>
    <cellStyle name="Normal 5 27 2 5" xfId="2688"/>
    <cellStyle name="Normal 5 27 2 6" xfId="2689"/>
    <cellStyle name="Normal 5 27 2 7" xfId="2690"/>
    <cellStyle name="Normal 5 27 3" xfId="2691"/>
    <cellStyle name="Normal 5 27 3 2" xfId="2692"/>
    <cellStyle name="Normal 5 27 3 3" xfId="2693"/>
    <cellStyle name="Normal 5 27 3 4" xfId="2694"/>
    <cellStyle name="Normal 5 27 3 5" xfId="2695"/>
    <cellStyle name="Normal 5 27 3 6" xfId="2696"/>
    <cellStyle name="Normal 5 27 4" xfId="2697"/>
    <cellStyle name="Normal 5 27 5" xfId="2698"/>
    <cellStyle name="Normal 5 27 6" xfId="2699"/>
    <cellStyle name="Normal 5 27 7" xfId="2700"/>
    <cellStyle name="Normal 5 27 8" xfId="2701"/>
    <cellStyle name="Normal 5 28" xfId="2702"/>
    <cellStyle name="Normal 5 28 2" xfId="2703"/>
    <cellStyle name="Normal 5 28 2 2" xfId="2704"/>
    <cellStyle name="Normal 5 28 2 2 2" xfId="2705"/>
    <cellStyle name="Normal 5 28 2 2 3" xfId="2706"/>
    <cellStyle name="Normal 5 28 2 2 4" xfId="2707"/>
    <cellStyle name="Normal 5 28 2 2 5" xfId="2708"/>
    <cellStyle name="Normal 5 28 2 2 6" xfId="2709"/>
    <cellStyle name="Normal 5 28 2 3" xfId="2710"/>
    <cellStyle name="Normal 5 28 2 4" xfId="2711"/>
    <cellStyle name="Normal 5 28 2 5" xfId="2712"/>
    <cellStyle name="Normal 5 28 2 6" xfId="2713"/>
    <cellStyle name="Normal 5 28 2 7" xfId="2714"/>
    <cellStyle name="Normal 5 28 3" xfId="2715"/>
    <cellStyle name="Normal 5 28 3 2" xfId="2716"/>
    <cellStyle name="Normal 5 28 3 3" xfId="2717"/>
    <cellStyle name="Normal 5 28 3 4" xfId="2718"/>
    <cellStyle name="Normal 5 28 3 5" xfId="2719"/>
    <cellStyle name="Normal 5 28 3 6" xfId="2720"/>
    <cellStyle name="Normal 5 28 4" xfId="2721"/>
    <cellStyle name="Normal 5 28 5" xfId="2722"/>
    <cellStyle name="Normal 5 28 6" xfId="2723"/>
    <cellStyle name="Normal 5 28 7" xfId="2724"/>
    <cellStyle name="Normal 5 28 8" xfId="2725"/>
    <cellStyle name="Normal 5 29" xfId="2726"/>
    <cellStyle name="Normal 5 29 2" xfId="2727"/>
    <cellStyle name="Normal 5 29 2 2" xfId="2728"/>
    <cellStyle name="Normal 5 29 2 2 2" xfId="2729"/>
    <cellStyle name="Normal 5 29 2 2 3" xfId="2730"/>
    <cellStyle name="Normal 5 29 2 2 4" xfId="2731"/>
    <cellStyle name="Normal 5 29 2 2 5" xfId="2732"/>
    <cellStyle name="Normal 5 29 2 2 6" xfId="2733"/>
    <cellStyle name="Normal 5 29 2 3" xfId="2734"/>
    <cellStyle name="Normal 5 29 2 4" xfId="2735"/>
    <cellStyle name="Normal 5 29 2 5" xfId="2736"/>
    <cellStyle name="Normal 5 29 2 6" xfId="2737"/>
    <cellStyle name="Normal 5 29 2 7" xfId="2738"/>
    <cellStyle name="Normal 5 29 3" xfId="2739"/>
    <cellStyle name="Normal 5 29 3 2" xfId="2740"/>
    <cellStyle name="Normal 5 29 3 3" xfId="2741"/>
    <cellStyle name="Normal 5 29 3 4" xfId="2742"/>
    <cellStyle name="Normal 5 29 3 5" xfId="2743"/>
    <cellStyle name="Normal 5 29 3 6" xfId="2744"/>
    <cellStyle name="Normal 5 29 4" xfId="2745"/>
    <cellStyle name="Normal 5 29 5" xfId="2746"/>
    <cellStyle name="Normal 5 29 6" xfId="2747"/>
    <cellStyle name="Normal 5 29 7" xfId="2748"/>
    <cellStyle name="Normal 5 29 8" xfId="2749"/>
    <cellStyle name="Normal 5 3" xfId="2750"/>
    <cellStyle name="Normal 5 3 2" xfId="2751"/>
    <cellStyle name="Normal 5 3 2 2" xfId="2752"/>
    <cellStyle name="Normal 5 3 2 2 2" xfId="2753"/>
    <cellStyle name="Normal 5 3 2 2 3" xfId="2754"/>
    <cellStyle name="Normal 5 3 2 2 4" xfId="2755"/>
    <cellStyle name="Normal 5 3 2 2 5" xfId="2756"/>
    <cellStyle name="Normal 5 3 2 2 6" xfId="2757"/>
    <cellStyle name="Normal 5 3 2 3" xfId="2758"/>
    <cellStyle name="Normal 5 3 2 4" xfId="2759"/>
    <cellStyle name="Normal 5 3 2 5" xfId="2760"/>
    <cellStyle name="Normal 5 3 2 6" xfId="2761"/>
    <cellStyle name="Normal 5 3 2 7" xfId="2762"/>
    <cellStyle name="Normal 5 3 3" xfId="2763"/>
    <cellStyle name="Normal 5 3 3 2" xfId="2764"/>
    <cellStyle name="Normal 5 3 3 3" xfId="2765"/>
    <cellStyle name="Normal 5 3 3 4" xfId="2766"/>
    <cellStyle name="Normal 5 3 3 5" xfId="2767"/>
    <cellStyle name="Normal 5 3 3 6" xfId="2768"/>
    <cellStyle name="Normal 5 3 4" xfId="2769"/>
    <cellStyle name="Normal 5 3 5" xfId="2770"/>
    <cellStyle name="Normal 5 3 6" xfId="2771"/>
    <cellStyle name="Normal 5 3 7" xfId="2772"/>
    <cellStyle name="Normal 5 3 8" xfId="2773"/>
    <cellStyle name="Normal 5 30" xfId="2774"/>
    <cellStyle name="Normal 5 30 2" xfId="2775"/>
    <cellStyle name="Normal 5 30 2 2" xfId="2776"/>
    <cellStyle name="Normal 5 30 2 2 2" xfId="2777"/>
    <cellStyle name="Normal 5 30 2 2 3" xfId="2778"/>
    <cellStyle name="Normal 5 30 2 2 4" xfId="2779"/>
    <cellStyle name="Normal 5 30 2 2 5" xfId="2780"/>
    <cellStyle name="Normal 5 30 2 2 6" xfId="2781"/>
    <cellStyle name="Normal 5 30 2 3" xfId="2782"/>
    <cellStyle name="Normal 5 30 2 4" xfId="2783"/>
    <cellStyle name="Normal 5 30 2 5" xfId="2784"/>
    <cellStyle name="Normal 5 30 2 6" xfId="2785"/>
    <cellStyle name="Normal 5 30 2 7" xfId="2786"/>
    <cellStyle name="Normal 5 30 3" xfId="2787"/>
    <cellStyle name="Normal 5 30 3 2" xfId="2788"/>
    <cellStyle name="Normal 5 30 3 3" xfId="2789"/>
    <cellStyle name="Normal 5 30 3 4" xfId="2790"/>
    <cellStyle name="Normal 5 30 3 5" xfId="2791"/>
    <cellStyle name="Normal 5 30 3 6" xfId="2792"/>
    <cellStyle name="Normal 5 30 4" xfId="2793"/>
    <cellStyle name="Normal 5 30 5" xfId="2794"/>
    <cellStyle name="Normal 5 30 6" xfId="2795"/>
    <cellStyle name="Normal 5 30 7" xfId="2796"/>
    <cellStyle name="Normal 5 30 8" xfId="2797"/>
    <cellStyle name="Normal 5 31" xfId="2798"/>
    <cellStyle name="Normal 5 31 2" xfId="2799"/>
    <cellStyle name="Normal 5 31 2 2" xfId="2800"/>
    <cellStyle name="Normal 5 31 2 2 2" xfId="2801"/>
    <cellStyle name="Normal 5 31 2 2 3" xfId="2802"/>
    <cellStyle name="Normal 5 31 2 2 4" xfId="2803"/>
    <cellStyle name="Normal 5 31 2 2 5" xfId="2804"/>
    <cellStyle name="Normal 5 31 2 2 6" xfId="2805"/>
    <cellStyle name="Normal 5 31 2 3" xfId="2806"/>
    <cellStyle name="Normal 5 31 2 4" xfId="2807"/>
    <cellStyle name="Normal 5 31 2 5" xfId="2808"/>
    <cellStyle name="Normal 5 31 2 6" xfId="2809"/>
    <cellStyle name="Normal 5 31 2 7" xfId="2810"/>
    <cellStyle name="Normal 5 31 3" xfId="2811"/>
    <cellStyle name="Normal 5 31 3 2" xfId="2812"/>
    <cellStyle name="Normal 5 31 3 3" xfId="2813"/>
    <cellStyle name="Normal 5 31 3 4" xfId="2814"/>
    <cellStyle name="Normal 5 31 3 5" xfId="2815"/>
    <cellStyle name="Normal 5 31 3 6" xfId="2816"/>
    <cellStyle name="Normal 5 31 4" xfId="2817"/>
    <cellStyle name="Normal 5 31 5" xfId="2818"/>
    <cellStyle name="Normal 5 31 6" xfId="2819"/>
    <cellStyle name="Normal 5 31 7" xfId="2820"/>
    <cellStyle name="Normal 5 31 8" xfId="2821"/>
    <cellStyle name="Normal 5 32" xfId="2822"/>
    <cellStyle name="Normal 5 32 2" xfId="2823"/>
    <cellStyle name="Normal 5 32 2 2" xfId="2824"/>
    <cellStyle name="Normal 5 32 2 2 2" xfId="2825"/>
    <cellStyle name="Normal 5 32 2 2 3" xfId="2826"/>
    <cellStyle name="Normal 5 32 2 2 4" xfId="2827"/>
    <cellStyle name="Normal 5 32 2 2 5" xfId="2828"/>
    <cellStyle name="Normal 5 32 2 2 6" xfId="2829"/>
    <cellStyle name="Normal 5 32 2 3" xfId="2830"/>
    <cellStyle name="Normal 5 32 2 4" xfId="2831"/>
    <cellStyle name="Normal 5 32 2 5" xfId="2832"/>
    <cellStyle name="Normal 5 32 2 6" xfId="2833"/>
    <cellStyle name="Normal 5 32 2 7" xfId="2834"/>
    <cellStyle name="Normal 5 32 3" xfId="2835"/>
    <cellStyle name="Normal 5 32 3 2" xfId="2836"/>
    <cellStyle name="Normal 5 32 3 3" xfId="2837"/>
    <cellStyle name="Normal 5 32 3 4" xfId="2838"/>
    <cellStyle name="Normal 5 32 3 5" xfId="2839"/>
    <cellStyle name="Normal 5 32 3 6" xfId="2840"/>
    <cellStyle name="Normal 5 32 4" xfId="2841"/>
    <cellStyle name="Normal 5 32 5" xfId="2842"/>
    <cellStyle name="Normal 5 32 6" xfId="2843"/>
    <cellStyle name="Normal 5 32 7" xfId="2844"/>
    <cellStyle name="Normal 5 32 8" xfId="2845"/>
    <cellStyle name="Normal 5 33" xfId="2846"/>
    <cellStyle name="Normal 5 33 2" xfId="2847"/>
    <cellStyle name="Normal 5 33 2 2" xfId="2848"/>
    <cellStyle name="Normal 5 33 2 2 2" xfId="2849"/>
    <cellStyle name="Normal 5 33 2 2 3" xfId="2850"/>
    <cellStyle name="Normal 5 33 2 2 4" xfId="2851"/>
    <cellStyle name="Normal 5 33 2 2 5" xfId="2852"/>
    <cellStyle name="Normal 5 33 2 2 6" xfId="2853"/>
    <cellStyle name="Normal 5 33 2 3" xfId="2854"/>
    <cellStyle name="Normal 5 33 2 4" xfId="2855"/>
    <cellStyle name="Normal 5 33 2 5" xfId="2856"/>
    <cellStyle name="Normal 5 33 2 6" xfId="2857"/>
    <cellStyle name="Normal 5 33 2 7" xfId="2858"/>
    <cellStyle name="Normal 5 33 3" xfId="2859"/>
    <cellStyle name="Normal 5 33 3 2" xfId="2860"/>
    <cellStyle name="Normal 5 33 3 3" xfId="2861"/>
    <cellStyle name="Normal 5 33 3 4" xfId="2862"/>
    <cellStyle name="Normal 5 33 3 5" xfId="2863"/>
    <cellStyle name="Normal 5 33 3 6" xfId="2864"/>
    <cellStyle name="Normal 5 33 4" xfId="2865"/>
    <cellStyle name="Normal 5 33 5" xfId="2866"/>
    <cellStyle name="Normal 5 33 6" xfId="2867"/>
    <cellStyle name="Normal 5 33 7" xfId="2868"/>
    <cellStyle name="Normal 5 33 8" xfId="2869"/>
    <cellStyle name="Normal 5 34" xfId="2870"/>
    <cellStyle name="Normal 5 34 2" xfId="2871"/>
    <cellStyle name="Normal 5 34 2 2" xfId="2872"/>
    <cellStyle name="Normal 5 34 2 2 2" xfId="2873"/>
    <cellStyle name="Normal 5 34 2 2 3" xfId="2874"/>
    <cellStyle name="Normal 5 34 2 2 4" xfId="2875"/>
    <cellStyle name="Normal 5 34 2 2 5" xfId="2876"/>
    <cellStyle name="Normal 5 34 2 2 6" xfId="2877"/>
    <cellStyle name="Normal 5 34 2 3" xfId="2878"/>
    <cellStyle name="Normal 5 34 2 4" xfId="2879"/>
    <cellStyle name="Normal 5 34 2 5" xfId="2880"/>
    <cellStyle name="Normal 5 34 2 6" xfId="2881"/>
    <cellStyle name="Normal 5 34 2 7" xfId="2882"/>
    <cellStyle name="Normal 5 34 3" xfId="2883"/>
    <cellStyle name="Normal 5 34 3 2" xfId="2884"/>
    <cellStyle name="Normal 5 34 3 3" xfId="2885"/>
    <cellStyle name="Normal 5 34 3 4" xfId="2886"/>
    <cellStyle name="Normal 5 34 3 5" xfId="2887"/>
    <cellStyle name="Normal 5 34 3 6" xfId="2888"/>
    <cellStyle name="Normal 5 34 4" xfId="2889"/>
    <cellStyle name="Normal 5 34 5" xfId="2890"/>
    <cellStyle name="Normal 5 34 6" xfId="2891"/>
    <cellStyle name="Normal 5 34 7" xfId="2892"/>
    <cellStyle name="Normal 5 34 8" xfId="2893"/>
    <cellStyle name="Normal 5 35" xfId="2894"/>
    <cellStyle name="Normal 5 35 2" xfId="2895"/>
    <cellStyle name="Normal 5 35 2 2" xfId="2896"/>
    <cellStyle name="Normal 5 35 2 2 2" xfId="2897"/>
    <cellStyle name="Normal 5 35 2 2 3" xfId="2898"/>
    <cellStyle name="Normal 5 35 2 2 4" xfId="2899"/>
    <cellStyle name="Normal 5 35 2 2 5" xfId="2900"/>
    <cellStyle name="Normal 5 35 2 2 6" xfId="2901"/>
    <cellStyle name="Normal 5 35 2 3" xfId="2902"/>
    <cellStyle name="Normal 5 35 2 4" xfId="2903"/>
    <cellStyle name="Normal 5 35 2 5" xfId="2904"/>
    <cellStyle name="Normal 5 35 2 6" xfId="2905"/>
    <cellStyle name="Normal 5 35 2 7" xfId="2906"/>
    <cellStyle name="Normal 5 35 3" xfId="2907"/>
    <cellStyle name="Normal 5 35 3 2" xfId="2908"/>
    <cellStyle name="Normal 5 35 3 3" xfId="2909"/>
    <cellStyle name="Normal 5 35 3 4" xfId="2910"/>
    <cellStyle name="Normal 5 35 3 5" xfId="2911"/>
    <cellStyle name="Normal 5 35 3 6" xfId="2912"/>
    <cellStyle name="Normal 5 35 4" xfId="2913"/>
    <cellStyle name="Normal 5 35 5" xfId="2914"/>
    <cellStyle name="Normal 5 35 6" xfId="2915"/>
    <cellStyle name="Normal 5 35 7" xfId="2916"/>
    <cellStyle name="Normal 5 35 8" xfId="2917"/>
    <cellStyle name="Normal 5 36" xfId="2918"/>
    <cellStyle name="Normal 5 36 2" xfId="2919"/>
    <cellStyle name="Normal 5 36 2 2" xfId="2920"/>
    <cellStyle name="Normal 5 36 2 3" xfId="2921"/>
    <cellStyle name="Normal 5 36 2 4" xfId="2922"/>
    <cellStyle name="Normal 5 36 2 5" xfId="2923"/>
    <cellStyle name="Normal 5 36 2 6" xfId="2924"/>
    <cellStyle name="Normal 5 36 3" xfId="2925"/>
    <cellStyle name="Normal 5 36 4" xfId="2926"/>
    <cellStyle name="Normal 5 36 5" xfId="2927"/>
    <cellStyle name="Normal 5 36 6" xfId="2928"/>
    <cellStyle name="Normal 5 36 7" xfId="2929"/>
    <cellStyle name="Normal 5 37" xfId="2930"/>
    <cellStyle name="Normal 5 37 2" xfId="2931"/>
    <cellStyle name="Normal 5 37 2 2" xfId="2932"/>
    <cellStyle name="Normal 5 37 2 3" xfId="2933"/>
    <cellStyle name="Normal 5 37 2 4" xfId="2934"/>
    <cellStyle name="Normal 5 37 2 5" xfId="2935"/>
    <cellStyle name="Normal 5 37 2 6" xfId="2936"/>
    <cellStyle name="Normal 5 37 3" xfId="2937"/>
    <cellStyle name="Normal 5 37 4" xfId="2938"/>
    <cellStyle name="Normal 5 37 5" xfId="2939"/>
    <cellStyle name="Normal 5 37 6" xfId="2940"/>
    <cellStyle name="Normal 5 37 7" xfId="2941"/>
    <cellStyle name="Normal 5 38" xfId="2942"/>
    <cellStyle name="Normal 5 38 2" xfId="2943"/>
    <cellStyle name="Normal 5 38 2 2" xfId="2944"/>
    <cellStyle name="Normal 5 38 2 3" xfId="2945"/>
    <cellStyle name="Normal 5 38 2 4" xfId="2946"/>
    <cellStyle name="Normal 5 38 2 5" xfId="2947"/>
    <cellStyle name="Normal 5 38 2 6" xfId="2948"/>
    <cellStyle name="Normal 5 38 3" xfId="2949"/>
    <cellStyle name="Normal 5 38 4" xfId="2950"/>
    <cellStyle name="Normal 5 38 5" xfId="2951"/>
    <cellStyle name="Normal 5 38 6" xfId="2952"/>
    <cellStyle name="Normal 5 38 7" xfId="2953"/>
    <cellStyle name="Normal 5 39" xfId="2954"/>
    <cellStyle name="Normal 5 39 2" xfId="2955"/>
    <cellStyle name="Normal 5 39 2 2" xfId="2956"/>
    <cellStyle name="Normal 5 39 2 3" xfId="2957"/>
    <cellStyle name="Normal 5 39 2 4" xfId="2958"/>
    <cellStyle name="Normal 5 39 2 5" xfId="2959"/>
    <cellStyle name="Normal 5 39 2 6" xfId="2960"/>
    <cellStyle name="Normal 5 39 3" xfId="2961"/>
    <cellStyle name="Normal 5 39 4" xfId="2962"/>
    <cellStyle name="Normal 5 39 5" xfId="2963"/>
    <cellStyle name="Normal 5 39 6" xfId="2964"/>
    <cellStyle name="Normal 5 39 7" xfId="2965"/>
    <cellStyle name="Normal 5 4" xfId="2966"/>
    <cellStyle name="Normal 5 4 2" xfId="2967"/>
    <cellStyle name="Normal 5 4 2 2" xfId="2968"/>
    <cellStyle name="Normal 5 4 2 2 2" xfId="2969"/>
    <cellStyle name="Normal 5 4 2 2 3" xfId="2970"/>
    <cellStyle name="Normal 5 4 2 2 4" xfId="2971"/>
    <cellStyle name="Normal 5 4 2 2 5" xfId="2972"/>
    <cellStyle name="Normal 5 4 2 2 6" xfId="2973"/>
    <cellStyle name="Normal 5 4 2 3" xfId="2974"/>
    <cellStyle name="Normal 5 4 2 4" xfId="2975"/>
    <cellStyle name="Normal 5 4 2 5" xfId="2976"/>
    <cellStyle name="Normal 5 4 2 6" xfId="2977"/>
    <cellStyle name="Normal 5 4 2 7" xfId="2978"/>
    <cellStyle name="Normal 5 4 3" xfId="2979"/>
    <cellStyle name="Normal 5 4 3 2" xfId="2980"/>
    <cellStyle name="Normal 5 4 3 3" xfId="2981"/>
    <cellStyle name="Normal 5 4 3 4" xfId="2982"/>
    <cellStyle name="Normal 5 4 3 5" xfId="2983"/>
    <cellStyle name="Normal 5 4 3 6" xfId="2984"/>
    <cellStyle name="Normal 5 4 4" xfId="2985"/>
    <cellStyle name="Normal 5 4 5" xfId="2986"/>
    <cellStyle name="Normal 5 4 6" xfId="2987"/>
    <cellStyle name="Normal 5 4 7" xfId="2988"/>
    <cellStyle name="Normal 5 4 8" xfId="2989"/>
    <cellStyle name="Normal 5 40" xfId="2990"/>
    <cellStyle name="Normal 5 40 2" xfId="2991"/>
    <cellStyle name="Normal 5 40 2 2" xfId="2992"/>
    <cellStyle name="Normal 5 40 2 3" xfId="2993"/>
    <cellStyle name="Normal 5 40 2 4" xfId="2994"/>
    <cellStyle name="Normal 5 40 2 5" xfId="2995"/>
    <cellStyle name="Normal 5 40 2 6" xfId="2996"/>
    <cellStyle name="Normal 5 40 3" xfId="2997"/>
    <cellStyle name="Normal 5 40 4" xfId="2998"/>
    <cellStyle name="Normal 5 40 5" xfId="2999"/>
    <cellStyle name="Normal 5 40 6" xfId="3000"/>
    <cellStyle name="Normal 5 40 7" xfId="3001"/>
    <cellStyle name="Normal 5 41" xfId="3002"/>
    <cellStyle name="Normal 5 41 2" xfId="3003"/>
    <cellStyle name="Normal 5 41 2 2" xfId="3004"/>
    <cellStyle name="Normal 5 41 2 3" xfId="3005"/>
    <cellStyle name="Normal 5 41 2 4" xfId="3006"/>
    <cellStyle name="Normal 5 41 2 5" xfId="3007"/>
    <cellStyle name="Normal 5 41 2 6" xfId="3008"/>
    <cellStyle name="Normal 5 41 3" xfId="3009"/>
    <cellStyle name="Normal 5 41 4" xfId="3010"/>
    <cellStyle name="Normal 5 41 5" xfId="3011"/>
    <cellStyle name="Normal 5 41 6" xfId="3012"/>
    <cellStyle name="Normal 5 41 7" xfId="3013"/>
    <cellStyle name="Normal 5 42" xfId="3014"/>
    <cellStyle name="Normal 5 42 2" xfId="3015"/>
    <cellStyle name="Normal 5 42 2 2" xfId="3016"/>
    <cellStyle name="Normal 5 42 2 3" xfId="3017"/>
    <cellStyle name="Normal 5 42 2 4" xfId="3018"/>
    <cellStyle name="Normal 5 42 2 5" xfId="3019"/>
    <cellStyle name="Normal 5 42 2 6" xfId="3020"/>
    <cellStyle name="Normal 5 42 3" xfId="3021"/>
    <cellStyle name="Normal 5 42 4" xfId="3022"/>
    <cellStyle name="Normal 5 42 5" xfId="3023"/>
    <cellStyle name="Normal 5 42 6" xfId="3024"/>
    <cellStyle name="Normal 5 42 7" xfId="3025"/>
    <cellStyle name="Normal 5 43" xfId="3026"/>
    <cellStyle name="Normal 5 43 2" xfId="3027"/>
    <cellStyle name="Normal 5 43 2 2" xfId="3028"/>
    <cellStyle name="Normal 5 43 2 3" xfId="3029"/>
    <cellStyle name="Normal 5 43 2 4" xfId="3030"/>
    <cellStyle name="Normal 5 43 2 5" xfId="3031"/>
    <cellStyle name="Normal 5 43 2 6" xfId="3032"/>
    <cellStyle name="Normal 5 43 3" xfId="3033"/>
    <cellStyle name="Normal 5 43 4" xfId="3034"/>
    <cellStyle name="Normal 5 43 5" xfId="3035"/>
    <cellStyle name="Normal 5 43 6" xfId="3036"/>
    <cellStyle name="Normal 5 43 7" xfId="3037"/>
    <cellStyle name="Normal 5 44" xfId="3038"/>
    <cellStyle name="Normal 5 44 2" xfId="3039"/>
    <cellStyle name="Normal 5 44 2 2" xfId="3040"/>
    <cellStyle name="Normal 5 44 2 3" xfId="3041"/>
    <cellStyle name="Normal 5 44 2 4" xfId="3042"/>
    <cellStyle name="Normal 5 44 2 5" xfId="3043"/>
    <cellStyle name="Normal 5 44 2 6" xfId="3044"/>
    <cellStyle name="Normal 5 44 3" xfId="3045"/>
    <cellStyle name="Normal 5 44 4" xfId="3046"/>
    <cellStyle name="Normal 5 44 5" xfId="3047"/>
    <cellStyle name="Normal 5 44 6" xfId="3048"/>
    <cellStyle name="Normal 5 44 7" xfId="3049"/>
    <cellStyle name="Normal 5 45" xfId="3050"/>
    <cellStyle name="Normal 5 45 2" xfId="3051"/>
    <cellStyle name="Normal 5 45 2 2" xfId="3052"/>
    <cellStyle name="Normal 5 45 2 3" xfId="3053"/>
    <cellStyle name="Normal 5 45 2 4" xfId="3054"/>
    <cellStyle name="Normal 5 45 2 5" xfId="3055"/>
    <cellStyle name="Normal 5 45 2 6" xfId="3056"/>
    <cellStyle name="Normal 5 45 3" xfId="3057"/>
    <cellStyle name="Normal 5 45 4" xfId="3058"/>
    <cellStyle name="Normal 5 45 5" xfId="3059"/>
    <cellStyle name="Normal 5 45 6" xfId="3060"/>
    <cellStyle name="Normal 5 45 7" xfId="3061"/>
    <cellStyle name="Normal 5 46" xfId="3062"/>
    <cellStyle name="Normal 5 46 2" xfId="3063"/>
    <cellStyle name="Normal 5 46 2 2" xfId="3064"/>
    <cellStyle name="Normal 5 46 2 3" xfId="3065"/>
    <cellStyle name="Normal 5 46 2 4" xfId="3066"/>
    <cellStyle name="Normal 5 46 2 5" xfId="3067"/>
    <cellStyle name="Normal 5 46 2 6" xfId="3068"/>
    <cellStyle name="Normal 5 46 3" xfId="3069"/>
    <cellStyle name="Normal 5 46 4" xfId="3070"/>
    <cellStyle name="Normal 5 46 5" xfId="3071"/>
    <cellStyle name="Normal 5 46 6" xfId="3072"/>
    <cellStyle name="Normal 5 46 7" xfId="3073"/>
    <cellStyle name="Normal 5 47" xfId="3074"/>
    <cellStyle name="Normal 5 47 2" xfId="3075"/>
    <cellStyle name="Normal 5 47 2 2" xfId="3076"/>
    <cellStyle name="Normal 5 47 2 3" xfId="3077"/>
    <cellStyle name="Normal 5 47 2 4" xfId="3078"/>
    <cellStyle name="Normal 5 47 2 5" xfId="3079"/>
    <cellStyle name="Normal 5 47 2 6" xfId="3080"/>
    <cellStyle name="Normal 5 47 3" xfId="3081"/>
    <cellStyle name="Normal 5 47 4" xfId="3082"/>
    <cellStyle name="Normal 5 47 5" xfId="3083"/>
    <cellStyle name="Normal 5 47 6" xfId="3084"/>
    <cellStyle name="Normal 5 47 7" xfId="3085"/>
    <cellStyle name="Normal 5 48" xfId="3086"/>
    <cellStyle name="Normal 5 48 2" xfId="3087"/>
    <cellStyle name="Normal 5 48 2 2" xfId="3088"/>
    <cellStyle name="Normal 5 48 2 3" xfId="3089"/>
    <cellStyle name="Normal 5 48 2 4" xfId="3090"/>
    <cellStyle name="Normal 5 48 2 5" xfId="3091"/>
    <cellStyle name="Normal 5 48 2 6" xfId="3092"/>
    <cellStyle name="Normal 5 48 3" xfId="3093"/>
    <cellStyle name="Normal 5 48 4" xfId="3094"/>
    <cellStyle name="Normal 5 48 5" xfId="3095"/>
    <cellStyle name="Normal 5 48 6" xfId="3096"/>
    <cellStyle name="Normal 5 48 7" xfId="3097"/>
    <cellStyle name="Normal 5 49" xfId="3098"/>
    <cellStyle name="Normal 5 49 2" xfId="3099"/>
    <cellStyle name="Normal 5 49 2 2" xfId="3100"/>
    <cellStyle name="Normal 5 49 2 3" xfId="3101"/>
    <cellStyle name="Normal 5 49 2 4" xfId="3102"/>
    <cellStyle name="Normal 5 49 2 5" xfId="3103"/>
    <cellStyle name="Normal 5 49 2 6" xfId="3104"/>
    <cellStyle name="Normal 5 49 3" xfId="3105"/>
    <cellStyle name="Normal 5 49 4" xfId="3106"/>
    <cellStyle name="Normal 5 49 5" xfId="3107"/>
    <cellStyle name="Normal 5 49 6" xfId="3108"/>
    <cellStyle name="Normal 5 49 7" xfId="3109"/>
    <cellStyle name="Normal 5 5" xfId="3110"/>
    <cellStyle name="Normal 5 5 2" xfId="3111"/>
    <cellStyle name="Normal 5 5 2 2" xfId="3112"/>
    <cellStyle name="Normal 5 5 2 2 2" xfId="3113"/>
    <cellStyle name="Normal 5 5 2 2 3" xfId="3114"/>
    <cellStyle name="Normal 5 5 2 2 4" xfId="3115"/>
    <cellStyle name="Normal 5 5 2 2 5" xfId="3116"/>
    <cellStyle name="Normal 5 5 2 2 6" xfId="3117"/>
    <cellStyle name="Normal 5 5 2 3" xfId="3118"/>
    <cellStyle name="Normal 5 5 2 4" xfId="3119"/>
    <cellStyle name="Normal 5 5 2 5" xfId="3120"/>
    <cellStyle name="Normal 5 5 2 6" xfId="3121"/>
    <cellStyle name="Normal 5 5 2 7" xfId="3122"/>
    <cellStyle name="Normal 5 5 3" xfId="3123"/>
    <cellStyle name="Normal 5 5 3 2" xfId="3124"/>
    <cellStyle name="Normal 5 5 3 3" xfId="3125"/>
    <cellStyle name="Normal 5 5 3 4" xfId="3126"/>
    <cellStyle name="Normal 5 5 3 5" xfId="3127"/>
    <cellStyle name="Normal 5 5 3 6" xfId="3128"/>
    <cellStyle name="Normal 5 5 4" xfId="3129"/>
    <cellStyle name="Normal 5 5 5" xfId="3130"/>
    <cellStyle name="Normal 5 5 6" xfId="3131"/>
    <cellStyle name="Normal 5 5 7" xfId="3132"/>
    <cellStyle name="Normal 5 5 8" xfId="3133"/>
    <cellStyle name="Normal 5 50" xfId="3134"/>
    <cellStyle name="Normal 5 50 2" xfId="3135"/>
    <cellStyle name="Normal 5 50 2 2" xfId="3136"/>
    <cellStyle name="Normal 5 50 2 3" xfId="3137"/>
    <cellStyle name="Normal 5 50 2 4" xfId="3138"/>
    <cellStyle name="Normal 5 50 2 5" xfId="3139"/>
    <cellStyle name="Normal 5 50 2 6" xfId="3140"/>
    <cellStyle name="Normal 5 50 3" xfId="3141"/>
    <cellStyle name="Normal 5 50 4" xfId="3142"/>
    <cellStyle name="Normal 5 50 5" xfId="3143"/>
    <cellStyle name="Normal 5 50 6" xfId="3144"/>
    <cellStyle name="Normal 5 50 7" xfId="3145"/>
    <cellStyle name="Normal 5 51" xfId="3146"/>
    <cellStyle name="Normal 5 51 2" xfId="3147"/>
    <cellStyle name="Normal 5 51 2 2" xfId="3148"/>
    <cellStyle name="Normal 5 51 2 3" xfId="3149"/>
    <cellStyle name="Normal 5 51 2 4" xfId="3150"/>
    <cellStyle name="Normal 5 51 2 5" xfId="3151"/>
    <cellStyle name="Normal 5 51 2 6" xfId="3152"/>
    <cellStyle name="Normal 5 51 3" xfId="3153"/>
    <cellStyle name="Normal 5 51 4" xfId="3154"/>
    <cellStyle name="Normal 5 51 5" xfId="3155"/>
    <cellStyle name="Normal 5 51 6" xfId="3156"/>
    <cellStyle name="Normal 5 51 7" xfId="3157"/>
    <cellStyle name="Normal 5 52" xfId="3158"/>
    <cellStyle name="Normal 5 52 2" xfId="3159"/>
    <cellStyle name="Normal 5 52 2 2" xfId="3160"/>
    <cellStyle name="Normal 5 52 2 3" xfId="3161"/>
    <cellStyle name="Normal 5 52 2 4" xfId="3162"/>
    <cellStyle name="Normal 5 52 2 5" xfId="3163"/>
    <cellStyle name="Normal 5 52 2 6" xfId="3164"/>
    <cellStyle name="Normal 5 52 3" xfId="3165"/>
    <cellStyle name="Normal 5 52 4" xfId="3166"/>
    <cellStyle name="Normal 5 52 5" xfId="3167"/>
    <cellStyle name="Normal 5 52 6" xfId="3168"/>
    <cellStyle name="Normal 5 52 7" xfId="3169"/>
    <cellStyle name="Normal 5 53" xfId="3170"/>
    <cellStyle name="Normal 5 53 2" xfId="3171"/>
    <cellStyle name="Normal 5 53 2 2" xfId="3172"/>
    <cellStyle name="Normal 5 53 2 3" xfId="3173"/>
    <cellStyle name="Normal 5 53 2 4" xfId="3174"/>
    <cellStyle name="Normal 5 53 2 5" xfId="3175"/>
    <cellStyle name="Normal 5 53 2 6" xfId="3176"/>
    <cellStyle name="Normal 5 53 3" xfId="3177"/>
    <cellStyle name="Normal 5 53 4" xfId="3178"/>
    <cellStyle name="Normal 5 53 5" xfId="3179"/>
    <cellStyle name="Normal 5 53 6" xfId="3180"/>
    <cellStyle name="Normal 5 53 7" xfId="3181"/>
    <cellStyle name="Normal 5 54" xfId="3182"/>
    <cellStyle name="Normal 5 54 2" xfId="3183"/>
    <cellStyle name="Normal 5 54 2 2" xfId="3184"/>
    <cellStyle name="Normal 5 54 2 3" xfId="3185"/>
    <cellStyle name="Normal 5 54 2 4" xfId="3186"/>
    <cellStyle name="Normal 5 54 2 5" xfId="3187"/>
    <cellStyle name="Normal 5 54 2 6" xfId="3188"/>
    <cellStyle name="Normal 5 54 3" xfId="3189"/>
    <cellStyle name="Normal 5 54 4" xfId="3190"/>
    <cellStyle name="Normal 5 54 5" xfId="3191"/>
    <cellStyle name="Normal 5 54 6" xfId="3192"/>
    <cellStyle name="Normal 5 54 7" xfId="3193"/>
    <cellStyle name="Normal 5 55" xfId="3194"/>
    <cellStyle name="Normal 5 55 2" xfId="3195"/>
    <cellStyle name="Normal 5 55 2 2" xfId="3196"/>
    <cellStyle name="Normal 5 55 2 3" xfId="3197"/>
    <cellStyle name="Normal 5 55 2 4" xfId="3198"/>
    <cellStyle name="Normal 5 55 2 5" xfId="3199"/>
    <cellStyle name="Normal 5 55 2 6" xfId="3200"/>
    <cellStyle name="Normal 5 55 3" xfId="3201"/>
    <cellStyle name="Normal 5 55 4" xfId="3202"/>
    <cellStyle name="Normal 5 55 5" xfId="3203"/>
    <cellStyle name="Normal 5 55 6" xfId="3204"/>
    <cellStyle name="Normal 5 55 7" xfId="3205"/>
    <cellStyle name="Normal 5 56" xfId="3206"/>
    <cellStyle name="Normal 5 56 2" xfId="3207"/>
    <cellStyle name="Normal 5 56 2 2" xfId="3208"/>
    <cellStyle name="Normal 5 56 2 3" xfId="3209"/>
    <cellStyle name="Normal 5 56 2 4" xfId="3210"/>
    <cellStyle name="Normal 5 56 2 5" xfId="3211"/>
    <cellStyle name="Normal 5 56 2 6" xfId="3212"/>
    <cellStyle name="Normal 5 56 3" xfId="3213"/>
    <cellStyle name="Normal 5 56 4" xfId="3214"/>
    <cellStyle name="Normal 5 56 5" xfId="3215"/>
    <cellStyle name="Normal 5 56 6" xfId="3216"/>
    <cellStyle name="Normal 5 56 7" xfId="3217"/>
    <cellStyle name="Normal 5 57" xfId="3218"/>
    <cellStyle name="Normal 5 57 2" xfId="3219"/>
    <cellStyle name="Normal 5 57 2 2" xfId="3220"/>
    <cellStyle name="Normal 5 57 2 3" xfId="3221"/>
    <cellStyle name="Normal 5 57 2 4" xfId="3222"/>
    <cellStyle name="Normal 5 57 2 5" xfId="3223"/>
    <cellStyle name="Normal 5 57 2 6" xfId="3224"/>
    <cellStyle name="Normal 5 57 3" xfId="3225"/>
    <cellStyle name="Normal 5 57 4" xfId="3226"/>
    <cellStyle name="Normal 5 57 5" xfId="3227"/>
    <cellStyle name="Normal 5 57 6" xfId="3228"/>
    <cellStyle name="Normal 5 57 7" xfId="3229"/>
    <cellStyle name="Normal 5 58" xfId="3230"/>
    <cellStyle name="Normal 5 58 2" xfId="3231"/>
    <cellStyle name="Normal 5 58 2 2" xfId="3232"/>
    <cellStyle name="Normal 5 58 2 3" xfId="3233"/>
    <cellStyle name="Normal 5 58 2 4" xfId="3234"/>
    <cellStyle name="Normal 5 58 2 5" xfId="3235"/>
    <cellStyle name="Normal 5 58 2 6" xfId="3236"/>
    <cellStyle name="Normal 5 58 3" xfId="3237"/>
    <cellStyle name="Normal 5 58 4" xfId="3238"/>
    <cellStyle name="Normal 5 58 5" xfId="3239"/>
    <cellStyle name="Normal 5 58 6" xfId="3240"/>
    <cellStyle name="Normal 5 58 7" xfId="3241"/>
    <cellStyle name="Normal 5 59" xfId="3242"/>
    <cellStyle name="Normal 5 59 2" xfId="3243"/>
    <cellStyle name="Normal 5 59 2 2" xfId="3244"/>
    <cellStyle name="Normal 5 59 2 3" xfId="3245"/>
    <cellStyle name="Normal 5 59 2 4" xfId="3246"/>
    <cellStyle name="Normal 5 59 2 5" xfId="3247"/>
    <cellStyle name="Normal 5 59 2 6" xfId="3248"/>
    <cellStyle name="Normal 5 59 3" xfId="3249"/>
    <cellStyle name="Normal 5 59 4" xfId="3250"/>
    <cellStyle name="Normal 5 59 5" xfId="3251"/>
    <cellStyle name="Normal 5 59 6" xfId="3252"/>
    <cellStyle name="Normal 5 59 7" xfId="3253"/>
    <cellStyle name="Normal 5 6" xfId="3254"/>
    <cellStyle name="Normal 5 6 2" xfId="3255"/>
    <cellStyle name="Normal 5 6 2 2" xfId="3256"/>
    <cellStyle name="Normal 5 6 2 2 2" xfId="3257"/>
    <cellStyle name="Normal 5 6 2 2 3" xfId="3258"/>
    <cellStyle name="Normal 5 6 2 2 4" xfId="3259"/>
    <cellStyle name="Normal 5 6 2 2 5" xfId="3260"/>
    <cellStyle name="Normal 5 6 2 2 6" xfId="3261"/>
    <cellStyle name="Normal 5 6 2 3" xfId="3262"/>
    <cellStyle name="Normal 5 6 2 4" xfId="3263"/>
    <cellStyle name="Normal 5 6 2 5" xfId="3264"/>
    <cellStyle name="Normal 5 6 2 6" xfId="3265"/>
    <cellStyle name="Normal 5 6 2 7" xfId="3266"/>
    <cellStyle name="Normal 5 6 3" xfId="3267"/>
    <cellStyle name="Normal 5 6 3 2" xfId="3268"/>
    <cellStyle name="Normal 5 6 3 3" xfId="3269"/>
    <cellStyle name="Normal 5 6 3 4" xfId="3270"/>
    <cellStyle name="Normal 5 6 3 5" xfId="3271"/>
    <cellStyle name="Normal 5 6 3 6" xfId="3272"/>
    <cellStyle name="Normal 5 6 4" xfId="3273"/>
    <cellStyle name="Normal 5 6 5" xfId="3274"/>
    <cellStyle name="Normal 5 6 6" xfId="3275"/>
    <cellStyle name="Normal 5 6 7" xfId="3276"/>
    <cellStyle name="Normal 5 6 8" xfId="3277"/>
    <cellStyle name="Normal 5 60" xfId="3278"/>
    <cellStyle name="Normal 5 60 2" xfId="3279"/>
    <cellStyle name="Normal 5 60 2 2" xfId="3280"/>
    <cellStyle name="Normal 5 60 2 3" xfId="3281"/>
    <cellStyle name="Normal 5 60 2 4" xfId="3282"/>
    <cellStyle name="Normal 5 60 2 5" xfId="3283"/>
    <cellStyle name="Normal 5 60 2 6" xfId="3284"/>
    <cellStyle name="Normal 5 60 3" xfId="3285"/>
    <cellStyle name="Normal 5 60 4" xfId="3286"/>
    <cellStyle name="Normal 5 60 5" xfId="3287"/>
    <cellStyle name="Normal 5 60 6" xfId="3288"/>
    <cellStyle name="Normal 5 60 7" xfId="3289"/>
    <cellStyle name="Normal 5 61" xfId="3290"/>
    <cellStyle name="Normal 5 61 2" xfId="3291"/>
    <cellStyle name="Normal 5 61 2 2" xfId="3292"/>
    <cellStyle name="Normal 5 61 2 3" xfId="3293"/>
    <cellStyle name="Normal 5 61 2 4" xfId="3294"/>
    <cellStyle name="Normal 5 61 2 5" xfId="3295"/>
    <cellStyle name="Normal 5 61 2 6" xfId="3296"/>
    <cellStyle name="Normal 5 61 3" xfId="3297"/>
    <cellStyle name="Normal 5 61 4" xfId="3298"/>
    <cellStyle name="Normal 5 61 5" xfId="3299"/>
    <cellStyle name="Normal 5 61 6" xfId="3300"/>
    <cellStyle name="Normal 5 61 7" xfId="3301"/>
    <cellStyle name="Normal 5 62" xfId="3302"/>
    <cellStyle name="Normal 5 62 2" xfId="3303"/>
    <cellStyle name="Normal 5 62 2 2" xfId="3304"/>
    <cellStyle name="Normal 5 62 2 3" xfId="3305"/>
    <cellStyle name="Normal 5 62 2 4" xfId="3306"/>
    <cellStyle name="Normal 5 62 2 5" xfId="3307"/>
    <cellStyle name="Normal 5 62 2 6" xfId="3308"/>
    <cellStyle name="Normal 5 62 3" xfId="3309"/>
    <cellStyle name="Normal 5 62 4" xfId="3310"/>
    <cellStyle name="Normal 5 62 5" xfId="3311"/>
    <cellStyle name="Normal 5 62 6" xfId="3312"/>
    <cellStyle name="Normal 5 62 7" xfId="3313"/>
    <cellStyle name="Normal 5 63" xfId="3314"/>
    <cellStyle name="Normal 5 63 2" xfId="3315"/>
    <cellStyle name="Normal 5 63 2 2" xfId="3316"/>
    <cellStyle name="Normal 5 63 2 3" xfId="3317"/>
    <cellStyle name="Normal 5 63 2 4" xfId="3318"/>
    <cellStyle name="Normal 5 63 2 5" xfId="3319"/>
    <cellStyle name="Normal 5 63 2 6" xfId="3320"/>
    <cellStyle name="Normal 5 63 3" xfId="3321"/>
    <cellStyle name="Normal 5 63 4" xfId="3322"/>
    <cellStyle name="Normal 5 63 5" xfId="3323"/>
    <cellStyle name="Normal 5 63 6" xfId="3324"/>
    <cellStyle name="Normal 5 63 7" xfId="3325"/>
    <cellStyle name="Normal 5 64" xfId="3326"/>
    <cellStyle name="Normal 5 64 2" xfId="3327"/>
    <cellStyle name="Normal 5 64 2 2" xfId="3328"/>
    <cellStyle name="Normal 5 64 2 3" xfId="3329"/>
    <cellStyle name="Normal 5 64 2 4" xfId="3330"/>
    <cellStyle name="Normal 5 64 2 5" xfId="3331"/>
    <cellStyle name="Normal 5 64 2 6" xfId="3332"/>
    <cellStyle name="Normal 5 64 3" xfId="3333"/>
    <cellStyle name="Normal 5 64 4" xfId="3334"/>
    <cellStyle name="Normal 5 64 5" xfId="3335"/>
    <cellStyle name="Normal 5 64 6" xfId="3336"/>
    <cellStyle name="Normal 5 64 7" xfId="3337"/>
    <cellStyle name="Normal 5 65" xfId="3338"/>
    <cellStyle name="Normal 5 65 2" xfId="3339"/>
    <cellStyle name="Normal 5 65 2 2" xfId="3340"/>
    <cellStyle name="Normal 5 65 2 3" xfId="3341"/>
    <cellStyle name="Normal 5 65 2 4" xfId="3342"/>
    <cellStyle name="Normal 5 65 2 5" xfId="3343"/>
    <cellStyle name="Normal 5 65 2 6" xfId="3344"/>
    <cellStyle name="Normal 5 65 3" xfId="3345"/>
    <cellStyle name="Normal 5 65 4" xfId="3346"/>
    <cellStyle name="Normal 5 65 5" xfId="3347"/>
    <cellStyle name="Normal 5 65 6" xfId="3348"/>
    <cellStyle name="Normal 5 65 7" xfId="3349"/>
    <cellStyle name="Normal 5 66" xfId="3350"/>
    <cellStyle name="Normal 5 66 2" xfId="3351"/>
    <cellStyle name="Normal 5 66 2 2" xfId="3352"/>
    <cellStyle name="Normal 5 66 2 3" xfId="3353"/>
    <cellStyle name="Normal 5 66 2 4" xfId="3354"/>
    <cellStyle name="Normal 5 66 2 5" xfId="3355"/>
    <cellStyle name="Normal 5 66 2 6" xfId="3356"/>
    <cellStyle name="Normal 5 66 3" xfId="3357"/>
    <cellStyle name="Normal 5 66 4" xfId="3358"/>
    <cellStyle name="Normal 5 66 5" xfId="3359"/>
    <cellStyle name="Normal 5 66 6" xfId="3360"/>
    <cellStyle name="Normal 5 66 7" xfId="3361"/>
    <cellStyle name="Normal 5 67" xfId="3362"/>
    <cellStyle name="Normal 5 67 2" xfId="3363"/>
    <cellStyle name="Normal 5 67 2 2" xfId="3364"/>
    <cellStyle name="Normal 5 67 2 3" xfId="3365"/>
    <cellStyle name="Normal 5 67 2 4" xfId="3366"/>
    <cellStyle name="Normal 5 67 2 5" xfId="3367"/>
    <cellStyle name="Normal 5 67 2 6" xfId="3368"/>
    <cellStyle name="Normal 5 67 3" xfId="3369"/>
    <cellStyle name="Normal 5 67 4" xfId="3370"/>
    <cellStyle name="Normal 5 67 5" xfId="3371"/>
    <cellStyle name="Normal 5 67 6" xfId="3372"/>
    <cellStyle name="Normal 5 67 7" xfId="3373"/>
    <cellStyle name="Normal 5 68" xfId="3374"/>
    <cellStyle name="Normal 5 68 2" xfId="3375"/>
    <cellStyle name="Normal 5 68 2 2" xfId="3376"/>
    <cellStyle name="Normal 5 68 2 3" xfId="3377"/>
    <cellStyle name="Normal 5 68 2 4" xfId="3378"/>
    <cellStyle name="Normal 5 68 2 5" xfId="3379"/>
    <cellStyle name="Normal 5 68 2 6" xfId="3380"/>
    <cellStyle name="Normal 5 68 3" xfId="3381"/>
    <cellStyle name="Normal 5 68 4" xfId="3382"/>
    <cellStyle name="Normal 5 68 5" xfId="3383"/>
    <cellStyle name="Normal 5 68 6" xfId="3384"/>
    <cellStyle name="Normal 5 68 7" xfId="3385"/>
    <cellStyle name="Normal 5 69" xfId="3386"/>
    <cellStyle name="Normal 5 69 2" xfId="3387"/>
    <cellStyle name="Normal 5 69 2 2" xfId="3388"/>
    <cellStyle name="Normal 5 69 2 3" xfId="3389"/>
    <cellStyle name="Normal 5 69 2 4" xfId="3390"/>
    <cellStyle name="Normal 5 69 2 5" xfId="3391"/>
    <cellStyle name="Normal 5 69 2 6" xfId="3392"/>
    <cellStyle name="Normal 5 69 3" xfId="3393"/>
    <cellStyle name="Normal 5 69 4" xfId="3394"/>
    <cellStyle name="Normal 5 69 5" xfId="3395"/>
    <cellStyle name="Normal 5 69 6" xfId="3396"/>
    <cellStyle name="Normal 5 69 7" xfId="3397"/>
    <cellStyle name="Normal 5 7" xfId="3398"/>
    <cellStyle name="Normal 5 7 2" xfId="3399"/>
    <cellStyle name="Normal 5 7 2 2" xfId="3400"/>
    <cellStyle name="Normal 5 7 2 2 2" xfId="3401"/>
    <cellStyle name="Normal 5 7 2 2 3" xfId="3402"/>
    <cellStyle name="Normal 5 7 2 2 4" xfId="3403"/>
    <cellStyle name="Normal 5 7 2 2 5" xfId="3404"/>
    <cellStyle name="Normal 5 7 2 2 6" xfId="3405"/>
    <cellStyle name="Normal 5 7 2 3" xfId="3406"/>
    <cellStyle name="Normal 5 7 2 4" xfId="3407"/>
    <cellStyle name="Normal 5 7 2 5" xfId="3408"/>
    <cellStyle name="Normal 5 7 2 6" xfId="3409"/>
    <cellStyle name="Normal 5 7 2 7" xfId="3410"/>
    <cellStyle name="Normal 5 7 3" xfId="3411"/>
    <cellStyle name="Normal 5 7 3 2" xfId="3412"/>
    <cellStyle name="Normal 5 7 3 3" xfId="3413"/>
    <cellStyle name="Normal 5 7 3 4" xfId="3414"/>
    <cellStyle name="Normal 5 7 3 5" xfId="3415"/>
    <cellStyle name="Normal 5 7 3 6" xfId="3416"/>
    <cellStyle name="Normal 5 7 4" xfId="3417"/>
    <cellStyle name="Normal 5 7 5" xfId="3418"/>
    <cellStyle name="Normal 5 7 6" xfId="3419"/>
    <cellStyle name="Normal 5 7 7" xfId="3420"/>
    <cellStyle name="Normal 5 7 8" xfId="3421"/>
    <cellStyle name="Normal 5 70" xfId="3422"/>
    <cellStyle name="Normal 5 70 2" xfId="3423"/>
    <cellStyle name="Normal 5 70 2 2" xfId="3424"/>
    <cellStyle name="Normal 5 70 2 3" xfId="3425"/>
    <cellStyle name="Normal 5 70 2 4" xfId="3426"/>
    <cellStyle name="Normal 5 70 2 5" xfId="3427"/>
    <cellStyle name="Normal 5 70 2 6" xfId="3428"/>
    <cellStyle name="Normal 5 70 3" xfId="3429"/>
    <cellStyle name="Normal 5 70 4" xfId="3430"/>
    <cellStyle name="Normal 5 70 5" xfId="3431"/>
    <cellStyle name="Normal 5 70 6" xfId="3432"/>
    <cellStyle name="Normal 5 70 7" xfId="3433"/>
    <cellStyle name="Normal 5 71" xfId="3434"/>
    <cellStyle name="Normal 5 71 2" xfId="3435"/>
    <cellStyle name="Normal 5 71 2 2" xfId="3436"/>
    <cellStyle name="Normal 5 71 2 3" xfId="3437"/>
    <cellStyle name="Normal 5 71 2 4" xfId="3438"/>
    <cellStyle name="Normal 5 71 2 5" xfId="3439"/>
    <cellStyle name="Normal 5 71 2 6" xfId="3440"/>
    <cellStyle name="Normal 5 71 3" xfId="3441"/>
    <cellStyle name="Normal 5 71 4" xfId="3442"/>
    <cellStyle name="Normal 5 71 5" xfId="3443"/>
    <cellStyle name="Normal 5 71 6" xfId="3444"/>
    <cellStyle name="Normal 5 71 7" xfId="3445"/>
    <cellStyle name="Normal 5 72" xfId="3446"/>
    <cellStyle name="Normal 5 72 2" xfId="3447"/>
    <cellStyle name="Normal 5 72 2 2" xfId="3448"/>
    <cellStyle name="Normal 5 72 2 3" xfId="3449"/>
    <cellStyle name="Normal 5 72 2 4" xfId="3450"/>
    <cellStyle name="Normal 5 72 2 5" xfId="3451"/>
    <cellStyle name="Normal 5 72 2 6" xfId="3452"/>
    <cellStyle name="Normal 5 72 3" xfId="3453"/>
    <cellStyle name="Normal 5 72 4" xfId="3454"/>
    <cellStyle name="Normal 5 72 5" xfId="3455"/>
    <cellStyle name="Normal 5 72 6" xfId="3456"/>
    <cellStyle name="Normal 5 72 7" xfId="3457"/>
    <cellStyle name="Normal 5 73" xfId="3458"/>
    <cellStyle name="Normal 5 73 2" xfId="3459"/>
    <cellStyle name="Normal 5 73 2 2" xfId="3460"/>
    <cellStyle name="Normal 5 73 2 3" xfId="3461"/>
    <cellStyle name="Normal 5 73 2 4" xfId="3462"/>
    <cellStyle name="Normal 5 73 2 5" xfId="3463"/>
    <cellStyle name="Normal 5 73 2 6" xfId="3464"/>
    <cellStyle name="Normal 5 73 3" xfId="3465"/>
    <cellStyle name="Normal 5 73 4" xfId="3466"/>
    <cellStyle name="Normal 5 73 5" xfId="3467"/>
    <cellStyle name="Normal 5 73 6" xfId="3468"/>
    <cellStyle name="Normal 5 73 7" xfId="3469"/>
    <cellStyle name="Normal 5 74" xfId="3470"/>
    <cellStyle name="Normal 5 74 2" xfId="3471"/>
    <cellStyle name="Normal 5 74 2 2" xfId="3472"/>
    <cellStyle name="Normal 5 74 2 3" xfId="3473"/>
    <cellStyle name="Normal 5 74 2 4" xfId="3474"/>
    <cellStyle name="Normal 5 74 2 5" xfId="3475"/>
    <cellStyle name="Normal 5 74 2 6" xfId="3476"/>
    <cellStyle name="Normal 5 74 3" xfId="3477"/>
    <cellStyle name="Normal 5 74 4" xfId="3478"/>
    <cellStyle name="Normal 5 74 5" xfId="3479"/>
    <cellStyle name="Normal 5 74 6" xfId="3480"/>
    <cellStyle name="Normal 5 74 7" xfId="3481"/>
    <cellStyle name="Normal 5 75" xfId="3482"/>
    <cellStyle name="Normal 5 75 2" xfId="3483"/>
    <cellStyle name="Normal 5 75 3" xfId="3484"/>
    <cellStyle name="Normal 5 75 4" xfId="3485"/>
    <cellStyle name="Normal 5 75 5" xfId="3486"/>
    <cellStyle name="Normal 5 75 6" xfId="3487"/>
    <cellStyle name="Normal 5 76" xfId="3488"/>
    <cellStyle name="Normal 5 77" xfId="3489"/>
    <cellStyle name="Normal 5 78" xfId="3490"/>
    <cellStyle name="Normal 5 79" xfId="3491"/>
    <cellStyle name="Normal 5 8" xfId="3492"/>
    <cellStyle name="Normal 5 8 2" xfId="3493"/>
    <cellStyle name="Normal 5 8 2 2" xfId="3494"/>
    <cellStyle name="Normal 5 8 2 2 2" xfId="3495"/>
    <cellStyle name="Normal 5 8 2 2 3" xfId="3496"/>
    <cellStyle name="Normal 5 8 2 2 4" xfId="3497"/>
    <cellStyle name="Normal 5 8 2 2 5" xfId="3498"/>
    <cellStyle name="Normal 5 8 2 2 6" xfId="3499"/>
    <cellStyle name="Normal 5 8 2 3" xfId="3500"/>
    <cellStyle name="Normal 5 8 2 4" xfId="3501"/>
    <cellStyle name="Normal 5 8 2 5" xfId="3502"/>
    <cellStyle name="Normal 5 8 2 6" xfId="3503"/>
    <cellStyle name="Normal 5 8 2 7" xfId="3504"/>
    <cellStyle name="Normal 5 8 3" xfId="3505"/>
    <cellStyle name="Normal 5 8 3 2" xfId="3506"/>
    <cellStyle name="Normal 5 8 3 3" xfId="3507"/>
    <cellStyle name="Normal 5 8 3 4" xfId="3508"/>
    <cellStyle name="Normal 5 8 3 5" xfId="3509"/>
    <cellStyle name="Normal 5 8 3 6" xfId="3510"/>
    <cellStyle name="Normal 5 8 4" xfId="3511"/>
    <cellStyle name="Normal 5 8 5" xfId="3512"/>
    <cellStyle name="Normal 5 8 6" xfId="3513"/>
    <cellStyle name="Normal 5 8 7" xfId="3514"/>
    <cellStyle name="Normal 5 8 8" xfId="3515"/>
    <cellStyle name="Normal 5 80" xfId="3516"/>
    <cellStyle name="Normal 5 9" xfId="3517"/>
    <cellStyle name="Normal 5 9 2" xfId="3518"/>
    <cellStyle name="Normal 5 9 2 2" xfId="3519"/>
    <cellStyle name="Normal 5 9 2 2 2" xfId="3520"/>
    <cellStyle name="Normal 5 9 2 2 3" xfId="3521"/>
    <cellStyle name="Normal 5 9 2 2 4" xfId="3522"/>
    <cellStyle name="Normal 5 9 2 2 5" xfId="3523"/>
    <cellStyle name="Normal 5 9 2 2 6" xfId="3524"/>
    <cellStyle name="Normal 5 9 2 3" xfId="3525"/>
    <cellStyle name="Normal 5 9 2 4" xfId="3526"/>
    <cellStyle name="Normal 5 9 2 5" xfId="3527"/>
    <cellStyle name="Normal 5 9 2 6" xfId="3528"/>
    <cellStyle name="Normal 5 9 2 7" xfId="3529"/>
    <cellStyle name="Normal 5 9 3" xfId="3530"/>
    <cellStyle name="Normal 5 9 3 2" xfId="3531"/>
    <cellStyle name="Normal 5 9 3 3" xfId="3532"/>
    <cellStyle name="Normal 5 9 3 4" xfId="3533"/>
    <cellStyle name="Normal 5 9 3 5" xfId="3534"/>
    <cellStyle name="Normal 5 9 3 6" xfId="3535"/>
    <cellStyle name="Normal 5 9 4" xfId="3536"/>
    <cellStyle name="Normal 5 9 5" xfId="3537"/>
    <cellStyle name="Normal 5 9 6" xfId="3538"/>
    <cellStyle name="Normal 5 9 7" xfId="3539"/>
    <cellStyle name="Normal 5 9 8" xfId="3540"/>
    <cellStyle name="Normal 50" xfId="3541"/>
    <cellStyle name="Normal 50 2" xfId="3542"/>
    <cellStyle name="Normal 50 2 2" xfId="3543"/>
    <cellStyle name="Normal 50 2 3" xfId="3544"/>
    <cellStyle name="Normal 50 2 4" xfId="3545"/>
    <cellStyle name="Normal 50 2 5" xfId="3546"/>
    <cellStyle name="Normal 50 2 6" xfId="3547"/>
    <cellStyle name="Normal 50 3" xfId="3548"/>
    <cellStyle name="Normal 50 4" xfId="3549"/>
    <cellStyle name="Normal 50 5" xfId="3550"/>
    <cellStyle name="Normal 50 6" xfId="3551"/>
    <cellStyle name="Normal 50 7" xfId="3552"/>
    <cellStyle name="Normal 51" xfId="3553"/>
    <cellStyle name="Normal 51 2" xfId="3554"/>
    <cellStyle name="Normal 51 2 2" xfId="3555"/>
    <cellStyle name="Normal 51 2 3" xfId="3556"/>
    <cellStyle name="Normal 51 2 4" xfId="3557"/>
    <cellStyle name="Normal 51 2 5" xfId="3558"/>
    <cellStyle name="Normal 51 2 6" xfId="3559"/>
    <cellStyle name="Normal 51 3" xfId="3560"/>
    <cellStyle name="Normal 51 4" xfId="3561"/>
    <cellStyle name="Normal 51 5" xfId="3562"/>
    <cellStyle name="Normal 51 6" xfId="3563"/>
    <cellStyle name="Normal 51 7" xfId="3564"/>
    <cellStyle name="Normal 52" xfId="3565"/>
    <cellStyle name="Normal 52 2" xfId="3566"/>
    <cellStyle name="Normal 52 2 2" xfId="3567"/>
    <cellStyle name="Normal 52 2 3" xfId="3568"/>
    <cellStyle name="Normal 52 2 4" xfId="3569"/>
    <cellStyle name="Normal 52 2 5" xfId="3570"/>
    <cellStyle name="Normal 52 2 6" xfId="3571"/>
    <cellStyle name="Normal 52 3" xfId="3572"/>
    <cellStyle name="Normal 52 4" xfId="3573"/>
    <cellStyle name="Normal 52 5" xfId="3574"/>
    <cellStyle name="Normal 52 6" xfId="3575"/>
    <cellStyle name="Normal 52 7" xfId="3576"/>
    <cellStyle name="Normal 53" xfId="3577"/>
    <cellStyle name="Normal 53 2" xfId="3578"/>
    <cellStyle name="Normal 53 2 2" xfId="3579"/>
    <cellStyle name="Normal 53 2 3" xfId="3580"/>
    <cellStyle name="Normal 53 2 4" xfId="3581"/>
    <cellStyle name="Normal 53 2 5" xfId="3582"/>
    <cellStyle name="Normal 53 2 6" xfId="3583"/>
    <cellStyle name="Normal 53 3" xfId="3584"/>
    <cellStyle name="Normal 53 4" xfId="3585"/>
    <cellStyle name="Normal 53 5" xfId="3586"/>
    <cellStyle name="Normal 53 6" xfId="3587"/>
    <cellStyle name="Normal 53 7" xfId="3588"/>
    <cellStyle name="Normal 54" xfId="3589"/>
    <cellStyle name="Normal 54 2" xfId="3590"/>
    <cellStyle name="Normal 54 2 2" xfId="3591"/>
    <cellStyle name="Normal 54 2 3" xfId="3592"/>
    <cellStyle name="Normal 54 2 4" xfId="3593"/>
    <cellStyle name="Normal 54 2 5" xfId="3594"/>
    <cellStyle name="Normal 54 2 6" xfId="3595"/>
    <cellStyle name="Normal 54 3" xfId="3596"/>
    <cellStyle name="Normal 54 4" xfId="3597"/>
    <cellStyle name="Normal 54 5" xfId="3598"/>
    <cellStyle name="Normal 54 6" xfId="3599"/>
    <cellStyle name="Normal 54 7" xfId="3600"/>
    <cellStyle name="Normal 55" xfId="3601"/>
    <cellStyle name="Normal 55 2" xfId="3602"/>
    <cellStyle name="Normal 55 2 2" xfId="3603"/>
    <cellStyle name="Normal 55 2 3" xfId="3604"/>
    <cellStyle name="Normal 55 2 4" xfId="3605"/>
    <cellStyle name="Normal 55 2 5" xfId="3606"/>
    <cellStyle name="Normal 55 2 6" xfId="3607"/>
    <cellStyle name="Normal 55 3" xfId="3608"/>
    <cellStyle name="Normal 55 4" xfId="3609"/>
    <cellStyle name="Normal 55 5" xfId="3610"/>
    <cellStyle name="Normal 55 6" xfId="3611"/>
    <cellStyle name="Normal 55 7" xfId="3612"/>
    <cellStyle name="Normal 56" xfId="3613"/>
    <cellStyle name="Normal 56 2" xfId="3614"/>
    <cellStyle name="Normal 56 2 2" xfId="3615"/>
    <cellStyle name="Normal 56 2 3" xfId="3616"/>
    <cellStyle name="Normal 56 2 4" xfId="3617"/>
    <cellStyle name="Normal 56 2 5" xfId="3618"/>
    <cellStyle name="Normal 56 2 6" xfId="3619"/>
    <cellStyle name="Normal 56 3" xfId="3620"/>
    <cellStyle name="Normal 56 4" xfId="3621"/>
    <cellStyle name="Normal 56 5" xfId="3622"/>
    <cellStyle name="Normal 56 6" xfId="3623"/>
    <cellStyle name="Normal 56 7" xfId="3624"/>
    <cellStyle name="Normal 57" xfId="3625"/>
    <cellStyle name="Normal 57 2" xfId="3626"/>
    <cellStyle name="Normal 57 2 2" xfId="3627"/>
    <cellStyle name="Normal 57 2 3" xfId="3628"/>
    <cellStyle name="Normal 57 2 4" xfId="3629"/>
    <cellStyle name="Normal 57 2 5" xfId="3630"/>
    <cellStyle name="Normal 57 2 6" xfId="3631"/>
    <cellStyle name="Normal 57 3" xfId="3632"/>
    <cellStyle name="Normal 57 4" xfId="3633"/>
    <cellStyle name="Normal 57 5" xfId="3634"/>
    <cellStyle name="Normal 57 6" xfId="3635"/>
    <cellStyle name="Normal 57 7" xfId="3636"/>
    <cellStyle name="Normal 58" xfId="3637"/>
    <cellStyle name="Normal 58 2" xfId="3638"/>
    <cellStyle name="Normal 58 2 2" xfId="3639"/>
    <cellStyle name="Normal 58 2 3" xfId="3640"/>
    <cellStyle name="Normal 58 2 4" xfId="3641"/>
    <cellStyle name="Normal 58 2 5" xfId="3642"/>
    <cellStyle name="Normal 58 2 6" xfId="3643"/>
    <cellStyle name="Normal 58 3" xfId="3644"/>
    <cellStyle name="Normal 58 4" xfId="3645"/>
    <cellStyle name="Normal 58 5" xfId="3646"/>
    <cellStyle name="Normal 58 6" xfId="3647"/>
    <cellStyle name="Normal 58 7" xfId="3648"/>
    <cellStyle name="Normal 59" xfId="3649"/>
    <cellStyle name="Normal 59 2" xfId="3650"/>
    <cellStyle name="Normal 59 2 2" xfId="3651"/>
    <cellStyle name="Normal 59 2 3" xfId="3652"/>
    <cellStyle name="Normal 59 2 4" xfId="3653"/>
    <cellStyle name="Normal 59 2 5" xfId="3654"/>
    <cellStyle name="Normal 59 2 6" xfId="3655"/>
    <cellStyle name="Normal 59 3" xfId="3656"/>
    <cellStyle name="Normal 59 4" xfId="3657"/>
    <cellStyle name="Normal 59 5" xfId="3658"/>
    <cellStyle name="Normal 59 6" xfId="3659"/>
    <cellStyle name="Normal 59 7" xfId="3660"/>
    <cellStyle name="Normal 6" xfId="3661"/>
    <cellStyle name="Normal 6 2" xfId="3662"/>
    <cellStyle name="Normal 6 2 2" xfId="3663"/>
    <cellStyle name="Normal 6 2 2 2" xfId="3664"/>
    <cellStyle name="Normal 6 2 2 3" xfId="3665"/>
    <cellStyle name="Normal 6 2 2 4" xfId="3666"/>
    <cellStyle name="Normal 6 2 2 5" xfId="3667"/>
    <cellStyle name="Normal 6 2 2 6" xfId="3668"/>
    <cellStyle name="Normal 6 2 3" xfId="3669"/>
    <cellStyle name="Normal 6 2 4" xfId="3670"/>
    <cellStyle name="Normal 6 2 5" xfId="3671"/>
    <cellStyle name="Normal 6 2 6" xfId="3672"/>
    <cellStyle name="Normal 6 2 7" xfId="3673"/>
    <cellStyle name="Normal 6 3" xfId="3674"/>
    <cellStyle name="Normal 6 3 2" xfId="3675"/>
    <cellStyle name="Normal 6 3 3" xfId="3676"/>
    <cellStyle name="Normal 6 3 4" xfId="3677"/>
    <cellStyle name="Normal 6 3 5" xfId="3678"/>
    <cellStyle name="Normal 6 3 6" xfId="3679"/>
    <cellStyle name="Normal 6 4" xfId="3680"/>
    <cellStyle name="Normal 6 5" xfId="3681"/>
    <cellStyle name="Normal 6 6" xfId="3682"/>
    <cellStyle name="Normal 6 7" xfId="3683"/>
    <cellStyle name="Normal 6 8" xfId="3684"/>
    <cellStyle name="Normal 60" xfId="3685"/>
    <cellStyle name="Normal 60 2" xfId="3686"/>
    <cellStyle name="Normal 60 2 2" xfId="3687"/>
    <cellStyle name="Normal 60 2 3" xfId="3688"/>
    <cellStyle name="Normal 60 2 4" xfId="3689"/>
    <cellStyle name="Normal 60 2 5" xfId="3690"/>
    <cellStyle name="Normal 60 2 6" xfId="3691"/>
    <cellStyle name="Normal 60 3" xfId="3692"/>
    <cellStyle name="Normal 60 4" xfId="3693"/>
    <cellStyle name="Normal 60 5" xfId="3694"/>
    <cellStyle name="Normal 60 6" xfId="3695"/>
    <cellStyle name="Normal 60 7" xfId="3696"/>
    <cellStyle name="Normal 61" xfId="3697"/>
    <cellStyle name="Normal 61 2" xfId="3698"/>
    <cellStyle name="Normal 61 2 2" xfId="3699"/>
    <cellStyle name="Normal 61 2 3" xfId="3700"/>
    <cellStyle name="Normal 61 2 4" xfId="3701"/>
    <cellStyle name="Normal 61 2 5" xfId="3702"/>
    <cellStyle name="Normal 61 2 6" xfId="3703"/>
    <cellStyle name="Normal 61 3" xfId="3704"/>
    <cellStyle name="Normal 61 4" xfId="3705"/>
    <cellStyle name="Normal 61 5" xfId="3706"/>
    <cellStyle name="Normal 61 6" xfId="3707"/>
    <cellStyle name="Normal 61 7" xfId="3708"/>
    <cellStyle name="Normal 62" xfId="3709"/>
    <cellStyle name="Normal 62 2" xfId="3710"/>
    <cellStyle name="Normal 62 2 2" xfId="3711"/>
    <cellStyle name="Normal 62 2 3" xfId="3712"/>
    <cellStyle name="Normal 62 2 4" xfId="3713"/>
    <cellStyle name="Normal 62 2 5" xfId="3714"/>
    <cellStyle name="Normal 62 2 6" xfId="3715"/>
    <cellStyle name="Normal 62 3" xfId="3716"/>
    <cellStyle name="Normal 62 4" xfId="3717"/>
    <cellStyle name="Normal 62 5" xfId="3718"/>
    <cellStyle name="Normal 62 6" xfId="3719"/>
    <cellStyle name="Normal 62 7" xfId="3720"/>
    <cellStyle name="Normal 63" xfId="3721"/>
    <cellStyle name="Normal 63 2" xfId="3722"/>
    <cellStyle name="Normal 63 2 2" xfId="3723"/>
    <cellStyle name="Normal 63 2 3" xfId="3724"/>
    <cellStyle name="Normal 63 2 4" xfId="3725"/>
    <cellStyle name="Normal 63 2 5" xfId="3726"/>
    <cellStyle name="Normal 63 2 6" xfId="3727"/>
    <cellStyle name="Normal 63 3" xfId="3728"/>
    <cellStyle name="Normal 63 4" xfId="3729"/>
    <cellStyle name="Normal 63 5" xfId="3730"/>
    <cellStyle name="Normal 63 6" xfId="3731"/>
    <cellStyle name="Normal 63 7" xfId="3732"/>
    <cellStyle name="Normal 64" xfId="3733"/>
    <cellStyle name="Normal 64 2" xfId="3734"/>
    <cellStyle name="Normal 64 2 2" xfId="3735"/>
    <cellStyle name="Normal 64 2 3" xfId="3736"/>
    <cellStyle name="Normal 64 2 4" xfId="3737"/>
    <cellStyle name="Normal 64 2 5" xfId="3738"/>
    <cellStyle name="Normal 64 2 6" xfId="3739"/>
    <cellStyle name="Normal 64 3" xfId="3740"/>
    <cellStyle name="Normal 64 4" xfId="3741"/>
    <cellStyle name="Normal 64 5" xfId="3742"/>
    <cellStyle name="Normal 64 6" xfId="3743"/>
    <cellStyle name="Normal 64 7" xfId="3744"/>
    <cellStyle name="Normal 65" xfId="3745"/>
    <cellStyle name="Normal 65 2" xfId="3746"/>
    <cellStyle name="Normal 65 2 2" xfId="3747"/>
    <cellStyle name="Normal 65 2 3" xfId="3748"/>
    <cellStyle name="Normal 65 2 4" xfId="3749"/>
    <cellStyle name="Normal 65 2 5" xfId="3750"/>
    <cellStyle name="Normal 65 2 6" xfId="3751"/>
    <cellStyle name="Normal 65 3" xfId="3752"/>
    <cellStyle name="Normal 65 4" xfId="3753"/>
    <cellStyle name="Normal 65 5" xfId="3754"/>
    <cellStyle name="Normal 65 6" xfId="3755"/>
    <cellStyle name="Normal 65 7" xfId="3756"/>
    <cellStyle name="Normal 66" xfId="3757"/>
    <cellStyle name="Normal 66 2" xfId="3758"/>
    <cellStyle name="Normal 66 2 2" xfId="3759"/>
    <cellStyle name="Normal 66 2 3" xfId="3760"/>
    <cellStyle name="Normal 66 2 4" xfId="3761"/>
    <cellStyle name="Normal 66 2 5" xfId="3762"/>
    <cellStyle name="Normal 66 2 6" xfId="3763"/>
    <cellStyle name="Normal 66 3" xfId="3764"/>
    <cellStyle name="Normal 66 4" xfId="3765"/>
    <cellStyle name="Normal 66 5" xfId="3766"/>
    <cellStyle name="Normal 66 6" xfId="3767"/>
    <cellStyle name="Normal 66 7" xfId="3768"/>
    <cellStyle name="Normal 67" xfId="3769"/>
    <cellStyle name="Normal 67 2" xfId="3770"/>
    <cellStyle name="Normal 67 2 2" xfId="3771"/>
    <cellStyle name="Normal 67 2 3" xfId="3772"/>
    <cellStyle name="Normal 67 2 4" xfId="3773"/>
    <cellStyle name="Normal 67 2 5" xfId="3774"/>
    <cellStyle name="Normal 67 2 6" xfId="3775"/>
    <cellStyle name="Normal 67 3" xfId="3776"/>
    <cellStyle name="Normal 67 4" xfId="3777"/>
    <cellStyle name="Normal 67 5" xfId="3778"/>
    <cellStyle name="Normal 67 6" xfId="3779"/>
    <cellStyle name="Normal 67 7" xfId="3780"/>
    <cellStyle name="Normal 68" xfId="3781"/>
    <cellStyle name="Normal 68 2" xfId="3782"/>
    <cellStyle name="Normal 68 2 2" xfId="3783"/>
    <cellStyle name="Normal 68 2 3" xfId="3784"/>
    <cellStyle name="Normal 68 2 4" xfId="3785"/>
    <cellStyle name="Normal 68 2 5" xfId="3786"/>
    <cellStyle name="Normal 68 2 6" xfId="3787"/>
    <cellStyle name="Normal 68 3" xfId="3788"/>
    <cellStyle name="Normal 68 4" xfId="3789"/>
    <cellStyle name="Normal 68 5" xfId="3790"/>
    <cellStyle name="Normal 68 6" xfId="3791"/>
    <cellStyle name="Normal 68 7" xfId="3792"/>
    <cellStyle name="Normal 69" xfId="3793"/>
    <cellStyle name="Normal 69 2" xfId="3794"/>
    <cellStyle name="Normal 69 2 2" xfId="3795"/>
    <cellStyle name="Normal 69 2 3" xfId="3796"/>
    <cellStyle name="Normal 69 2 4" xfId="3797"/>
    <cellStyle name="Normal 69 2 5" xfId="3798"/>
    <cellStyle name="Normal 69 2 6" xfId="3799"/>
    <cellStyle name="Normal 69 3" xfId="3800"/>
    <cellStyle name="Normal 69 4" xfId="3801"/>
    <cellStyle name="Normal 69 5" xfId="3802"/>
    <cellStyle name="Normal 69 6" xfId="3803"/>
    <cellStyle name="Normal 69 7" xfId="3804"/>
    <cellStyle name="Normal 7" xfId="3805"/>
    <cellStyle name="Normal 7 2" xfId="3806"/>
    <cellStyle name="Normal 7 2 2" xfId="3807"/>
    <cellStyle name="Normal 7 2 2 2" xfId="3808"/>
    <cellStyle name="Normal 7 2 2 3" xfId="3809"/>
    <cellStyle name="Normal 7 2 2 4" xfId="3810"/>
    <cellStyle name="Normal 7 2 2 5" xfId="3811"/>
    <cellStyle name="Normal 7 2 2 6" xfId="3812"/>
    <cellStyle name="Normal 7 2 3" xfId="3813"/>
    <cellStyle name="Normal 7 2 4" xfId="3814"/>
    <cellStyle name="Normal 7 2 5" xfId="3815"/>
    <cellStyle name="Normal 7 2 6" xfId="3816"/>
    <cellStyle name="Normal 7 2 7" xfId="3817"/>
    <cellStyle name="Normal 7 3" xfId="3818"/>
    <cellStyle name="Normal 7 3 2" xfId="3819"/>
    <cellStyle name="Normal 7 3 3" xfId="3820"/>
    <cellStyle name="Normal 7 3 4" xfId="3821"/>
    <cellStyle name="Normal 7 3 5" xfId="3822"/>
    <cellStyle name="Normal 7 3 6" xfId="3823"/>
    <cellStyle name="Normal 7 4" xfId="3824"/>
    <cellStyle name="Normal 7 5" xfId="3825"/>
    <cellStyle name="Normal 7 6" xfId="3826"/>
    <cellStyle name="Normal 7 7" xfId="3827"/>
    <cellStyle name="Normal 7 8" xfId="3828"/>
    <cellStyle name="Normal 70" xfId="3829"/>
    <cellStyle name="Normal 70 2" xfId="3830"/>
    <cellStyle name="Normal 70 2 2" xfId="3831"/>
    <cellStyle name="Normal 70 2 3" xfId="3832"/>
    <cellStyle name="Normal 70 2 4" xfId="3833"/>
    <cellStyle name="Normal 70 2 5" xfId="3834"/>
    <cellStyle name="Normal 70 2 6" xfId="3835"/>
    <cellStyle name="Normal 70 3" xfId="3836"/>
    <cellStyle name="Normal 70 4" xfId="3837"/>
    <cellStyle name="Normal 70 5" xfId="3838"/>
    <cellStyle name="Normal 70 6" xfId="3839"/>
    <cellStyle name="Normal 70 7" xfId="3840"/>
    <cellStyle name="Normal 71" xfId="3841"/>
    <cellStyle name="Normal 71 2" xfId="3842"/>
    <cellStyle name="Normal 71 2 2" xfId="3843"/>
    <cellStyle name="Normal 71 2 3" xfId="3844"/>
    <cellStyle name="Normal 71 2 4" xfId="3845"/>
    <cellStyle name="Normal 71 2 5" xfId="3846"/>
    <cellStyle name="Normal 71 2 6" xfId="3847"/>
    <cellStyle name="Normal 71 3" xfId="3848"/>
    <cellStyle name="Normal 71 4" xfId="3849"/>
    <cellStyle name="Normal 71 5" xfId="3850"/>
    <cellStyle name="Normal 71 6" xfId="3851"/>
    <cellStyle name="Normal 71 7" xfId="3852"/>
    <cellStyle name="Normal 72" xfId="3853"/>
    <cellStyle name="Normal 72 2" xfId="3854"/>
    <cellStyle name="Normal 72 2 2" xfId="3855"/>
    <cellStyle name="Normal 72 2 3" xfId="3856"/>
    <cellStyle name="Normal 72 2 4" xfId="3857"/>
    <cellStyle name="Normal 72 2 5" xfId="3858"/>
    <cellStyle name="Normal 72 2 6" xfId="3859"/>
    <cellStyle name="Normal 72 3" xfId="3860"/>
    <cellStyle name="Normal 72 4" xfId="3861"/>
    <cellStyle name="Normal 72 5" xfId="3862"/>
    <cellStyle name="Normal 72 6" xfId="3863"/>
    <cellStyle name="Normal 72 7" xfId="3864"/>
    <cellStyle name="Normal 73" xfId="3865"/>
    <cellStyle name="Normal 73 2" xfId="3866"/>
    <cellStyle name="Normal 73 2 2" xfId="3867"/>
    <cellStyle name="Normal 73 2 3" xfId="3868"/>
    <cellStyle name="Normal 73 2 4" xfId="3869"/>
    <cellStyle name="Normal 73 2 5" xfId="3870"/>
    <cellStyle name="Normal 73 2 6" xfId="3871"/>
    <cellStyle name="Normal 73 3" xfId="3872"/>
    <cellStyle name="Normal 73 4" xfId="3873"/>
    <cellStyle name="Normal 73 5" xfId="3874"/>
    <cellStyle name="Normal 73 6" xfId="3875"/>
    <cellStyle name="Normal 73 7" xfId="3876"/>
    <cellStyle name="Normal 74" xfId="3877"/>
    <cellStyle name="Normal 74 2" xfId="3878"/>
    <cellStyle name="Normal 74 2 2" xfId="3879"/>
    <cellStyle name="Normal 74 2 3" xfId="3880"/>
    <cellStyle name="Normal 74 2 4" xfId="3881"/>
    <cellStyle name="Normal 74 2 5" xfId="3882"/>
    <cellStyle name="Normal 74 2 6" xfId="3883"/>
    <cellStyle name="Normal 74 3" xfId="3884"/>
    <cellStyle name="Normal 74 4" xfId="3885"/>
    <cellStyle name="Normal 74 5" xfId="3886"/>
    <cellStyle name="Normal 74 6" xfId="3887"/>
    <cellStyle name="Normal 74 7" xfId="3888"/>
    <cellStyle name="Normal 75" xfId="3889"/>
    <cellStyle name="Normal 75 2" xfId="3890"/>
    <cellStyle name="Normal 75 2 2" xfId="3891"/>
    <cellStyle name="Normal 75 2 3" xfId="3892"/>
    <cellStyle name="Normal 75 2 4" xfId="3893"/>
    <cellStyle name="Normal 75 2 5" xfId="3894"/>
    <cellStyle name="Normal 75 2 6" xfId="3895"/>
    <cellStyle name="Normal 75 3" xfId="3896"/>
    <cellStyle name="Normal 75 4" xfId="3897"/>
    <cellStyle name="Normal 75 5" xfId="3898"/>
    <cellStyle name="Normal 75 6" xfId="3899"/>
    <cellStyle name="Normal 75 7" xfId="3900"/>
    <cellStyle name="Normal 76" xfId="3901"/>
    <cellStyle name="Normal 76 2" xfId="3902"/>
    <cellStyle name="Normal 76 2 2" xfId="3903"/>
    <cellStyle name="Normal 76 2 3" xfId="3904"/>
    <cellStyle name="Normal 76 2 4" xfId="3905"/>
    <cellStyle name="Normal 76 2 5" xfId="3906"/>
    <cellStyle name="Normal 76 2 6" xfId="3907"/>
    <cellStyle name="Normal 76 3" xfId="3908"/>
    <cellStyle name="Normal 76 4" xfId="3909"/>
    <cellStyle name="Normal 76 5" xfId="3910"/>
    <cellStyle name="Normal 76 6" xfId="3911"/>
    <cellStyle name="Normal 76 7" xfId="3912"/>
    <cellStyle name="Normal 77" xfId="3913"/>
    <cellStyle name="Normal 77 2" xfId="3914"/>
    <cellStyle name="Normal 77 2 2" xfId="3915"/>
    <cellStyle name="Normal 77 2 3" xfId="3916"/>
    <cellStyle name="Normal 77 2 4" xfId="3917"/>
    <cellStyle name="Normal 77 2 5" xfId="3918"/>
    <cellStyle name="Normal 77 2 6" xfId="3919"/>
    <cellStyle name="Normal 77 3" xfId="3920"/>
    <cellStyle name="Normal 77 4" xfId="3921"/>
    <cellStyle name="Normal 77 5" xfId="3922"/>
    <cellStyle name="Normal 77 6" xfId="3923"/>
    <cellStyle name="Normal 77 7" xfId="3924"/>
    <cellStyle name="Normal 78" xfId="3925"/>
    <cellStyle name="Normal 78 2" xfId="3926"/>
    <cellStyle name="Normal 78 2 2" xfId="3927"/>
    <cellStyle name="Normal 78 2 3" xfId="3928"/>
    <cellStyle name="Normal 78 2 4" xfId="3929"/>
    <cellStyle name="Normal 78 2 5" xfId="3930"/>
    <cellStyle name="Normal 78 2 6" xfId="3931"/>
    <cellStyle name="Normal 78 3" xfId="3932"/>
    <cellStyle name="Normal 78 4" xfId="3933"/>
    <cellStyle name="Normal 78 5" xfId="3934"/>
    <cellStyle name="Normal 78 6" xfId="3935"/>
    <cellStyle name="Normal 78 7" xfId="3936"/>
    <cellStyle name="Normal 79" xfId="3937"/>
    <cellStyle name="Normal 79 2" xfId="3938"/>
    <cellStyle name="Normal 79 2 2" xfId="3939"/>
    <cellStyle name="Normal 79 2 3" xfId="3940"/>
    <cellStyle name="Normal 79 2 4" xfId="3941"/>
    <cellStyle name="Normal 79 2 5" xfId="3942"/>
    <cellStyle name="Normal 79 2 6" xfId="3943"/>
    <cellStyle name="Normal 79 3" xfId="3944"/>
    <cellStyle name="Normal 79 4" xfId="3945"/>
    <cellStyle name="Normal 79 5" xfId="3946"/>
    <cellStyle name="Normal 79 6" xfId="3947"/>
    <cellStyle name="Normal 79 7" xfId="3948"/>
    <cellStyle name="Normal 8" xfId="3949"/>
    <cellStyle name="Normal 8 2" xfId="3950"/>
    <cellStyle name="Normal 8 2 2" xfId="3951"/>
    <cellStyle name="Normal 8 2 2 2" xfId="3952"/>
    <cellStyle name="Normal 8 2 2 3" xfId="3953"/>
    <cellStyle name="Normal 8 2 2 4" xfId="3954"/>
    <cellStyle name="Normal 8 2 2 5" xfId="3955"/>
    <cellStyle name="Normal 8 2 2 6" xfId="3956"/>
    <cellStyle name="Normal 8 2 3" xfId="3957"/>
    <cellStyle name="Normal 8 2 4" xfId="3958"/>
    <cellStyle name="Normal 8 2 5" xfId="3959"/>
    <cellStyle name="Normal 8 2 6" xfId="3960"/>
    <cellStyle name="Normal 8 2 7" xfId="3961"/>
    <cellStyle name="Normal 8 3" xfId="3962"/>
    <cellStyle name="Normal 8 3 2" xfId="3963"/>
    <cellStyle name="Normal 8 3 3" xfId="3964"/>
    <cellStyle name="Normal 8 3 4" xfId="3965"/>
    <cellStyle name="Normal 8 3 5" xfId="3966"/>
    <cellStyle name="Normal 8 3 6" xfId="3967"/>
    <cellStyle name="Normal 8 4" xfId="3968"/>
    <cellStyle name="Normal 8 5" xfId="3969"/>
    <cellStyle name="Normal 8 6" xfId="3970"/>
    <cellStyle name="Normal 8 7" xfId="3971"/>
    <cellStyle name="Normal 8 8" xfId="3972"/>
    <cellStyle name="Normal 80" xfId="3973"/>
    <cellStyle name="Normal 80 2" xfId="3974"/>
    <cellStyle name="Normal 80 2 2" xfId="3975"/>
    <cellStyle name="Normal 80 2 3" xfId="3976"/>
    <cellStyle name="Normal 80 2 4" xfId="3977"/>
    <cellStyle name="Normal 80 2 5" xfId="3978"/>
    <cellStyle name="Normal 80 2 6" xfId="3979"/>
    <cellStyle name="Normal 80 3" xfId="3980"/>
    <cellStyle name="Normal 80 4" xfId="3981"/>
    <cellStyle name="Normal 80 5" xfId="3982"/>
    <cellStyle name="Normal 80 6" xfId="3983"/>
    <cellStyle name="Normal 80 7" xfId="3984"/>
    <cellStyle name="Normal 81" xfId="3985"/>
    <cellStyle name="Normal 81 2" xfId="3986"/>
    <cellStyle name="Normal 81 2 2" xfId="3987"/>
    <cellStyle name="Normal 81 2 3" xfId="3988"/>
    <cellStyle name="Normal 81 2 4" xfId="3989"/>
    <cellStyle name="Normal 81 2 5" xfId="3990"/>
    <cellStyle name="Normal 81 2 6" xfId="3991"/>
    <cellStyle name="Normal 81 3" xfId="3992"/>
    <cellStyle name="Normal 81 4" xfId="3993"/>
    <cellStyle name="Normal 81 5" xfId="3994"/>
    <cellStyle name="Normal 81 6" xfId="3995"/>
    <cellStyle name="Normal 81 7" xfId="3996"/>
    <cellStyle name="Normal 82" xfId="3997"/>
    <cellStyle name="Normal 82 2" xfId="3998"/>
    <cellStyle name="Normal 82 2 2" xfId="3999"/>
    <cellStyle name="Normal 82 2 3" xfId="4000"/>
    <cellStyle name="Normal 82 2 4" xfId="4001"/>
    <cellStyle name="Normal 82 2 5" xfId="4002"/>
    <cellStyle name="Normal 82 2 6" xfId="4003"/>
    <cellStyle name="Normal 82 3" xfId="4004"/>
    <cellStyle name="Normal 82 4" xfId="4005"/>
    <cellStyle name="Normal 82 5" xfId="4006"/>
    <cellStyle name="Normal 82 6" xfId="4007"/>
    <cellStyle name="Normal 82 7" xfId="4008"/>
    <cellStyle name="Normal 83" xfId="4009"/>
    <cellStyle name="Normal 83 2" xfId="4010"/>
    <cellStyle name="Normal 83 2 2" xfId="4011"/>
    <cellStyle name="Normal 83 2 3" xfId="4012"/>
    <cellStyle name="Normal 83 2 4" xfId="4013"/>
    <cellStyle name="Normal 83 2 5" xfId="4014"/>
    <cellStyle name="Normal 83 2 6" xfId="4015"/>
    <cellStyle name="Normal 83 3" xfId="4016"/>
    <cellStyle name="Normal 83 4" xfId="4017"/>
    <cellStyle name="Normal 83 5" xfId="4018"/>
    <cellStyle name="Normal 83 6" xfId="4019"/>
    <cellStyle name="Normal 83 7" xfId="4020"/>
    <cellStyle name="Normal 84" xfId="4021"/>
    <cellStyle name="Normal 84 2" xfId="4022"/>
    <cellStyle name="Normal 84 2 2" xfId="4023"/>
    <cellStyle name="Normal 84 2 3" xfId="4024"/>
    <cellStyle name="Normal 84 2 4" xfId="4025"/>
    <cellStyle name="Normal 84 2 5" xfId="4026"/>
    <cellStyle name="Normal 84 2 6" xfId="4027"/>
    <cellStyle name="Normal 84 3" xfId="4028"/>
    <cellStyle name="Normal 84 4" xfId="4029"/>
    <cellStyle name="Normal 84 5" xfId="4030"/>
    <cellStyle name="Normal 84 6" xfId="4031"/>
    <cellStyle name="Normal 84 7" xfId="4032"/>
    <cellStyle name="Normal 85" xfId="4033"/>
    <cellStyle name="Normal 85 2" xfId="4034"/>
    <cellStyle name="Normal 85 2 2" xfId="4035"/>
    <cellStyle name="Normal 85 2 3" xfId="4036"/>
    <cellStyle name="Normal 85 2 4" xfId="4037"/>
    <cellStyle name="Normal 85 2 5" xfId="4038"/>
    <cellStyle name="Normal 85 2 6" xfId="4039"/>
    <cellStyle name="Normal 85 3" xfId="4040"/>
    <cellStyle name="Normal 85 4" xfId="4041"/>
    <cellStyle name="Normal 85 5" xfId="4042"/>
    <cellStyle name="Normal 85 6" xfId="4043"/>
    <cellStyle name="Normal 85 7" xfId="4044"/>
    <cellStyle name="Normal 86" xfId="4045"/>
    <cellStyle name="Normal 86 2" xfId="4046"/>
    <cellStyle name="Normal 86 2 2" xfId="4047"/>
    <cellStyle name="Normal 86 2 3" xfId="4048"/>
    <cellStyle name="Normal 86 2 4" xfId="4049"/>
    <cellStyle name="Normal 86 2 5" xfId="4050"/>
    <cellStyle name="Normal 86 2 6" xfId="4051"/>
    <cellStyle name="Normal 86 3" xfId="4052"/>
    <cellStyle name="Normal 86 4" xfId="4053"/>
    <cellStyle name="Normal 86 5" xfId="4054"/>
    <cellStyle name="Normal 86 6" xfId="4055"/>
    <cellStyle name="Normal 86 7" xfId="4056"/>
    <cellStyle name="Normal 87" xfId="4057"/>
    <cellStyle name="Normal 87 2" xfId="4058"/>
    <cellStyle name="Normal 87 2 2" xfId="4059"/>
    <cellStyle name="Normal 87 2 3" xfId="4060"/>
    <cellStyle name="Normal 87 2 4" xfId="4061"/>
    <cellStyle name="Normal 87 2 5" xfId="4062"/>
    <cellStyle name="Normal 87 2 6" xfId="4063"/>
    <cellStyle name="Normal 87 3" xfId="4064"/>
    <cellStyle name="Normal 87 4" xfId="4065"/>
    <cellStyle name="Normal 87 5" xfId="4066"/>
    <cellStyle name="Normal 87 6" xfId="4067"/>
    <cellStyle name="Normal 87 7" xfId="4068"/>
    <cellStyle name="Normal 88" xfId="4069"/>
    <cellStyle name="Normal 88 2" xfId="4070"/>
    <cellStyle name="Normal 88 2 2" xfId="4071"/>
    <cellStyle name="Normal 88 2 3" xfId="4072"/>
    <cellStyle name="Normal 88 2 4" xfId="4073"/>
    <cellStyle name="Normal 88 2 5" xfId="4074"/>
    <cellStyle name="Normal 88 2 6" xfId="4075"/>
    <cellStyle name="Normal 88 3" xfId="4076"/>
    <cellStyle name="Normal 88 4" xfId="4077"/>
    <cellStyle name="Normal 88 5" xfId="4078"/>
    <cellStyle name="Normal 88 6" xfId="4079"/>
    <cellStyle name="Normal 88 7" xfId="4080"/>
    <cellStyle name="Normal 89" xfId="4081"/>
    <cellStyle name="Normal 89 2" xfId="4082"/>
    <cellStyle name="Normal 89 2 2" xfId="4083"/>
    <cellStyle name="Normal 89 2 3" xfId="4084"/>
    <cellStyle name="Normal 89 2 4" xfId="4085"/>
    <cellStyle name="Normal 89 2 5" xfId="4086"/>
    <cellStyle name="Normal 89 2 6" xfId="4087"/>
    <cellStyle name="Normal 89 3" xfId="4088"/>
    <cellStyle name="Normal 89 4" xfId="4089"/>
    <cellStyle name="Normal 89 5" xfId="4090"/>
    <cellStyle name="Normal 89 6" xfId="4091"/>
    <cellStyle name="Normal 89 7" xfId="4092"/>
    <cellStyle name="Normal 9" xfId="4093"/>
    <cellStyle name="Normal 9 2" xfId="4094"/>
    <cellStyle name="Normal 9 2 2" xfId="4095"/>
    <cellStyle name="Normal 9 2 2 2" xfId="4096"/>
    <cellStyle name="Normal 9 2 2 3" xfId="4097"/>
    <cellStyle name="Normal 9 2 2 4" xfId="4098"/>
    <cellStyle name="Normal 9 2 2 5" xfId="4099"/>
    <cellStyle name="Normal 9 2 2 6" xfId="4100"/>
    <cellStyle name="Normal 9 2 3" xfId="4101"/>
    <cellStyle name="Normal 9 2 4" xfId="4102"/>
    <cellStyle name="Normal 9 2 5" xfId="4103"/>
    <cellStyle name="Normal 9 2 6" xfId="4104"/>
    <cellStyle name="Normal 9 2 7" xfId="4105"/>
    <cellStyle name="Normal 9 3" xfId="4106"/>
    <cellStyle name="Normal 9 3 2" xfId="4107"/>
    <cellStyle name="Normal 9 3 3" xfId="4108"/>
    <cellStyle name="Normal 9 3 4" xfId="4109"/>
    <cellStyle name="Normal 9 3 5" xfId="4110"/>
    <cellStyle name="Normal 9 3 6" xfId="4111"/>
    <cellStyle name="Normal 9 4" xfId="4112"/>
    <cellStyle name="Normal 9 5" xfId="4113"/>
    <cellStyle name="Normal 9 6" xfId="4114"/>
    <cellStyle name="Normal 9 7" xfId="4115"/>
    <cellStyle name="Normal 9 8" xfId="4116"/>
    <cellStyle name="Normal 90" xfId="4117"/>
    <cellStyle name="Normal 90 2" xfId="4118"/>
    <cellStyle name="Normal 90 2 2" xfId="4119"/>
    <cellStyle name="Normal 90 2 3" xfId="4120"/>
    <cellStyle name="Normal 90 2 4" xfId="4121"/>
    <cellStyle name="Normal 90 2 5" xfId="4122"/>
    <cellStyle name="Normal 90 2 6" xfId="4123"/>
    <cellStyle name="Normal 90 3" xfId="4124"/>
    <cellStyle name="Normal 90 4" xfId="4125"/>
    <cellStyle name="Normal 90 5" xfId="4126"/>
    <cellStyle name="Normal 90 6" xfId="4127"/>
    <cellStyle name="Normal 90 7" xfId="4128"/>
    <cellStyle name="Normal 91" xfId="4129"/>
    <cellStyle name="Normal 91 2" xfId="4130"/>
    <cellStyle name="Normal 91 2 2" xfId="4131"/>
    <cellStyle name="Normal 91 2 3" xfId="4132"/>
    <cellStyle name="Normal 91 2 4" xfId="4133"/>
    <cellStyle name="Normal 91 2 5" xfId="4134"/>
    <cellStyle name="Normal 91 2 6" xfId="4135"/>
    <cellStyle name="Normal 91 3" xfId="4136"/>
    <cellStyle name="Normal 91 4" xfId="4137"/>
    <cellStyle name="Normal 91 5" xfId="4138"/>
    <cellStyle name="Normal 91 6" xfId="4139"/>
    <cellStyle name="Normal 91 7" xfId="4140"/>
    <cellStyle name="Normal 92" xfId="4141"/>
    <cellStyle name="Normal 92 2" xfId="4142"/>
    <cellStyle name="Normal 92 2 2" xfId="4143"/>
    <cellStyle name="Normal 92 2 3" xfId="4144"/>
    <cellStyle name="Normal 92 2 4" xfId="4145"/>
    <cellStyle name="Normal 92 2 5" xfId="4146"/>
    <cellStyle name="Normal 92 2 6" xfId="4147"/>
    <cellStyle name="Normal 92 3" xfId="4148"/>
    <cellStyle name="Normal 92 4" xfId="4149"/>
    <cellStyle name="Normal 92 5" xfId="4150"/>
    <cellStyle name="Normal 92 6" xfId="4151"/>
    <cellStyle name="Normal 92 7" xfId="4152"/>
    <cellStyle name="Normal 93" xfId="4153"/>
    <cellStyle name="Normal 93 2" xfId="4154"/>
    <cellStyle name="Normal 93 2 2" xfId="4155"/>
    <cellStyle name="Normal 93 2 3" xfId="4156"/>
    <cellStyle name="Normal 93 2 4" xfId="4157"/>
    <cellStyle name="Normal 93 2 5" xfId="4158"/>
    <cellStyle name="Normal 93 2 6" xfId="4159"/>
    <cellStyle name="Normal 93 3" xfId="4160"/>
    <cellStyle name="Normal 93 4" xfId="4161"/>
    <cellStyle name="Normal 93 5" xfId="4162"/>
    <cellStyle name="Normal 93 6" xfId="4163"/>
    <cellStyle name="Normal 93 7" xfId="4164"/>
    <cellStyle name="Normal 94" xfId="4165"/>
    <cellStyle name="Normal 94 2" xfId="4166"/>
    <cellStyle name="Normal 94 2 2" xfId="4167"/>
    <cellStyle name="Normal 94 2 3" xfId="4168"/>
    <cellStyle name="Normal 94 2 4" xfId="4169"/>
    <cellStyle name="Normal 94 2 5" xfId="4170"/>
    <cellStyle name="Normal 94 2 6" xfId="4171"/>
    <cellStyle name="Normal 94 3" xfId="4172"/>
    <cellStyle name="Normal 94 4" xfId="4173"/>
    <cellStyle name="Normal 94 5" xfId="4174"/>
    <cellStyle name="Normal 94 6" xfId="4175"/>
    <cellStyle name="Normal 94 7" xfId="4176"/>
    <cellStyle name="Normal 95" xfId="4177"/>
    <cellStyle name="Normal 95 2" xfId="4178"/>
    <cellStyle name="Normal 95 2 2" xfId="4179"/>
    <cellStyle name="Normal 95 2 3" xfId="4180"/>
    <cellStyle name="Normal 95 2 4" xfId="4181"/>
    <cellStyle name="Normal 95 2 5" xfId="4182"/>
    <cellStyle name="Normal 95 2 6" xfId="4183"/>
    <cellStyle name="Normal 95 3" xfId="4184"/>
    <cellStyle name="Normal 95 4" xfId="4185"/>
    <cellStyle name="Normal 95 5" xfId="4186"/>
    <cellStyle name="Normal 95 6" xfId="4187"/>
    <cellStyle name="Normal 95 7" xfId="4188"/>
    <cellStyle name="Normal 96" xfId="4189"/>
    <cellStyle name="Normal 96 2" xfId="4190"/>
    <cellStyle name="Normal 96 2 2" xfId="4191"/>
    <cellStyle name="Normal 96 2 3" xfId="4192"/>
    <cellStyle name="Normal 96 2 4" xfId="4193"/>
    <cellStyle name="Normal 96 2 5" xfId="4194"/>
    <cellStyle name="Normal 96 2 6" xfId="4195"/>
    <cellStyle name="Normal 96 3" xfId="4196"/>
    <cellStyle name="Normal 96 4" xfId="4197"/>
    <cellStyle name="Normal 96 5" xfId="4198"/>
    <cellStyle name="Normal 96 6" xfId="4199"/>
    <cellStyle name="Normal 96 7" xfId="4200"/>
    <cellStyle name="Normal 97" xfId="4201"/>
    <cellStyle name="Normal 97 2" xfId="4202"/>
    <cellStyle name="Normal 97 2 2" xfId="4203"/>
    <cellStyle name="Normal 97 2 3" xfId="4204"/>
    <cellStyle name="Normal 97 2 4" xfId="4205"/>
    <cellStyle name="Normal 97 2 5" xfId="4206"/>
    <cellStyle name="Normal 97 2 6" xfId="4207"/>
    <cellStyle name="Normal 97 3" xfId="4208"/>
    <cellStyle name="Normal 97 4" xfId="4209"/>
    <cellStyle name="Normal 97 5" xfId="4210"/>
    <cellStyle name="Normal 97 6" xfId="4211"/>
    <cellStyle name="Normal 97 7" xfId="4212"/>
    <cellStyle name="Normal 98" xfId="4213"/>
    <cellStyle name="Normal 98 2" xfId="4214"/>
    <cellStyle name="Normal 98 2 2" xfId="4215"/>
    <cellStyle name="Normal 98 2 3" xfId="4216"/>
    <cellStyle name="Normal 98 2 4" xfId="4217"/>
    <cellStyle name="Normal 98 2 5" xfId="4218"/>
    <cellStyle name="Normal 98 2 6" xfId="4219"/>
    <cellStyle name="Normal 98 3" xfId="4220"/>
    <cellStyle name="Normal 98 4" xfId="4221"/>
    <cellStyle name="Normal 98 5" xfId="4222"/>
    <cellStyle name="Normal 98 6" xfId="4223"/>
    <cellStyle name="Normal 98 7" xfId="4224"/>
    <cellStyle name="Normal 99" xfId="4225"/>
    <cellStyle name="Normal 99 2" xfId="4226"/>
    <cellStyle name="Normal 99 2 2" xfId="4227"/>
    <cellStyle name="Normal 99 2 3" xfId="4228"/>
    <cellStyle name="Normal 99 2 4" xfId="4229"/>
    <cellStyle name="Normal 99 2 5" xfId="4230"/>
    <cellStyle name="Normal 99 2 6" xfId="4231"/>
    <cellStyle name="Normal 99 3" xfId="4232"/>
    <cellStyle name="Normal 99 4" xfId="4233"/>
    <cellStyle name="Normal 99 5" xfId="4234"/>
    <cellStyle name="Normal 99 6" xfId="4235"/>
    <cellStyle name="Normal 99 7" xfId="423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69</xdr:row>
          <xdr:rowOff>0</xdr:rowOff>
        </xdr:from>
        <xdr:to>
          <xdr:col>4</xdr:col>
          <xdr:colOff>685800</xdr:colOff>
          <xdr:row>69</xdr:row>
          <xdr:rowOff>0</xdr:rowOff>
        </xdr:to>
        <xdr:sp macro="" textlink="">
          <xdr:nvSpPr>
            <xdr:cNvPr id="1025" name="Picture 5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00"/>
  <sheetViews>
    <sheetView showOutlineSymbols="0" zoomScaleNormal="100" workbookViewId="0">
      <selection activeCell="F2" sqref="F2"/>
    </sheetView>
  </sheetViews>
  <sheetFormatPr defaultColWidth="17.734375" defaultRowHeight="12.75" customHeight="1" outlineLevelRow="1" x14ac:dyDescent="0.4"/>
  <cols>
    <col min="1" max="1" width="2.05078125" style="49" customWidth="1"/>
    <col min="2" max="2" width="18" style="49" customWidth="1"/>
    <col min="3" max="4" width="18.68359375" style="49" customWidth="1"/>
    <col min="5" max="5" width="18.5234375" style="49" customWidth="1"/>
    <col min="6" max="6" width="17.05078125" style="49" bestFit="1" customWidth="1"/>
    <col min="7" max="8" width="8.68359375" style="49" customWidth="1"/>
    <col min="9" max="9" width="15.68359375" style="49" bestFit="1" customWidth="1"/>
    <col min="10" max="10" width="13.68359375" style="49" bestFit="1" customWidth="1"/>
    <col min="11" max="11" width="6.47265625" style="49" customWidth="1"/>
    <col min="12" max="12" width="8.68359375" style="49" customWidth="1"/>
    <col min="13" max="17" width="10.15625" style="49" customWidth="1"/>
    <col min="18" max="16384" width="17.734375" style="49"/>
  </cols>
  <sheetData>
    <row r="1" spans="1:12" s="4" customFormat="1" ht="18.75" customHeight="1" x14ac:dyDescent="0.4">
      <c r="A1" s="1"/>
      <c r="B1" s="2" t="s">
        <v>0</v>
      </c>
      <c r="C1" s="2" t="s">
        <v>1</v>
      </c>
      <c r="D1" s="1"/>
      <c r="E1" s="3" t="s">
        <v>2</v>
      </c>
      <c r="L1" s="5"/>
    </row>
    <row r="2" spans="1:12" s="4" customFormat="1" ht="14.7" x14ac:dyDescent="0.6">
      <c r="A2" s="1"/>
      <c r="B2" s="6" t="s">
        <v>3</v>
      </c>
      <c r="C2" s="7">
        <f>D26</f>
        <v>0</v>
      </c>
      <c r="D2" s="8"/>
      <c r="E2" s="9">
        <f>IF(C2+45&gt;360,C2+45-360,C2+45)</f>
        <v>45</v>
      </c>
      <c r="L2" s="5"/>
    </row>
    <row r="3" spans="1:12" s="4" customFormat="1" ht="14.7" x14ac:dyDescent="0.6">
      <c r="A3" s="1"/>
      <c r="B3" s="10" t="s">
        <v>4</v>
      </c>
      <c r="C3" s="11">
        <f>E26</f>
        <v>0</v>
      </c>
      <c r="D3" s="11"/>
      <c r="E3" s="12">
        <f>IF(C2-45&lt;0,C2-45+360,C2-45)</f>
        <v>315</v>
      </c>
      <c r="L3" s="5"/>
    </row>
    <row r="4" spans="1:12" s="4" customFormat="1" ht="12.3" x14ac:dyDescent="0.4">
      <c r="A4" s="1"/>
      <c r="B4" s="13"/>
      <c r="C4" s="13"/>
      <c r="D4" s="13"/>
      <c r="E4" s="13"/>
      <c r="L4" s="5"/>
    </row>
    <row r="5" spans="1:12" s="4" customFormat="1" ht="12.3" outlineLevel="1" x14ac:dyDescent="0.4">
      <c r="A5" s="1"/>
      <c r="B5" s="13" t="s">
        <v>5</v>
      </c>
      <c r="C5" s="4">
        <v>0</v>
      </c>
      <c r="D5" s="4">
        <v>0</v>
      </c>
      <c r="L5" s="5"/>
    </row>
    <row r="6" spans="1:12" s="4" customFormat="1" ht="12.3" outlineLevel="1" x14ac:dyDescent="0.4">
      <c r="A6" s="1"/>
      <c r="B6" s="13" t="s">
        <v>6</v>
      </c>
      <c r="C6" s="13">
        <v>0</v>
      </c>
      <c r="D6" s="4">
        <v>0</v>
      </c>
      <c r="L6" s="5"/>
    </row>
    <row r="7" spans="1:12" s="4" customFormat="1" ht="12.3" outlineLevel="1" x14ac:dyDescent="0.4">
      <c r="C7" s="1"/>
      <c r="L7" s="5"/>
    </row>
    <row r="8" spans="1:12" s="4" customFormat="1" ht="12.3" outlineLevel="1" x14ac:dyDescent="0.4">
      <c r="A8" s="1"/>
      <c r="B8" s="13" t="s">
        <v>7</v>
      </c>
      <c r="C8" s="13">
        <v>3.3528107000000001E-3</v>
      </c>
      <c r="D8" s="13"/>
      <c r="L8" s="5"/>
    </row>
    <row r="9" spans="1:12" s="4" customFormat="1" ht="14.4" outlineLevel="1" x14ac:dyDescent="0.55000000000000004">
      <c r="A9" s="1"/>
      <c r="B9" s="13" t="s">
        <v>8</v>
      </c>
      <c r="C9" s="13">
        <f>D6-D5</f>
        <v>0</v>
      </c>
      <c r="D9" s="1"/>
      <c r="L9" s="5"/>
    </row>
    <row r="10" spans="1:12" s="4" customFormat="1" ht="12.3" outlineLevel="1" x14ac:dyDescent="0.4">
      <c r="A10" s="1"/>
      <c r="B10" s="1" t="s">
        <v>9</v>
      </c>
      <c r="C10" s="14">
        <f>(1-C8)*TAN(C5)</f>
        <v>0</v>
      </c>
      <c r="D10" s="1"/>
      <c r="E10" s="13"/>
      <c r="L10" s="5"/>
    </row>
    <row r="11" spans="1:12" s="4" customFormat="1" ht="12.3" outlineLevel="1" x14ac:dyDescent="0.4">
      <c r="A11" s="1"/>
      <c r="B11" s="13" t="s">
        <v>10</v>
      </c>
      <c r="C11" s="13">
        <f>ATAN(C10)</f>
        <v>0</v>
      </c>
      <c r="D11" s="13"/>
      <c r="E11" s="15"/>
      <c r="L11" s="5"/>
    </row>
    <row r="12" spans="1:12" s="4" customFormat="1" ht="12.3" outlineLevel="1" x14ac:dyDescent="0.4">
      <c r="A12" s="1"/>
      <c r="B12" s="13" t="s">
        <v>11</v>
      </c>
      <c r="C12" s="13">
        <f>SIN(C11)</f>
        <v>0</v>
      </c>
      <c r="D12" s="13"/>
      <c r="E12" s="15"/>
      <c r="L12" s="5"/>
    </row>
    <row r="13" spans="1:12" s="4" customFormat="1" ht="12.3" outlineLevel="1" x14ac:dyDescent="0.4">
      <c r="A13" s="1"/>
      <c r="B13" s="13" t="s">
        <v>12</v>
      </c>
      <c r="C13" s="13">
        <f>COS(C11)</f>
        <v>1</v>
      </c>
      <c r="D13" s="13"/>
      <c r="E13" s="13"/>
      <c r="L13" s="5"/>
    </row>
    <row r="14" spans="1:12" s="4" customFormat="1" ht="12.3" outlineLevel="1" x14ac:dyDescent="0.4">
      <c r="A14" s="1"/>
      <c r="B14" s="13" t="s">
        <v>13</v>
      </c>
      <c r="C14" s="14">
        <f>(1-C8)*TAN(C6)</f>
        <v>0</v>
      </c>
      <c r="D14" s="13"/>
      <c r="E14" s="13"/>
      <c r="L14" s="5"/>
    </row>
    <row r="15" spans="1:12" s="4" customFormat="1" ht="12.3" outlineLevel="1" x14ac:dyDescent="0.4">
      <c r="A15" s="1"/>
      <c r="B15" s="13" t="s">
        <v>14</v>
      </c>
      <c r="C15" s="13">
        <f>ATAN(C14)</f>
        <v>0</v>
      </c>
      <c r="D15" s="13"/>
      <c r="E15" s="13"/>
      <c r="L15" s="5"/>
    </row>
    <row r="16" spans="1:12" s="4" customFormat="1" ht="12.3" outlineLevel="1" x14ac:dyDescent="0.4">
      <c r="A16" s="1"/>
      <c r="B16" s="13" t="s">
        <v>15</v>
      </c>
      <c r="C16" s="13">
        <f>SIN(C15)</f>
        <v>0</v>
      </c>
      <c r="D16" s="13"/>
      <c r="E16" s="13"/>
      <c r="L16" s="5"/>
    </row>
    <row r="17" spans="1:17" s="4" customFormat="1" ht="14.4" outlineLevel="1" x14ac:dyDescent="0.55000000000000004">
      <c r="A17" s="1"/>
      <c r="B17" s="13" t="s">
        <v>16</v>
      </c>
      <c r="C17" s="13">
        <f>COS(C15)</f>
        <v>1</v>
      </c>
      <c r="D17" s="13"/>
      <c r="E17" s="13"/>
      <c r="L17" s="5"/>
      <c r="M17"/>
      <c r="N17"/>
      <c r="O17"/>
    </row>
    <row r="18" spans="1:17" s="4" customFormat="1" ht="12.3" outlineLevel="1" x14ac:dyDescent="0.4">
      <c r="A18" s="1"/>
      <c r="B18" s="15" t="s">
        <v>17</v>
      </c>
      <c r="C18" s="16">
        <f ca="1">C24</f>
        <v>0</v>
      </c>
      <c r="D18" s="13"/>
      <c r="E18" s="1"/>
      <c r="L18" s="5"/>
    </row>
    <row r="19" spans="1:17" s="4" customFormat="1" ht="13.8" outlineLevel="1" x14ac:dyDescent="0.4">
      <c r="A19" s="1"/>
      <c r="B19" s="13" t="s">
        <v>18</v>
      </c>
      <c r="C19" s="13">
        <f ca="1">(C17*SIN(C18)*C17*SIN(C18))+(C13*C16-C12*C17*COS(C18))*(C13*C16-C12*C17*COS(C18))</f>
        <v>0</v>
      </c>
      <c r="D19" s="13"/>
      <c r="E19" s="1"/>
      <c r="L19" s="5"/>
    </row>
    <row r="20" spans="1:17" s="4" customFormat="1" ht="12.3" outlineLevel="1" x14ac:dyDescent="0.4">
      <c r="A20" s="1"/>
      <c r="B20" s="1" t="s">
        <v>19</v>
      </c>
      <c r="C20" s="14">
        <f ca="1">(C12*C16)+(C13*C17*COS(C18))</f>
        <v>1</v>
      </c>
      <c r="D20" s="1"/>
      <c r="E20" s="1"/>
      <c r="L20" s="5"/>
    </row>
    <row r="21" spans="1:17" s="4" customFormat="1" ht="12.3" outlineLevel="1" x14ac:dyDescent="0.4">
      <c r="A21" s="1"/>
      <c r="B21" s="13" t="s">
        <v>20</v>
      </c>
      <c r="C21" s="13">
        <f ca="1">IF(C19=0,0,C13*C17*SIN(C18)/SQRT(C19))</f>
        <v>0</v>
      </c>
      <c r="D21" s="13"/>
      <c r="E21" s="1"/>
      <c r="L21" s="5"/>
    </row>
    <row r="22" spans="1:17" s="4" customFormat="1" ht="16.2" outlineLevel="1" x14ac:dyDescent="0.65">
      <c r="A22" s="1"/>
      <c r="B22" s="1" t="s">
        <v>21</v>
      </c>
      <c r="C22" s="14">
        <f ca="1">C20-2*C12*C16/(COS(ASIN(C21))*COS(ASIN(C21)))</f>
        <v>1</v>
      </c>
      <c r="D22" s="13"/>
      <c r="E22" s="1"/>
      <c r="L22" s="5"/>
      <c r="M22"/>
      <c r="N22"/>
      <c r="O22"/>
      <c r="P22"/>
      <c r="Q22"/>
    </row>
    <row r="23" spans="1:17" s="4" customFormat="1" ht="14.4" outlineLevel="1" x14ac:dyDescent="0.55000000000000004">
      <c r="A23" s="1"/>
      <c r="B23" s="1"/>
      <c r="C23" s="13">
        <f ca="1">C8/16*COS(ASIN(C21))*COS(ASIN(C21))*(4+C8*(4-3*COS(ASIN(C21))*COS(ASIN(C21))))</f>
        <v>8.3890525872437724E-4</v>
      </c>
      <c r="D23" s="13"/>
      <c r="E23" s="1"/>
      <c r="L23" s="5"/>
      <c r="M23"/>
      <c r="N23"/>
      <c r="O23"/>
      <c r="P23"/>
      <c r="Q23"/>
    </row>
    <row r="24" spans="1:17" s="4" customFormat="1" ht="14.4" outlineLevel="1" x14ac:dyDescent="0.55000000000000004">
      <c r="A24" s="1"/>
      <c r="B24" s="17" t="s">
        <v>22</v>
      </c>
      <c r="C24" s="16">
        <f ca="1">C9+(1-C23)*C8*C21*(ACOS(C20)+C23*SIN(ACOS(C20))*(C22+C23*C20*(-1+2*C22*C22)))</f>
        <v>0</v>
      </c>
      <c r="D24" s="13"/>
      <c r="E24" s="13"/>
      <c r="L24" s="5"/>
      <c r="M24"/>
      <c r="N24"/>
      <c r="O24"/>
      <c r="P24"/>
      <c r="Q24"/>
    </row>
    <row r="25" spans="1:17" s="4" customFormat="1" ht="14.4" outlineLevel="1" x14ac:dyDescent="0.55000000000000004">
      <c r="A25" s="14"/>
      <c r="B25" s="5"/>
      <c r="C25" s="5"/>
      <c r="D25" s="14" t="e">
        <f ca="1">ATAN2((C13*C16-C12*C17*COS(C24)),C17*SIN(C24))</f>
        <v>#DIV/0!</v>
      </c>
      <c r="E25" s="13" t="e">
        <f ca="1">ATAN2((-C12*C17+C13*C16*COS(C24)),C13*SIN(C24))</f>
        <v>#DIV/0!</v>
      </c>
      <c r="L25" s="5">
        <v>1</v>
      </c>
      <c r="M25"/>
      <c r="N25"/>
      <c r="O25"/>
      <c r="P25"/>
      <c r="Q25"/>
    </row>
    <row r="26" spans="1:17" s="4" customFormat="1" ht="14.4" outlineLevel="1" x14ac:dyDescent="0.55000000000000004">
      <c r="A26" s="14"/>
      <c r="B26" s="5"/>
      <c r="C26" s="5"/>
      <c r="D26" s="13">
        <f>IF(C27="samepoint",0,IF(C28="northsouth",0,IF(C29="southnorth",180,IF(D25&lt;0,D25*180/PI()+360,D25*180/PI()))))</f>
        <v>0</v>
      </c>
      <c r="E26" s="13">
        <f>IF(C27="samepoint",0,IF(C28="northsouth",180,IF(C29="southnorth",0,E25*180/PI()+180)))</f>
        <v>0</v>
      </c>
      <c r="L26" s="5">
        <v>2</v>
      </c>
      <c r="M26"/>
      <c r="N26"/>
      <c r="O26"/>
      <c r="P26"/>
      <c r="Q26"/>
    </row>
    <row r="27" spans="1:17" s="4" customFormat="1" ht="14.4" outlineLevel="1" x14ac:dyDescent="0.55000000000000004">
      <c r="A27" s="14"/>
      <c r="B27" s="18" t="s">
        <v>23</v>
      </c>
      <c r="C27" s="14" t="str">
        <f>IF(AND(C5=C6,D5=D6),"samepoint","N.A. " )</f>
        <v>samepoint</v>
      </c>
      <c r="D27" s="14"/>
      <c r="E27" s="14"/>
      <c r="L27" s="5">
        <v>3</v>
      </c>
      <c r="M27"/>
      <c r="N27"/>
      <c r="O27"/>
      <c r="P27"/>
      <c r="Q27"/>
    </row>
    <row r="28" spans="1:17" s="4" customFormat="1" ht="14.4" outlineLevel="1" x14ac:dyDescent="0.55000000000000004">
      <c r="A28" s="14"/>
      <c r="B28" s="14"/>
      <c r="C28" s="14" t="str">
        <f>IF(AND(D5=D6,C6&gt;C5),"northsouth","N.A. ")</f>
        <v xml:space="preserve">N.A. </v>
      </c>
      <c r="D28" s="18" t="s">
        <v>24</v>
      </c>
      <c r="E28" s="14"/>
      <c r="L28" s="5">
        <v>4</v>
      </c>
      <c r="M28"/>
      <c r="N28"/>
      <c r="O28"/>
      <c r="P28"/>
      <c r="Q28"/>
    </row>
    <row r="29" spans="1:17" s="4" customFormat="1" ht="14.4" outlineLevel="1" x14ac:dyDescent="0.55000000000000004">
      <c r="A29" s="14"/>
      <c r="B29" s="14"/>
      <c r="C29" s="14" t="str">
        <f>IF(AND(D5=D6,C5&gt;C6),"southnorth","N.A. ")</f>
        <v xml:space="preserve">N.A. </v>
      </c>
      <c r="D29" s="18" t="s">
        <v>25</v>
      </c>
      <c r="E29" s="14"/>
      <c r="L29" s="5">
        <v>5</v>
      </c>
      <c r="M29"/>
      <c r="N29"/>
      <c r="O29"/>
      <c r="P29"/>
      <c r="Q29"/>
    </row>
    <row r="30" spans="1:17" s="4" customFormat="1" ht="12.3" collapsed="1" x14ac:dyDescent="0.4">
      <c r="A30" s="1"/>
      <c r="B30" s="1"/>
      <c r="C30" s="1"/>
      <c r="D30" s="1"/>
      <c r="E30" s="1"/>
      <c r="L30" s="5"/>
    </row>
    <row r="31" spans="1:17" s="4" customFormat="1" ht="12.75" customHeight="1" x14ac:dyDescent="0.4">
      <c r="A31" s="1"/>
      <c r="B31" s="1"/>
      <c r="C31" s="1"/>
      <c r="D31" s="1"/>
      <c r="E31" s="1"/>
      <c r="L31" s="5"/>
    </row>
    <row r="32" spans="1:17" s="4" customFormat="1" ht="12.75" customHeight="1" x14ac:dyDescent="0.4">
      <c r="A32" s="1"/>
      <c r="B32" s="1"/>
      <c r="C32" s="1"/>
      <c r="D32" s="1"/>
      <c r="E32" s="1"/>
      <c r="L32" s="5"/>
    </row>
    <row r="33" spans="1:17" s="4" customFormat="1" ht="12.75" customHeight="1" x14ac:dyDescent="0.4">
      <c r="A33" s="1"/>
      <c r="B33" s="1"/>
      <c r="C33" s="1"/>
      <c r="D33" s="1"/>
      <c r="E33" s="1"/>
      <c r="L33" s="5"/>
      <c r="M33" s="51" t="s">
        <v>26</v>
      </c>
      <c r="N33" s="52"/>
      <c r="O33" s="52"/>
      <c r="Q33" s="19" t="s">
        <v>27</v>
      </c>
    </row>
    <row r="34" spans="1:17" s="4" customFormat="1" ht="18.75" customHeight="1" x14ac:dyDescent="0.4">
      <c r="A34" s="1"/>
      <c r="B34" s="2" t="s">
        <v>0</v>
      </c>
      <c r="C34" s="2" t="s">
        <v>1</v>
      </c>
      <c r="D34" s="20"/>
      <c r="E34" s="20" t="s">
        <v>28</v>
      </c>
      <c r="L34" s="5"/>
      <c r="M34" s="21" t="s">
        <v>29</v>
      </c>
      <c r="N34" s="21" t="s">
        <v>30</v>
      </c>
      <c r="O34" s="21" t="s">
        <v>31</v>
      </c>
      <c r="P34" s="22"/>
      <c r="Q34" s="21" t="s">
        <v>32</v>
      </c>
    </row>
    <row r="35" spans="1:17" s="4" customFormat="1" ht="12.75" customHeight="1" x14ac:dyDescent="0.55000000000000004">
      <c r="B35" s="23" t="s">
        <v>33</v>
      </c>
      <c r="C35" s="24">
        <f ca="1">E83</f>
        <v>325737.87114355428</v>
      </c>
      <c r="D35" s="24"/>
      <c r="E35" s="24"/>
      <c r="F35" s="24"/>
      <c r="G35" s="25"/>
      <c r="L35" s="21" t="s">
        <v>34</v>
      </c>
      <c r="M35"/>
      <c r="N35"/>
      <c r="O35"/>
      <c r="Q35"/>
    </row>
    <row r="36" spans="1:17" s="4" customFormat="1" ht="12.75" customHeight="1" x14ac:dyDescent="0.6">
      <c r="B36" s="26" t="s">
        <v>35</v>
      </c>
      <c r="C36" s="27">
        <f ca="1">I95</f>
        <v>266.22441517009645</v>
      </c>
      <c r="D36" s="27"/>
      <c r="E36" s="27"/>
      <c r="F36" s="27"/>
      <c r="G36" s="28"/>
      <c r="L36" s="5"/>
    </row>
    <row r="37" spans="1:17" s="4" customFormat="1" ht="14.7" x14ac:dyDescent="0.6">
      <c r="B37" s="29" t="s">
        <v>36</v>
      </c>
      <c r="C37" s="30">
        <f ca="1">J95</f>
        <v>83.83864118381095</v>
      </c>
      <c r="D37" s="30"/>
      <c r="E37" s="30"/>
      <c r="F37" s="31">
        <f ca="1">C35/1000</f>
        <v>325.73787114355429</v>
      </c>
      <c r="G37" s="32" t="s">
        <v>37</v>
      </c>
      <c r="L37" s="5"/>
      <c r="N37" s="4">
        <f>IF(M35="N/A","N/A",M35*(COS(RADIANS(Q35))*SIN(RADIANS(P44))-SIN(RADIANS(Q35))*COS(RADIANS(P44))))</f>
        <v>0</v>
      </c>
      <c r="O37" s="4">
        <f>IF(M35="N/A","N/A",M35*(SIN(RADIANS(Q35))*SIN(RADIANS(P44))+COS(RADIANS(Q35))*COS(RADIANS(P44))))</f>
        <v>0</v>
      </c>
      <c r="P37" s="4" t="str">
        <f>IF(OR(N35=0,M35=0,AND(O37&lt;0,O38&gt;0)),"Good Finish","NO FINISH")</f>
        <v>Good Finish</v>
      </c>
    </row>
    <row r="38" spans="1:17" s="4" customFormat="1" ht="16" customHeight="1" x14ac:dyDescent="0.5">
      <c r="B38" s="33"/>
      <c r="C38" s="34" t="s">
        <v>38</v>
      </c>
      <c r="D38" s="35"/>
      <c r="E38" s="34" t="s">
        <v>39</v>
      </c>
      <c r="L38" s="5"/>
      <c r="N38" s="4">
        <f>IF(N35="N/A","N/A",N35*(COS(RADIANS(Q35))*SIN(RADIANS(P46))-SIN(RADIANS(Q35))*COS(RADIANS(P46))))</f>
        <v>0</v>
      </c>
      <c r="O38" s="4">
        <f>IF(N35="N/A","N/A",N35*(SIN(RADIANS(Q35))*SIN(RADIANS(P46))+COS(RADIANS(Q35))*COS(RADIANS(P46))))</f>
        <v>0</v>
      </c>
      <c r="P38" s="4" t="e">
        <f>IF(OR(O37="N/A",O38="N/A"),"NO FINISH",IF(ABS(N42)&lt;0.5,"Good Finish","NO FINISH"))</f>
        <v>#DIV/0!</v>
      </c>
    </row>
    <row r="39" spans="1:17" s="4" customFormat="1" ht="16" customHeight="1" x14ac:dyDescent="0.6">
      <c r="B39" s="13" t="s">
        <v>40</v>
      </c>
      <c r="C39" s="36">
        <f>DEGREES(E39)</f>
        <v>39.453766666666667</v>
      </c>
      <c r="E39" s="4">
        <v>0.68859813064692144</v>
      </c>
      <c r="L39" s="5"/>
      <c r="N39" s="4">
        <f>IF(OR(M35="N/A",N35="N/A"),"",N38-N37)</f>
        <v>0</v>
      </c>
      <c r="O39" s="4">
        <f>IF(OR(M35="N/A",N35="N/A"),"",O38-O37)</f>
        <v>0</v>
      </c>
    </row>
    <row r="40" spans="1:17" s="4" customFormat="1" ht="16" customHeight="1" x14ac:dyDescent="0.6">
      <c r="B40" s="13" t="s">
        <v>41</v>
      </c>
      <c r="C40" s="37">
        <f>DEGREES(E40)</f>
        <v>-115.98941666666667</v>
      </c>
      <c r="E40" s="4">
        <v>-2.0243972183009196</v>
      </c>
      <c r="L40" s="5"/>
      <c r="N40" s="4" t="e">
        <f>IF(OR(M35="N/A",N35="N/A"),"",N39/SQRT(N39^2+O39^2))</f>
        <v>#DIV/0!</v>
      </c>
      <c r="O40" s="4" t="e">
        <f>IF(OR(M35="N/A",N35="N/A"),"",O39/SQRT(N39^2+O39^2))</f>
        <v>#DIV/0!</v>
      </c>
    </row>
    <row r="41" spans="1:17" s="4" customFormat="1" ht="16" customHeight="1" x14ac:dyDescent="0.6">
      <c r="B41" s="13" t="s">
        <v>42</v>
      </c>
      <c r="C41" s="37">
        <f>DEGREES(E41)</f>
        <v>39.199550000000002</v>
      </c>
      <c r="E41" s="4">
        <v>0.68416121280014319</v>
      </c>
      <c r="H41" s="4">
        <f ca="1">2*F37</f>
        <v>651.47574228710857</v>
      </c>
      <c r="L41" s="5"/>
      <c r="N41" s="4" t="e">
        <f>IF(OR(M35="N/A",N35="N/A"),"",-O37/O40)</f>
        <v>#DIV/0!</v>
      </c>
      <c r="P41" s="4" t="e">
        <f>IF(OR(M35="N/A",N35="N/A"),"",IF(AND(O38&gt;=0,O37&lt;=0),N41/O35,""))</f>
        <v>#DIV/0!</v>
      </c>
    </row>
    <row r="42" spans="1:17" s="4" customFormat="1" ht="16" customHeight="1" x14ac:dyDescent="0.6">
      <c r="B42" s="13" t="s">
        <v>43</v>
      </c>
      <c r="C42" s="38">
        <f>DEGREES(E42)</f>
        <v>-119.75318333333335</v>
      </c>
      <c r="E42" s="4">
        <v>-2.090087338911065</v>
      </c>
      <c r="L42" s="5"/>
      <c r="N42" s="4" t="e">
        <f>IF(OR(M35="N/A",N35="N/A"),"",N37+N41*N40)</f>
        <v>#DIV/0!</v>
      </c>
      <c r="P42" s="4" t="e">
        <f>IF(OR(M35="N/A",N35="N/A"),"",IF(AND(O38&gt;=0,O37&lt;=0),(O35-N41)/O35,""))</f>
        <v>#DIV/0!</v>
      </c>
    </row>
    <row r="43" spans="1:17" s="4" customFormat="1" ht="12.75" customHeight="1" x14ac:dyDescent="0.4">
      <c r="B43" s="13"/>
      <c r="L43" s="5"/>
    </row>
    <row r="44" spans="1:17" s="4" customFormat="1" ht="12.75" customHeight="1" x14ac:dyDescent="0.55000000000000004">
      <c r="B44" s="13" t="s">
        <v>44</v>
      </c>
      <c r="C44" s="4">
        <v>6378137</v>
      </c>
      <c r="F44" s="4">
        <f>C46+C46*C46</f>
        <v>3.3640520041011246E-3</v>
      </c>
      <c r="L44" s="5"/>
      <c r="N44" s="4" t="e">
        <f>IF(AND(P37="Good Finish",P38="Good Finish"),M25,0)</f>
        <v>#DIV/0!</v>
      </c>
      <c r="O44" s="4" t="e">
        <f>IF(N44=0,0,P25)</f>
        <v>#DIV/0!</v>
      </c>
      <c r="P44"/>
      <c r="Q44" s="19" t="s">
        <v>45</v>
      </c>
    </row>
    <row r="45" spans="1:17" s="4" customFormat="1" ht="12.75" customHeight="1" x14ac:dyDescent="0.4">
      <c r="B45" s="13" t="s">
        <v>46</v>
      </c>
      <c r="C45" s="4">
        <v>6356752.3142451802</v>
      </c>
      <c r="F45" s="4">
        <f>F44/2</f>
        <v>1.6820260020505623E-3</v>
      </c>
      <c r="L45" s="5"/>
      <c r="N45" s="4" t="e">
        <f>IF(OR(P41="",P42="",P37="No Finish",P38="No Finish"),0,(N46-N44)*P41+N44)</f>
        <v>#DIV/0!</v>
      </c>
      <c r="O45" s="4" t="e">
        <f>IF(N45=N44,O44,IF(N45=N46,O46,IF(OR(P41="",P42="",P37="No Finish",P38="No Finish"),0,(O46-O44)*P41+O44)))</f>
        <v>#DIV/0!</v>
      </c>
      <c r="P45" s="5" t="e">
        <f>IF(O45&lt;&gt;0,(Q25-Q26)*P41+Q26,0)</f>
        <v>#DIV/0!</v>
      </c>
    </row>
    <row r="46" spans="1:17" s="4" customFormat="1" ht="12.75" customHeight="1" x14ac:dyDescent="0.55000000000000004">
      <c r="B46" s="13" t="s">
        <v>7</v>
      </c>
      <c r="C46" s="4">
        <v>3.3528106647474801E-3</v>
      </c>
      <c r="F46" s="4">
        <f>C46*C46/2</f>
        <v>5.6206696768222199E-6</v>
      </c>
      <c r="L46" s="5"/>
      <c r="N46" s="4" t="e">
        <f>IF(AND(P37="Good Finish",P38="Good Finish"),M26,0)</f>
        <v>#DIV/0!</v>
      </c>
      <c r="O46" s="4" t="e">
        <f>IF(N46=0,0,P26)</f>
        <v>#DIV/0!</v>
      </c>
      <c r="P46"/>
      <c r="Q46" s="19" t="s">
        <v>47</v>
      </c>
    </row>
    <row r="47" spans="1:17" s="4" customFormat="1" ht="12.75" customHeight="1" x14ac:dyDescent="0.55000000000000004">
      <c r="B47" s="13" t="s">
        <v>8</v>
      </c>
      <c r="C47" s="4">
        <f>E42-E40</f>
        <v>-6.5690120610145453E-2</v>
      </c>
      <c r="F47" s="4">
        <f>C46*C46/8</f>
        <v>1.405167419205555E-6</v>
      </c>
      <c r="L47" s="5"/>
    </row>
    <row r="48" spans="1:17" s="4" customFormat="1" ht="12.75" customHeight="1" x14ac:dyDescent="0.4">
      <c r="B48" s="39"/>
      <c r="F48" s="4">
        <f>C46*C46/16</f>
        <v>7.0258370960277749E-7</v>
      </c>
      <c r="L48" s="5"/>
    </row>
    <row r="49" spans="2:17" s="4" customFormat="1" ht="12.75" customHeight="1" x14ac:dyDescent="0.4">
      <c r="B49" s="39" t="s">
        <v>9</v>
      </c>
      <c r="C49" s="4">
        <f>(1-C46)*TAN(E39)</f>
        <v>0.8202227302025441</v>
      </c>
      <c r="L49" s="5"/>
      <c r="M49" s="22" t="s">
        <v>29</v>
      </c>
      <c r="N49" s="22" t="s">
        <v>30</v>
      </c>
      <c r="O49" s="22" t="s">
        <v>31</v>
      </c>
      <c r="P49" s="22"/>
      <c r="Q49" s="22" t="s">
        <v>32</v>
      </c>
    </row>
    <row r="50" spans="2:17" s="4" customFormat="1" ht="12.75" customHeight="1" x14ac:dyDescent="0.55000000000000004">
      <c r="B50" s="13" t="s">
        <v>10</v>
      </c>
      <c r="C50" s="4">
        <f>ATAN(C49)</f>
        <v>0.68695081519756906</v>
      </c>
      <c r="L50" s="21" t="s">
        <v>48</v>
      </c>
      <c r="M50"/>
      <c r="N50"/>
      <c r="O50"/>
      <c r="Q50"/>
    </row>
    <row r="51" spans="2:17" s="4" customFormat="1" ht="12.75" customHeight="1" x14ac:dyDescent="0.4">
      <c r="B51" s="13" t="s">
        <v>11</v>
      </c>
      <c r="C51" s="4">
        <f>SIN(C50)</f>
        <v>0.63418255512939203</v>
      </c>
      <c r="L51" s="5"/>
    </row>
    <row r="52" spans="2:17" s="4" customFormat="1" ht="12.75" customHeight="1" x14ac:dyDescent="0.4">
      <c r="B52" s="13" t="s">
        <v>12</v>
      </c>
      <c r="C52" s="4">
        <f>COS(C50)</f>
        <v>0.77318334615377982</v>
      </c>
      <c r="L52" s="5"/>
      <c r="N52" s="4">
        <f>IF(M50="N/A","N/A",M50*(COS(RADIANS(Q50))*SIN(RADIANS(P59))-SIN(RADIANS(Q50))*COS(RADIANS(P59))))</f>
        <v>0</v>
      </c>
      <c r="O52" s="4">
        <f>IF(M50="N/A","N/A",M50*(SIN(RADIANS(Q50))*SIN(RADIANS(P59))+COS(RADIANS(Q50))*COS(RADIANS(P59))))</f>
        <v>0</v>
      </c>
      <c r="P52" s="4" t="str">
        <f>IF(OR(N50=0,M50=0,AND(O52&lt;0,O53&gt;0)),"Good Finish","NO FINISH")</f>
        <v>Good Finish</v>
      </c>
    </row>
    <row r="53" spans="2:17" s="4" customFormat="1" ht="12.75" customHeight="1" x14ac:dyDescent="0.4">
      <c r="B53" s="13" t="s">
        <v>13</v>
      </c>
      <c r="C53" s="4">
        <f>(1-C46)*TAN(E41)</f>
        <v>0.81283257886126647</v>
      </c>
      <c r="L53" s="5"/>
      <c r="N53" s="4">
        <f>IF(N50="N/A","N/A",N50*(COS(RADIANS(Q50))*SIN(RADIANS(P61))-SIN(RADIANS(Q50))*COS(RADIANS(P61))))</f>
        <v>0</v>
      </c>
      <c r="O53" s="4">
        <f>IF(N50="N/A","N/A",N50*(SIN(RADIANS(Q50))*SIN(RADIANS(P61))+COS(RADIANS(Q50))*COS(RADIANS(P61))))</f>
        <v>0</v>
      </c>
      <c r="P53" s="4" t="str">
        <f>IF(OR(O52="N/A",O53="N/A",M27=""),"NO FINISH",IF(ABS(N57)&lt;0.5,"Good Finish","NO FINISH"))</f>
        <v>NO FINISH</v>
      </c>
    </row>
    <row r="54" spans="2:17" s="4" customFormat="1" ht="12.75" customHeight="1" x14ac:dyDescent="0.4">
      <c r="B54" s="13" t="s">
        <v>14</v>
      </c>
      <c r="C54" s="4">
        <f>ATAN(C53)</f>
        <v>0.68251685212534163</v>
      </c>
      <c r="L54" s="5"/>
      <c r="N54" s="4">
        <f>IF(OR(M50="N/A",N50="N/A"),"",N53-N52)</f>
        <v>0</v>
      </c>
      <c r="O54" s="4">
        <f>IF(OR(M50="N/A",N50="N/A"),"",O53-O52)</f>
        <v>0</v>
      </c>
    </row>
    <row r="55" spans="2:17" s="4" customFormat="1" ht="12.75" customHeight="1" x14ac:dyDescent="0.4">
      <c r="B55" s="13" t="s">
        <v>15</v>
      </c>
      <c r="C55" s="4">
        <f>SIN(C54)</f>
        <v>0.63074806594442767</v>
      </c>
      <c r="L55" s="5"/>
      <c r="N55" s="4" t="e">
        <f>IF(OR(M50="N/A",N50="N/A"),"",N54/SQRT(N54^2+O54^2))</f>
        <v>#DIV/0!</v>
      </c>
      <c r="O55" s="4" t="e">
        <f>IF(OR(M50="N/A",N50="N/A"),"",O54/SQRT(N54^2+O54^2))</f>
        <v>#DIV/0!</v>
      </c>
    </row>
    <row r="56" spans="2:17" s="4" customFormat="1" ht="12.75" customHeight="1" x14ac:dyDescent="0.4">
      <c r="B56" s="13" t="s">
        <v>16</v>
      </c>
      <c r="C56" s="4">
        <f>COS(C54)</f>
        <v>0.77598767857960471</v>
      </c>
      <c r="L56" s="5"/>
      <c r="N56" s="4" t="e">
        <f>IF(OR(M50="N/A",N50="N/A"),"",-O52/O55)</f>
        <v>#DIV/0!</v>
      </c>
      <c r="P56" s="4" t="e">
        <f>IF(OR(M50="N/A",N50="N/A"),"",IF(AND(O53&gt;=0,O52&lt;=0),N56/O50,""))</f>
        <v>#DIV/0!</v>
      </c>
    </row>
    <row r="57" spans="2:17" s="4" customFormat="1" ht="12.75" customHeight="1" x14ac:dyDescent="0.4">
      <c r="B57" s="17" t="s">
        <v>49</v>
      </c>
      <c r="L57" s="5"/>
      <c r="N57" s="4" t="e">
        <f>IF(OR(M50="N/A",N50="N/A"),"",N52+N56*N55)</f>
        <v>#DIV/0!</v>
      </c>
      <c r="P57" s="4" t="e">
        <f>IF(OR(M50="N/A",N50="N/A"),"",IF(AND(O53&gt;=0,O52&lt;=0),(O50-N56)/O50,""))</f>
        <v>#DIV/0!</v>
      </c>
    </row>
    <row r="58" spans="2:17" s="4" customFormat="1" ht="12.75" customHeight="1" x14ac:dyDescent="0.4">
      <c r="B58" s="15" t="s">
        <v>17</v>
      </c>
      <c r="C58" s="4">
        <f>C47</f>
        <v>-6.5690120610145453E-2</v>
      </c>
      <c r="E58" s="4">
        <f ca="1">E81</f>
        <v>-6.5822403587485673E-2</v>
      </c>
      <c r="L58" s="5"/>
    </row>
    <row r="59" spans="2:17" s="4" customFormat="1" ht="12.75" customHeight="1" x14ac:dyDescent="0.55000000000000004">
      <c r="B59" s="17" t="s">
        <v>50</v>
      </c>
      <c r="L59" s="5"/>
      <c r="N59" s="4">
        <f>IF(AND(P52="Good Finish",P53="Good Finish"),M26,0)</f>
        <v>0</v>
      </c>
      <c r="O59" s="4">
        <f>IF(N59=0,0,P26)</f>
        <v>0</v>
      </c>
      <c r="P59"/>
      <c r="Q59" s="19" t="s">
        <v>45</v>
      </c>
    </row>
    <row r="60" spans="2:17" s="4" customFormat="1" ht="12.75" customHeight="1" x14ac:dyDescent="0.4">
      <c r="B60" s="13" t="s">
        <v>18</v>
      </c>
      <c r="C60" s="4">
        <f>(C56*SIN(C58)*C56*SIN(C58))+(C52*C55-C51*C56*COS(C58))*(C52*C55-C51*C56*COS(C58))</f>
        <v>2.6060611109593886E-3</v>
      </c>
      <c r="E60" s="4">
        <f ca="1">(C56*SIN(E58)*C56*SIN(E58))+(C52*C55-C51*C56*COS(E58))*(C52*C55-C51*C56*COS(E58))</f>
        <v>2.6164777496563794E-3</v>
      </c>
      <c r="L60" s="5"/>
      <c r="N60" s="4" t="e">
        <f>IF(OR(P56="",P57="",P52="No Finish",P53="No Finish"),0,(N61-N59)*P56+N59)</f>
        <v>#DIV/0!</v>
      </c>
      <c r="O60" s="4" t="e">
        <f>IF(N60=N59,O59,IF(N60=N61,O61,IF(OR(P56="",P57="",P52="No Finish",P53="No Finish"),0,(O61-O59)*P56+O59)))</f>
        <v>#DIV/0!</v>
      </c>
      <c r="P60" s="5" t="e">
        <f>IF(O60&lt;&gt;0,(Q26-Q27)*P56+Q27,0)</f>
        <v>#DIV/0!</v>
      </c>
    </row>
    <row r="61" spans="2:17" s="4" customFormat="1" ht="12.75" customHeight="1" x14ac:dyDescent="0.55000000000000004">
      <c r="B61" s="17" t="s">
        <v>51</v>
      </c>
      <c r="L61" s="5"/>
      <c r="N61" s="4">
        <f>IF(AND(P52="Good Finish",P53="Good Finish"),M27,0)</f>
        <v>0</v>
      </c>
      <c r="O61" s="4">
        <f>IF(N61=0,0,P27)</f>
        <v>0</v>
      </c>
      <c r="P61"/>
      <c r="Q61" s="19" t="s">
        <v>47</v>
      </c>
    </row>
    <row r="62" spans="2:17" s="4" customFormat="1" ht="12.75" customHeight="1" x14ac:dyDescent="0.4">
      <c r="B62" s="39" t="s">
        <v>19</v>
      </c>
      <c r="C62" s="4">
        <f>(C51*C55)+(C52*C56*COS(C58))</f>
        <v>0.9986961193922006</v>
      </c>
      <c r="E62" s="4">
        <f ca="1">(C51*C55)+(C52*C56*COS(E58))</f>
        <v>0.99869090425934259</v>
      </c>
      <c r="L62" s="5"/>
    </row>
    <row r="63" spans="2:17" s="4" customFormat="1" ht="12.75" customHeight="1" x14ac:dyDescent="0.4">
      <c r="B63" s="40" t="s">
        <v>52</v>
      </c>
      <c r="L63" s="5"/>
    </row>
    <row r="64" spans="2:17" s="4" customFormat="1" ht="12.75" customHeight="1" x14ac:dyDescent="0.4">
      <c r="B64" s="13" t="s">
        <v>53</v>
      </c>
      <c r="C64" s="4">
        <f>SQRT(C60)/C62</f>
        <v>5.1116244100337396E-2</v>
      </c>
      <c r="E64" s="4">
        <f ca="1">SQRT(E60)/E62</f>
        <v>5.121856757809564E-2</v>
      </c>
      <c r="L64" s="5"/>
      <c r="M64" s="4" t="s">
        <v>29</v>
      </c>
      <c r="N64" s="4" t="s">
        <v>30</v>
      </c>
      <c r="O64" s="4" t="s">
        <v>31</v>
      </c>
      <c r="Q64" s="4" t="s">
        <v>32</v>
      </c>
    </row>
    <row r="65" spans="2:17" s="4" customFormat="1" ht="12.75" customHeight="1" x14ac:dyDescent="0.55000000000000004">
      <c r="B65" s="15" t="s">
        <v>54</v>
      </c>
      <c r="C65" s="4">
        <f>ATAN(C64)</f>
        <v>5.1071793724822748E-2</v>
      </c>
      <c r="E65" s="4">
        <f ca="1">IF(ATAN(E64)&lt;0,ATAN(E64)+PI(),ATAN(E64))</f>
        <v>5.117385000858729E-2</v>
      </c>
      <c r="L65" s="41" t="s">
        <v>55</v>
      </c>
      <c r="M65"/>
      <c r="N65"/>
      <c r="O65"/>
      <c r="Q65"/>
    </row>
    <row r="66" spans="2:17" s="4" customFormat="1" ht="12.75" customHeight="1" x14ac:dyDescent="0.4">
      <c r="B66" s="17" t="s">
        <v>56</v>
      </c>
      <c r="L66" s="5"/>
    </row>
    <row r="67" spans="2:17" s="4" customFormat="1" ht="12.75" customHeight="1" x14ac:dyDescent="0.4">
      <c r="B67" s="13" t="s">
        <v>20</v>
      </c>
      <c r="C67" s="4">
        <f>IF(C60=0,0,C52*C56*SIN(C58)/SQRT(C60))</f>
        <v>-0.77149424189913229</v>
      </c>
      <c r="E67" s="4">
        <f ca="1">IF(E60=0,0,C52*C56*SIN(E58)/SQRT(E60))</f>
        <v>-0.77150524345640625</v>
      </c>
      <c r="L67" s="5"/>
      <c r="N67" s="4">
        <f>IF(M65="N/A","N/A",M65*(COS(RADIANS(Q65))*SIN(RADIANS(P74))-SIN(RADIANS(Q65))*COS(RADIANS(P74))))</f>
        <v>0</v>
      </c>
      <c r="O67" s="4">
        <f>IF(M65="N/A","N/A",M65*(SIN(RADIANS(Q65))*SIN(RADIANS(P74))+COS(RADIANS(Q65))*COS(RADIANS(P74))))</f>
        <v>0</v>
      </c>
      <c r="P67" s="4" t="str">
        <f>IF(OR(N65=0,M65=0,AND(O67&lt;0,O68&gt;0)),"Good Finish","NO FINISH")</f>
        <v>Good Finish</v>
      </c>
    </row>
    <row r="68" spans="2:17" s="4" customFormat="1" ht="12.75" customHeight="1" x14ac:dyDescent="0.4">
      <c r="B68" s="17" t="s">
        <v>57</v>
      </c>
      <c r="L68" s="5"/>
      <c r="N68" s="4">
        <f>IF(N65="N/A","N/A",N65*(COS(RADIANS(Q65))*SIN(RADIANS(P76))-SIN(RADIANS(Q65))*COS(RADIANS(P76))))</f>
        <v>0</v>
      </c>
      <c r="O68" s="4">
        <f>IF(N65="N/A","N/A",N65*(SIN(RADIANS(Q65))*SIN(RADIANS(P76))+COS(RADIANS(Q65))*COS(RADIANS(P76))))</f>
        <v>0</v>
      </c>
      <c r="P68" s="4" t="str">
        <f>IF(OR(O67="N/A",O68="N/A",M28=""),"NO FINISH",IF(ABS(N72)&lt;0.5,"Good Finish","NO FINISH"))</f>
        <v>NO FINISH</v>
      </c>
    </row>
    <row r="69" spans="2:17" s="4" customFormat="1" ht="12.75" customHeight="1" x14ac:dyDescent="0.65">
      <c r="B69" s="39" t="s">
        <v>21</v>
      </c>
      <c r="C69" s="4">
        <f>IF((COS(ASIN(C67))*COS(ASIN(C67)))=0,0,C62-2*C51*C55/(COS(ASIN(C67))*COS(ASIN(C67))))</f>
        <v>-0.97765143786317799</v>
      </c>
      <c r="E69" s="4">
        <f ca="1">E62-2*C51*C55/(COS(ASIN(E67))*COS(ASIN(E67)))</f>
        <v>-0.97773953582880768</v>
      </c>
      <c r="L69" s="5"/>
      <c r="N69" s="4">
        <f>IF(OR(M65="N/A",N65="N/A"),"",N68-N67)</f>
        <v>0</v>
      </c>
      <c r="O69" s="4">
        <f>IF(OR(M65="N/A",N65="N/A"),"",O68-O67)</f>
        <v>0</v>
      </c>
    </row>
    <row r="70" spans="2:17" s="4" customFormat="1" ht="12.75" customHeight="1" x14ac:dyDescent="0.45">
      <c r="B70" s="39" t="s">
        <v>58</v>
      </c>
      <c r="C70" s="4">
        <f>COS(ASIN(C67))*COS(ASIN(C67))*(C44*C44-C45*C45)/(C45*C45)</f>
        <v>2.7281256009561213E-3</v>
      </c>
      <c r="E70" s="4">
        <f ca="1">COS(ASIN(E67))*COS(ASIN(E67))*(C44*C44-C45*C45)/(C45*C45)</f>
        <v>2.7280111953219147E-3</v>
      </c>
      <c r="L70" s="5"/>
      <c r="N70" s="4" t="e">
        <f>IF(OR(M65="N/A",N65="N/A"),"",N69/SQRT(N69^2+O69^2))</f>
        <v>#DIV/0!</v>
      </c>
      <c r="O70" s="4" t="e">
        <f>IF(OR(M65="N/A",N65="N/A"),"",O69/SQRT(N69^2+O69^2))</f>
        <v>#DIV/0!</v>
      </c>
    </row>
    <row r="71" spans="2:17" s="4" customFormat="1" ht="12.75" customHeight="1" x14ac:dyDescent="0.4">
      <c r="B71" s="42" t="s">
        <v>59</v>
      </c>
      <c r="L71" s="5"/>
      <c r="N71" s="4" t="e">
        <f>IF(OR(M65="N/A",N65="N/A"),"",-O67/O70)</f>
        <v>#DIV/0!</v>
      </c>
      <c r="P71" s="4" t="e">
        <f>IF(OR(M65="N/A",N65="N/A"),"",IF(AND(O68&gt;=0,O67&lt;=0),N71/O65,""))</f>
        <v>#DIV/0!</v>
      </c>
    </row>
    <row r="72" spans="2:17" s="4" customFormat="1" ht="12.75" customHeight="1" x14ac:dyDescent="0.4">
      <c r="B72" s="13" t="s">
        <v>60</v>
      </c>
      <c r="C72" s="4">
        <f>1+C70/16384*(4096+C70*(-768+C70*(320-175*C70)))</f>
        <v>1.0006816829210972</v>
      </c>
      <c r="E72" s="4">
        <f ca="1">1+E70/16384*(4096+E70*(-768+E70*(320-175*E70)))</f>
        <v>1.0006816543488988</v>
      </c>
      <c r="L72" s="5"/>
      <c r="N72" s="4" t="e">
        <f>IF(OR(M65="N/A",N65="N/A"),"",N67+N71*N70)</f>
        <v>#DIV/0!</v>
      </c>
      <c r="P72" s="4" t="e">
        <f>IF(OR(M65="N/A",N65="N/A"),"",IF(AND(O68&gt;=0,O67&lt;=0),(O65-N71)/O65,""))</f>
        <v>#DIV/0!</v>
      </c>
    </row>
    <row r="73" spans="2:17" s="4" customFormat="1" ht="12.75" customHeight="1" x14ac:dyDescent="0.4">
      <c r="B73" s="17" t="s">
        <v>61</v>
      </c>
      <c r="L73" s="5"/>
    </row>
    <row r="74" spans="2:17" s="4" customFormat="1" ht="12.75" customHeight="1" x14ac:dyDescent="0.55000000000000004">
      <c r="B74" s="13" t="s">
        <v>62</v>
      </c>
      <c r="C74" s="4">
        <f>C70/1024*(256+C70*(-128+C70*(74-47*C70)))</f>
        <v>6.8110253135476992E-4</v>
      </c>
      <c r="E74" s="4">
        <f ca="1">E70/1024*(256+E70*(-128+E70*(74-47*E70)))</f>
        <v>6.8107400778865236E-4</v>
      </c>
      <c r="L74" s="5"/>
      <c r="N74" s="4">
        <f>IF(AND(P67="Good Finish",P68="Good Finish"),M27,0)</f>
        <v>0</v>
      </c>
      <c r="O74" s="4">
        <f>IF(N74=0,0,P27)</f>
        <v>0</v>
      </c>
      <c r="P74"/>
      <c r="Q74" s="19" t="s">
        <v>45</v>
      </c>
    </row>
    <row r="75" spans="2:17" s="4" customFormat="1" ht="12.75" customHeight="1" x14ac:dyDescent="0.4">
      <c r="B75" s="17" t="s">
        <v>63</v>
      </c>
      <c r="L75" s="5"/>
      <c r="N75" s="4" t="e">
        <f>IF(OR(P71="",P72="",P67="No Finish",P68="No Finish"),0,(N76-N74)*P71+N74)</f>
        <v>#DIV/0!</v>
      </c>
      <c r="O75" s="4" t="e">
        <f>IF(N75=N74,O74,IF(N75=N76,O76,IF(OR(P71="",P72="",P67="No Finish",P68="No Finish"),0,(O76-O74)*P71+O74)))</f>
        <v>#DIV/0!</v>
      </c>
      <c r="P75" s="5" t="e">
        <f>IF(O75&lt;&gt;0,(Q27-Q28)*P71+Q28,0)</f>
        <v>#DIV/0!</v>
      </c>
    </row>
    <row r="76" spans="2:17" s="4" customFormat="1" ht="12.75" customHeight="1" x14ac:dyDescent="0.55000000000000004">
      <c r="B76" s="15" t="s">
        <v>64</v>
      </c>
      <c r="C76" s="4">
        <f>C74*SQRT(C60)*(C69+C74/4*(C62*(-1+2*C69*C69)-C74/6*C69*(-3+4*C60)*(-3+4*C69*C69)))</f>
        <v>-3.3987559946337072E-5</v>
      </c>
      <c r="E76" s="4">
        <f ca="1">E74*SQRT(E60)*(E69+E74/4*(E62*(-1+2*E69*E69)-E74/6*E69*(-3+4*E60)*(-3+4*E69*E69)))</f>
        <v>-3.4057058907907167E-5</v>
      </c>
      <c r="L76" s="5"/>
      <c r="N76" s="4">
        <f>IF(AND(P67="Good Finish",P68="Good Finish"),M28,0)</f>
        <v>0</v>
      </c>
      <c r="O76" s="4">
        <f>IF(N76=0,0,P28)</f>
        <v>0</v>
      </c>
      <c r="P76"/>
      <c r="Q76" s="19" t="s">
        <v>47</v>
      </c>
    </row>
    <row r="77" spans="2:17" s="4" customFormat="1" ht="12.75" customHeight="1" x14ac:dyDescent="0.4">
      <c r="B77" s="13"/>
      <c r="L77" s="5"/>
    </row>
    <row r="78" spans="2:17" s="4" customFormat="1" ht="12.75" customHeight="1" x14ac:dyDescent="0.4">
      <c r="B78" s="17" t="s">
        <v>65</v>
      </c>
      <c r="L78" s="5"/>
    </row>
    <row r="79" spans="2:17" s="4" customFormat="1" ht="12.75" customHeight="1" x14ac:dyDescent="0.4">
      <c r="B79" s="13" t="s">
        <v>66</v>
      </c>
      <c r="C79" s="4">
        <f>C46/16*COS(ASIN(C67))*COS(ASIN(C67))*(4+C46*(4-3*COS(ASIN(C67))*COS(ASIN(C67))))</f>
        <v>3.4009385580292855E-4</v>
      </c>
      <c r="E79" s="4">
        <f ca="1">C46/16*COS(ASIN(E67))*COS(ASIN(E67))*(4+C46*(4-3*COS(ASIN(E67))*COS(ASIN(E67))))</f>
        <v>3.400796082397451E-4</v>
      </c>
      <c r="L79" s="5"/>
      <c r="M79" s="43" t="s">
        <v>29</v>
      </c>
      <c r="N79" s="43" t="s">
        <v>30</v>
      </c>
      <c r="O79" s="43" t="s">
        <v>31</v>
      </c>
      <c r="P79" s="35"/>
      <c r="Q79" s="43" t="s">
        <v>32</v>
      </c>
    </row>
    <row r="80" spans="2:17" s="4" customFormat="1" ht="12.75" customHeight="1" x14ac:dyDescent="0.55000000000000004">
      <c r="B80" s="17" t="s">
        <v>67</v>
      </c>
      <c r="L80" s="44" t="s">
        <v>68</v>
      </c>
      <c r="M80"/>
      <c r="N80"/>
      <c r="O80"/>
      <c r="Q80"/>
    </row>
    <row r="81" spans="2:17" s="4" customFormat="1" ht="12.75" customHeight="1" x14ac:dyDescent="0.4">
      <c r="B81" s="45" t="s">
        <v>17</v>
      </c>
      <c r="C81" s="4">
        <f>C47+(1-C79)*C46*C67*(ACOS(C62)+C79*SIN(ACOS(C62))*(C69+C79*C62*(-1+2*C69*C69)))</f>
        <v>-6.5822137892413257E-2</v>
      </c>
      <c r="E81" s="4">
        <f ca="1">C$47+(1-E$79)*C$46*E$67*(ACOS(E$62)+E$79*SIN(ACOS(E$62))*(E$69+E$79*E$62*(-1+2*E$69*E$69)))</f>
        <v>-6.5822403587485673E-2</v>
      </c>
      <c r="L81" s="5"/>
    </row>
    <row r="82" spans="2:17" s="4" customFormat="1" ht="12.75" customHeight="1" x14ac:dyDescent="0.4">
      <c r="B82" s="40" t="s">
        <v>69</v>
      </c>
      <c r="L82" s="5"/>
      <c r="N82" s="4">
        <f>IF(M80="N/A","N/A",M80*(COS(RADIANS(Q80))*SIN(RADIANS(P89))-SIN(RADIANS(Q80))*COS(RADIANS(P89))))</f>
        <v>0</v>
      </c>
      <c r="O82" s="4">
        <f>IF(M80="N/A","N/A",M80*(SIN(RADIANS(Q80))*SIN(RADIANS(P89))+COS(RADIANS(Q80))*COS(RADIANS(P89))))</f>
        <v>0</v>
      </c>
      <c r="P82" s="4" t="str">
        <f>IF(OR(N80=0,M80=0,AND(O82&lt;0,O83&gt;0)),"Good Finish","NO FINISH")</f>
        <v>Good Finish</v>
      </c>
    </row>
    <row r="83" spans="2:17" s="4" customFormat="1" ht="12.75" customHeight="1" x14ac:dyDescent="0.4">
      <c r="B83" s="13" t="s">
        <v>54</v>
      </c>
      <c r="C83" s="4">
        <f>IF(B98="samepoint",0,C45*C72*(ATAN(C64)-C76))</f>
        <v>325088.24959799257</v>
      </c>
      <c r="E83" s="4">
        <f ca="1">IF(B98="samepoint",0,C45*E72*(E65-E76))</f>
        <v>325737.87114355428</v>
      </c>
      <c r="L83" s="5"/>
      <c r="N83" s="4">
        <f>IF(N80="N/A","N/A",N80*(COS(RADIANS(Q80))*SIN(RADIANS(P91))-SIN(RADIANS(Q80))*COS(RADIANS(P91))))</f>
        <v>0</v>
      </c>
      <c r="O83" s="4">
        <f>IF(N80="N/A","N/A",N80*(SIN(RADIANS(Q80))*SIN(RADIANS(P91))+COS(RADIANS(Q80))*COS(RADIANS(P91))))</f>
        <v>0</v>
      </c>
      <c r="P83" s="4" t="str">
        <f>IF(OR(O82="N/A",O83="N/A",M29=""),"NO FINISH",IF(ABS(N87)&lt;0.5,"Good Finish","NO FINISH"))</f>
        <v>NO FINISH</v>
      </c>
    </row>
    <row r="84" spans="2:17" s="4" customFormat="1" ht="12.75" customHeight="1" x14ac:dyDescent="0.4">
      <c r="B84" s="17" t="s">
        <v>70</v>
      </c>
      <c r="L84" s="5"/>
      <c r="N84" s="4">
        <f>IF(OR(M80="N/A",N80="N/A"),"",N83-N82)</f>
        <v>0</v>
      </c>
      <c r="O84" s="4">
        <f>IF(OR(M80="N/A",N80="N/A"),"",O83-O82)</f>
        <v>0</v>
      </c>
    </row>
    <row r="85" spans="2:17" s="4" customFormat="1" ht="12.75" customHeight="1" x14ac:dyDescent="0.65">
      <c r="B85" s="13" t="s">
        <v>71</v>
      </c>
      <c r="E85" s="4">
        <f ca="1">C56*SIN(E81)/(C52*C55-C51*C56*COS(E81))</f>
        <v>15.153367122433581</v>
      </c>
      <c r="L85" s="5"/>
      <c r="N85" s="4" t="e">
        <f>IF(OR(M80="N/A",N80="N/A"),"",N84/SQRT(N84^2+O84^2))</f>
        <v>#DIV/0!</v>
      </c>
      <c r="O85" s="4" t="e">
        <f>IF(OR(M80="N/A",N80="N/A"),"",O84/SQRT(N84^2+O84^2))</f>
        <v>#DIV/0!</v>
      </c>
    </row>
    <row r="86" spans="2:17" s="4" customFormat="1" ht="12.75" customHeight="1" x14ac:dyDescent="0.4">
      <c r="B86" s="17" t="s">
        <v>72</v>
      </c>
      <c r="L86" s="5"/>
      <c r="N86" s="4" t="e">
        <f>IF(OR(M80="N/A",N80="N/A"),"",-O82/O85)</f>
        <v>#DIV/0!</v>
      </c>
      <c r="P86" s="4" t="e">
        <f>IF(OR(M80="N/A",N80="N/A"),"",IF(AND(O83&gt;=0,O82&lt;=0),N86/O80,""))</f>
        <v>#DIV/0!</v>
      </c>
    </row>
    <row r="87" spans="2:17" s="4" customFormat="1" ht="12.75" customHeight="1" x14ac:dyDescent="0.7">
      <c r="B87" s="13" t="s">
        <v>73</v>
      </c>
      <c r="E87" s="4">
        <f>C52*SIN(C81)/(-C51*C56+C52*C55*COS(C81))</f>
        <v>9.263315667567241</v>
      </c>
      <c r="L87" s="5"/>
      <c r="N87" s="4" t="e">
        <f>IF(OR(M80="N/A",N80="N/A"),"",N82+N86*N85)</f>
        <v>#DIV/0!</v>
      </c>
      <c r="P87" s="4" t="e">
        <f>IF(OR(M80="N/A",N80="N/A"),"",IF(AND(O83&gt;=0,O82&lt;=0),(O80-N86)/O80,""))</f>
        <v>#DIV/0!</v>
      </c>
    </row>
    <row r="88" spans="2:17" s="4" customFormat="1" ht="12.75" customHeight="1" x14ac:dyDescent="0.4">
      <c r="B88" s="13"/>
      <c r="L88" s="5"/>
    </row>
    <row r="89" spans="2:17" s="4" customFormat="1" ht="12.75" customHeight="1" x14ac:dyDescent="0.55000000000000004">
      <c r="B89" s="13"/>
      <c r="L89" s="5"/>
      <c r="N89" s="4">
        <f>IF(AND(P82="Good Finish",P83="Good Finish"),M28,0)</f>
        <v>0</v>
      </c>
      <c r="O89" s="4">
        <f>IF(N89=0,0,P28)</f>
        <v>0</v>
      </c>
      <c r="P89"/>
      <c r="Q89" s="19" t="s">
        <v>45</v>
      </c>
    </row>
    <row r="90" spans="2:17" s="4" customFormat="1" ht="12.75" customHeight="1" x14ac:dyDescent="0.4">
      <c r="B90" s="13"/>
      <c r="L90" s="5"/>
      <c r="N90" s="4" t="e">
        <f>IF(OR(P86="",P87="",P82="No Finish",P83="No Finish"),0,(N91-N89)*P86+N89)</f>
        <v>#DIV/0!</v>
      </c>
      <c r="O90" s="4" t="e">
        <f>IF(N90=N89,O89,IF(N90=N91,O91,IF(OR(P86="",P87="",P82="No Finish",P83="No Finish"),0,(O91-O89)*P86+O89)))</f>
        <v>#DIV/0!</v>
      </c>
      <c r="P90" s="5" t="e">
        <f>IF(O90&lt;&gt;0,(Q28-Q29)*P86+Q29,0)</f>
        <v>#DIV/0!</v>
      </c>
    </row>
    <row r="91" spans="2:17" s="4" customFormat="1" ht="12.75" customHeight="1" x14ac:dyDescent="0.55000000000000004">
      <c r="B91" s="46" t="s">
        <v>74</v>
      </c>
      <c r="E91" s="46" t="s">
        <v>75</v>
      </c>
      <c r="L91" s="5"/>
      <c r="N91" s="4">
        <f>IF(AND(P82="Good Finish",P83="Good Finish"),M29,0)</f>
        <v>0</v>
      </c>
      <c r="O91" s="4">
        <f>IF(N91=0,0,P29)</f>
        <v>0</v>
      </c>
      <c r="P91"/>
      <c r="Q91" s="19" t="s">
        <v>47</v>
      </c>
    </row>
    <row r="92" spans="2:17" s="4" customFormat="1" ht="12.75" customHeight="1" x14ac:dyDescent="0.6">
      <c r="B92" s="47" t="s">
        <v>76</v>
      </c>
      <c r="C92" s="4">
        <f ca="1">ATAN(E85)</f>
        <v>1.5048999403247301</v>
      </c>
      <c r="E92" s="47" t="s">
        <v>77</v>
      </c>
      <c r="F92" s="4">
        <f>ATAN(E87)</f>
        <v>1.4632600645974367</v>
      </c>
      <c r="I92" s="4">
        <f>ATAN2(E41-E39,E42-E40)*180/PI()</f>
        <v>-93.864068655623527</v>
      </c>
      <c r="J92" s="4">
        <f>ATAN2(E39-E41,E40-E42)*180/PI()</f>
        <v>86.135931344376473</v>
      </c>
      <c r="L92" s="5"/>
    </row>
    <row r="93" spans="2:17" s="4" customFormat="1" ht="12.75" customHeight="1" x14ac:dyDescent="0.6">
      <c r="B93" s="47" t="s">
        <v>78</v>
      </c>
      <c r="C93" s="4">
        <f ca="1">(C92/PI())*180+360</f>
        <v>446.22441517009645</v>
      </c>
      <c r="E93" s="47" t="s">
        <v>79</v>
      </c>
      <c r="F93" s="4">
        <f>(F92/PI())*180+180</f>
        <v>263.83862603147332</v>
      </c>
      <c r="I93" s="4">
        <f ca="1">IF(I92&lt;0,C92*180/PI()+360,C92*180/PI())</f>
        <v>446.22441517009645</v>
      </c>
      <c r="J93" s="4">
        <f>IF(J92&gt;0,F92*180/PI()+180,F92*180/PI())</f>
        <v>263.83862603147332</v>
      </c>
      <c r="L93" s="5"/>
    </row>
    <row r="94" spans="2:17" s="4" customFormat="1" ht="12.75" customHeight="1" x14ac:dyDescent="0.6">
      <c r="B94" s="47" t="s">
        <v>78</v>
      </c>
      <c r="C94" s="4">
        <f ca="1">IF(C93&gt;=360,C93-360,C93)</f>
        <v>86.224415170096449</v>
      </c>
      <c r="E94" s="47" t="s">
        <v>79</v>
      </c>
      <c r="F94" s="4">
        <f>IF(F93&gt;=360,F93-360,F93)</f>
        <v>263.83862603147332</v>
      </c>
      <c r="I94" s="4">
        <f ca="1">ATAN2((C52*C55-C51*C56*COS(E81)),C56*SIN(E81))</f>
        <v>-1.636692713265063</v>
      </c>
      <c r="J94" s="4">
        <f ca="1">ATAN2((-C51*C56+C52*C55*COS(E81)),C52*SIN(E81))</f>
        <v>-1.6783323245341757</v>
      </c>
    </row>
    <row r="95" spans="2:17" s="4" customFormat="1" ht="12.75" customHeight="1" x14ac:dyDescent="0.6">
      <c r="B95" s="47" t="s">
        <v>78</v>
      </c>
      <c r="C95" s="4">
        <f ca="1">IF(B98="samepoint",0,IF(B99="northsouth",0,IF(B100="southnorth",180,C94)))</f>
        <v>86.224415170096449</v>
      </c>
      <c r="E95" s="47" t="s">
        <v>79</v>
      </c>
      <c r="F95" s="4">
        <f>IF(B98="samepoint",0,IF(B99="northsouth",180,IF(B100="southnorth",0,F94)))</f>
        <v>263.83862603147332</v>
      </c>
      <c r="I95" s="4">
        <f ca="1">IF(B98="samepoint",0,IF(B99="northsouth",0,IF(B100="southnorth",180,IF(I94&lt;0,I94*180/PI()+360,I94*180/PI()))))</f>
        <v>266.22441517009645</v>
      </c>
      <c r="J95" s="4">
        <f ca="1">IF(B98="samepoint",0,IF(B99="northsouth",180,IF(B100="southnorth",0,J94*180/PI()+180)))</f>
        <v>83.83864118381095</v>
      </c>
    </row>
    <row r="96" spans="2:17" s="4" customFormat="1" ht="12.75" customHeight="1" x14ac:dyDescent="0.4">
      <c r="B96" s="47"/>
    </row>
    <row r="97" spans="2:3" s="4" customFormat="1" ht="12.75" customHeight="1" x14ac:dyDescent="0.4">
      <c r="B97" s="48" t="s">
        <v>80</v>
      </c>
    </row>
    <row r="98" spans="2:3" s="4" customFormat="1" ht="12.75" customHeight="1" x14ac:dyDescent="0.4">
      <c r="B98" s="4" t="str">
        <f>IF(AND(C39=C41,C40=C42),"samepoint","N.A. " )</f>
        <v xml:space="preserve">N.A. </v>
      </c>
      <c r="C98" s="39" t="s">
        <v>81</v>
      </c>
    </row>
    <row r="99" spans="2:3" s="4" customFormat="1" ht="12.75" customHeight="1" x14ac:dyDescent="0.4">
      <c r="B99" s="4" t="str">
        <f>IF(AND(C40=C42,C41&gt;C39),"northsouth","N.A. ")</f>
        <v xml:space="preserve">N.A. </v>
      </c>
      <c r="C99" s="39" t="s">
        <v>82</v>
      </c>
    </row>
    <row r="100" spans="2:3" s="4" customFormat="1" ht="12.75" customHeight="1" x14ac:dyDescent="0.4">
      <c r="B100" s="4" t="str">
        <f>IF(AND(C40=C42,C39&gt;C41),"southnorth","N.A. ")</f>
        <v xml:space="preserve">N.A. </v>
      </c>
      <c r="C100" s="39" t="s">
        <v>83</v>
      </c>
    </row>
  </sheetData>
  <mergeCells count="1">
    <mergeCell ref="M33:O33"/>
  </mergeCells>
  <printOptions gridLines="1" gridLinesSet="0"/>
  <pageMargins left="0.25" right="0.13" top="0.76" bottom="0.71" header="0.5" footer="0.5"/>
  <pageSetup paperSize="9" scale="80" orientation="portrait" horizontalDpi="180" verticalDpi="180" r:id="rId1"/>
  <headerFooter alignWithMargins="0">
    <oddHeader>&amp;C&amp;F&amp;RInverse Solution</oddHeader>
    <oddFooter>&amp;L&amp;D&amp;CGDA Technical Mmanual</oddFooter>
  </headerFooter>
  <drawing r:id="rId2"/>
  <legacyDrawing r:id="rId3"/>
  <oleObjects>
    <mc:AlternateContent xmlns:mc="http://schemas.openxmlformats.org/markup-compatibility/2006">
      <mc:Choice Requires="x14">
        <oleObject progId="Equation.3" shapeId="1025" r:id="rId4">
          <objectPr defaultSize="0" autoFill="0" autoLine="0" autoPict="0" r:id="rId5">
            <anchor moveWithCells="1" sizeWithCells="1">
              <from>
                <xdr:col>1</xdr:col>
                <xdr:colOff>68580</xdr:colOff>
                <xdr:row>69</xdr:row>
                <xdr:rowOff>0</xdr:rowOff>
              </from>
              <to>
                <xdr:col>4</xdr:col>
                <xdr:colOff>685800</xdr:colOff>
                <xdr:row>69</xdr:row>
                <xdr:rowOff>0</xdr:rowOff>
              </to>
            </anchor>
          </objectPr>
        </oleObject>
      </mc:Choice>
      <mc:Fallback>
        <oleObject progId="Equation.3" shapeId="1025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4" x14ac:dyDescent="0.5500000000000000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5500000000000000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9:M33"/>
  <sheetViews>
    <sheetView workbookViewId="0"/>
  </sheetViews>
  <sheetFormatPr defaultRowHeight="14.4" x14ac:dyDescent="0.55000000000000004"/>
  <sheetData>
    <row r="9" spans="3:3" x14ac:dyDescent="0.55000000000000004">
      <c r="C9" s="50" t="s">
        <v>84</v>
      </c>
    </row>
    <row r="13" spans="3:3" x14ac:dyDescent="0.55000000000000004">
      <c r="C13" s="50" t="s">
        <v>85</v>
      </c>
    </row>
    <row r="18" spans="3:13" x14ac:dyDescent="0.55000000000000004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</row>
    <row r="19" spans="3:13" x14ac:dyDescent="0.55000000000000004">
      <c r="C19" s="50" t="s">
        <v>86</v>
      </c>
    </row>
    <row r="26" spans="3:13" x14ac:dyDescent="0.55000000000000004">
      <c r="C26" s="50" t="s">
        <v>87</v>
      </c>
    </row>
    <row r="33" spans="3:13" x14ac:dyDescent="0.55000000000000004"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</row>
  </sheetData>
  <mergeCells count="2">
    <mergeCell ref="C18:M18"/>
    <mergeCell ref="C33:M3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5500000000000000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YDWK3</vt:lpstr>
      <vt:lpstr>Sheet2</vt:lpstr>
      <vt:lpstr>Sheet3</vt:lpstr>
      <vt:lpstr>TASKS</vt:lpstr>
      <vt:lpstr>B</vt:lpstr>
      <vt:lpstr>Link</vt:lpstr>
      <vt:lpstr>YDWK3!Print_Area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2018-04-05T20:29:20Z</dcterms:created>
  <dcterms:modified xsi:type="dcterms:W3CDTF">2018-08-06T22:48:04Z</dcterms:modified>
</cp:coreProperties>
</file>