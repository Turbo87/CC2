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aveExternalLinkValues="0" codeName="ThisWorkbook"/>
  <workbookProtection workbookPassword="C630" lockStructure="1"/>
  <bookViews>
    <workbookView xWindow="240" yWindow="690" windowWidth="20118" windowHeight="9750"/>
  </bookViews>
  <sheets>
    <sheet name="Saved Way Points" sheetId="5" r:id="rId1"/>
    <sheet name="Calibration" sheetId="6" r:id="rId2"/>
  </sheets>
  <calcPr calcId="145621" iterateCount="50"/>
</workbook>
</file>

<file path=xl/calcChain.xml><?xml version="1.0" encoding="utf-8"?>
<calcChain xmlns="http://schemas.openxmlformats.org/spreadsheetml/2006/main">
  <c r="M24" i="6" l="1"/>
  <c r="M23" i="6"/>
  <c r="M22" i="6"/>
  <c r="M21" i="6"/>
  <c r="M20" i="6"/>
  <c r="M19" i="6"/>
  <c r="M18" i="6"/>
  <c r="M17" i="6"/>
  <c r="M16" i="6"/>
  <c r="M15" i="6"/>
  <c r="M14" i="6"/>
  <c r="B54" i="6"/>
  <c r="C54" i="6"/>
  <c r="D54" i="6"/>
  <c r="E54" i="6"/>
  <c r="F54" i="6"/>
  <c r="G54" i="6"/>
  <c r="H54" i="6"/>
  <c r="I54" i="6"/>
  <c r="J54" i="6"/>
  <c r="K54" i="6"/>
  <c r="A54" i="6"/>
  <c r="A53" i="6" s="1"/>
  <c r="C14" i="6"/>
  <c r="B50" i="5" l="1"/>
  <c r="B51" i="5"/>
  <c r="B52" i="5"/>
  <c r="B53" i="5"/>
  <c r="B54" i="5"/>
  <c r="B55" i="5"/>
  <c r="B56" i="5"/>
  <c r="B57" i="5"/>
  <c r="B58" i="5"/>
  <c r="B59" i="5"/>
  <c r="B60" i="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14" i="6" l="1"/>
  <c r="C10" i="6" l="1"/>
  <c r="B10" i="6"/>
  <c r="B13" i="6"/>
  <c r="B12" i="6"/>
  <c r="B11" i="6"/>
  <c r="B16" i="6" l="1"/>
  <c r="C13" i="6" s="1"/>
  <c r="B17" i="6" l="1"/>
  <c r="C16" i="6" s="1"/>
  <c r="D16" i="6" l="1"/>
  <c r="B18" i="6"/>
  <c r="C12" i="6" l="1"/>
  <c r="C15" i="6" l="1"/>
  <c r="B8" i="6"/>
  <c r="L6" i="6"/>
  <c r="N16" i="5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N39" i="5"/>
  <c r="N38" i="5"/>
  <c r="N37" i="5"/>
  <c r="N36" i="5"/>
  <c r="N35" i="5"/>
  <c r="N34" i="5"/>
  <c r="N33" i="5"/>
  <c r="N32" i="5"/>
  <c r="N31" i="5"/>
  <c r="N30" i="5"/>
  <c r="N29" i="5"/>
  <c r="N28" i="5"/>
  <c r="N27" i="5"/>
  <c r="N26" i="5"/>
  <c r="N25" i="5"/>
  <c r="N24" i="5"/>
  <c r="N23" i="5"/>
  <c r="N22" i="5"/>
  <c r="N21" i="5"/>
  <c r="N20" i="5"/>
  <c r="N19" i="5"/>
  <c r="N18" i="5"/>
  <c r="N17" i="5"/>
  <c r="N40" i="5"/>
  <c r="O10" i="5" l="1"/>
  <c r="N9" i="5" s="1"/>
  <c r="G48" i="6"/>
  <c r="A55" i="6"/>
  <c r="I2" i="5" l="1"/>
  <c r="L7" i="6"/>
  <c r="L8" i="6" s="1"/>
  <c r="I3" i="5"/>
  <c r="J2" i="5"/>
</calcChain>
</file>

<file path=xl/sharedStrings.xml><?xml version="1.0" encoding="utf-8"?>
<sst xmlns="http://schemas.openxmlformats.org/spreadsheetml/2006/main" count="110" uniqueCount="89">
  <si>
    <t>Coordinate Format</t>
  </si>
  <si>
    <t>Latitude</t>
  </si>
  <si>
    <t>Longitude</t>
  </si>
  <si>
    <t>Degrees</t>
  </si>
  <si>
    <t>Minutes</t>
  </si>
  <si>
    <t>.mmm</t>
  </si>
  <si>
    <t>Seconds</t>
  </si>
  <si>
    <t>N or S</t>
  </si>
  <si>
    <t>E or W</t>
  </si>
  <si>
    <t>N</t>
  </si>
  <si>
    <t>E</t>
  </si>
  <si>
    <t xml:space="preserve">                     SELECT ONE</t>
  </si>
  <si>
    <t>Way Point</t>
  </si>
  <si>
    <t>S</t>
  </si>
  <si>
    <t>W</t>
  </si>
  <si>
    <t>DD:MM.mmm (Degrees &amp; decimal minutes)</t>
  </si>
  <si>
    <t>Name</t>
  </si>
  <si>
    <t>DD:MM:SS (Degrees, Minutes &amp; Seconds)</t>
  </si>
  <si>
    <t xml:space="preserve">AMEND OR DELETE A SAVED WAY POINT     </t>
  </si>
  <si>
    <t>Scroll Down to View / Exit</t>
  </si>
  <si>
    <r>
      <t xml:space="preserve">Unique Name         </t>
    </r>
    <r>
      <rPr>
        <b/>
        <sz val="9"/>
        <color indexed="8"/>
        <rFont val="Arial"/>
        <family val="2"/>
      </rPr>
      <t xml:space="preserve"> </t>
    </r>
    <r>
      <rPr>
        <b/>
        <i/>
        <sz val="8"/>
        <color indexed="8"/>
        <rFont val="Arial"/>
        <family val="2"/>
      </rPr>
      <t>CASE SENSITIVE</t>
    </r>
    <r>
      <rPr>
        <b/>
        <sz val="9"/>
        <rFont val="Arial"/>
        <family val="2"/>
      </rPr>
      <t xml:space="preserve">          4 character MAX</t>
    </r>
  </si>
  <si>
    <r>
      <rPr>
        <b/>
        <sz val="11"/>
        <rFont val="Arial"/>
        <family val="2"/>
      </rPr>
      <t>Important!</t>
    </r>
    <r>
      <rPr>
        <sz val="11"/>
        <rFont val="Arial"/>
        <family val="2"/>
      </rPr>
      <t xml:space="preserve"> Edit </t>
    </r>
    <r>
      <rPr>
        <b/>
        <sz val="11"/>
        <color indexed="10"/>
        <rFont val="Arial"/>
        <family val="2"/>
      </rPr>
      <t>Red</t>
    </r>
    <r>
      <rPr>
        <sz val="11"/>
        <rFont val="Arial"/>
        <family val="2"/>
      </rPr>
      <t xml:space="preserve"> Way Point Names  below to remove duplicates</t>
    </r>
  </si>
  <si>
    <r>
      <rPr>
        <b/>
        <i/>
        <sz val="11"/>
        <rFont val="Arial"/>
        <family val="2"/>
      </rPr>
      <t>Other editing must be done one Way Point at a time...</t>
    </r>
    <r>
      <rPr>
        <b/>
        <sz val="11"/>
        <rFont val="Arial"/>
        <family val="2"/>
      </rPr>
      <t xml:space="preserve">                                                                                                                                </t>
    </r>
    <r>
      <rPr>
        <b/>
        <i/>
        <sz val="11"/>
        <rFont val="Arial"/>
        <family val="2"/>
      </rPr>
      <t>... to amend a WP:</t>
    </r>
    <r>
      <rPr>
        <sz val="11"/>
        <rFont val="Arial"/>
        <family val="2"/>
      </rPr>
      <t xml:space="preserve"> (1) delete its name below; (2) enter correct data above; and (3) click "SAVE"</t>
    </r>
    <r>
      <rPr>
        <i/>
        <sz val="11"/>
        <rFont val="Arial"/>
        <family val="2"/>
      </rPr>
      <t xml:space="preserve">                                  </t>
    </r>
    <r>
      <rPr>
        <sz val="11"/>
        <rFont val="Arial"/>
        <family val="2"/>
      </rPr>
      <t xml:space="preserve">                                       </t>
    </r>
    <r>
      <rPr>
        <b/>
        <sz val="11"/>
        <rFont val="Arial"/>
        <family val="2"/>
      </rPr>
      <t xml:space="preserve"> </t>
    </r>
    <r>
      <rPr>
        <b/>
        <i/>
        <sz val="11"/>
        <rFont val="Arial"/>
        <family val="2"/>
      </rPr>
      <t>... to delete a WP:</t>
    </r>
    <r>
      <rPr>
        <sz val="11"/>
        <rFont val="Arial"/>
        <family val="2"/>
      </rPr>
      <t xml:space="preserve"> (1) delete its name below; (2) do NOT enter data above; and (3) click "SAVE"                                                                   </t>
    </r>
  </si>
  <si>
    <t xml:space="preserve">            Click on the glider to continue</t>
  </si>
  <si>
    <t xml:space="preserve">LAB </t>
  </si>
  <si>
    <t>FR</t>
  </si>
  <si>
    <t xml:space="preserve">            Click on the glider to save</t>
  </si>
  <si>
    <t xml:space="preserve">Units: </t>
  </si>
  <si>
    <t>Altitudes MSL</t>
  </si>
  <si>
    <t xml:space="preserve">          FR MANUFACTURER CODE</t>
  </si>
  <si>
    <t xml:space="preserve">CALIBRATION DATA </t>
  </si>
  <si>
    <t>Save calibration figures for one or up to 10 FRs. See details in the CLAIM CHECK User Guide</t>
  </si>
  <si>
    <t xml:space="preserve">       SELECT</t>
  </si>
  <si>
    <t xml:space="preserve">      METRES</t>
  </si>
  <si>
    <t xml:space="preserve">         FEET</t>
  </si>
  <si>
    <t xml:space="preserve">FR Serial #: </t>
  </si>
  <si>
    <t>For Written Declarations:  ADD A SAVED WAY POINT</t>
  </si>
  <si>
    <t>CAM</t>
  </si>
  <si>
    <t>ACT</t>
  </si>
  <si>
    <t>DSX</t>
  </si>
  <si>
    <t>EWA</t>
  </si>
  <si>
    <t>FIL</t>
  </si>
  <si>
    <t>FLA</t>
  </si>
  <si>
    <t>GCS</t>
  </si>
  <si>
    <t>IMI</t>
  </si>
  <si>
    <t>LXN</t>
  </si>
  <si>
    <t>LXV</t>
  </si>
  <si>
    <t>NKL</t>
  </si>
  <si>
    <t>NTE</t>
  </si>
  <si>
    <t>PES</t>
  </si>
  <si>
    <t>PRT</t>
  </si>
  <si>
    <t>SCH</t>
  </si>
  <si>
    <t>SDI</t>
  </si>
  <si>
    <t>TRI</t>
  </si>
  <si>
    <t>WES</t>
  </si>
  <si>
    <t>ZAN</t>
  </si>
  <si>
    <t xml:space="preserve">Last Calibration Date: </t>
  </si>
  <si>
    <t>Start / Clear</t>
  </si>
  <si>
    <t>*</t>
  </si>
  <si>
    <t>Data Entry Required</t>
  </si>
  <si>
    <t>End / Exit</t>
  </si>
  <si>
    <t>END / EXIT</t>
  </si>
  <si>
    <t>LGS</t>
  </si>
  <si>
    <t>PFE</t>
  </si>
  <si>
    <t>CNI</t>
  </si>
  <si>
    <t>NAV</t>
  </si>
  <si>
    <t xml:space="preserve">                            ACT</t>
  </si>
  <si>
    <t xml:space="preserve">                            CAM</t>
  </si>
  <si>
    <t xml:space="preserve">                            CNI</t>
  </si>
  <si>
    <t xml:space="preserve">                            DSX</t>
  </si>
  <si>
    <t xml:space="preserve">                            EWA</t>
  </si>
  <si>
    <t xml:space="preserve">                            FIL</t>
  </si>
  <si>
    <t xml:space="preserve">                            FLA</t>
  </si>
  <si>
    <t xml:space="preserve">                            GCS</t>
  </si>
  <si>
    <t xml:space="preserve">                            IMI</t>
  </si>
  <si>
    <t xml:space="preserve">                            LGS</t>
  </si>
  <si>
    <t xml:space="preserve">                            LXN</t>
  </si>
  <si>
    <t xml:space="preserve">                            LXV</t>
  </si>
  <si>
    <t xml:space="preserve">                            NAV</t>
  </si>
  <si>
    <t xml:space="preserve">                            NKL</t>
  </si>
  <si>
    <t xml:space="preserve">                            NTE</t>
  </si>
  <si>
    <t xml:space="preserve">                            PES</t>
  </si>
  <si>
    <t xml:space="preserve">                            PFE</t>
  </si>
  <si>
    <t xml:space="preserve">                            PRT</t>
  </si>
  <si>
    <t xml:space="preserve">                            SCH</t>
  </si>
  <si>
    <t xml:space="preserve">                            SDI</t>
  </si>
  <si>
    <t xml:space="preserve">                            TRI</t>
  </si>
  <si>
    <t xml:space="preserve">                            WES</t>
  </si>
  <si>
    <t xml:space="preserve">                            ZAN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</si>
</sst>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\°"/>
    <numFmt numFmtId="165" formatCode="0.000"/>
    <numFmt numFmtId="166" formatCode="[$-409]d\-mmm\-yy;@"/>
  </numFmts>
  <fonts count="3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Arial"/>
      <family val="2"/>
    </font>
    <font>
      <sz val="12"/>
      <name val="Arial"/>
      <family val="2"/>
    </font>
    <font>
      <sz val="11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1"/>
      <color indexed="10"/>
      <name val="Arial"/>
      <family val="2"/>
    </font>
    <font>
      <b/>
      <sz val="9"/>
      <color indexed="8"/>
      <name val="Arial"/>
      <family val="2"/>
    </font>
    <font>
      <b/>
      <i/>
      <sz val="8"/>
      <color indexed="8"/>
      <name val="Arial"/>
      <family val="2"/>
    </font>
    <font>
      <b/>
      <i/>
      <sz val="11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2"/>
      <color theme="0"/>
      <name val="Arial"/>
      <family val="2"/>
    </font>
    <font>
      <b/>
      <i/>
      <sz val="12"/>
      <color rgb="FF005DA2"/>
      <name val="Arial"/>
      <family val="2"/>
    </font>
    <font>
      <sz val="11"/>
      <name val="Calibri"/>
      <family val="2"/>
      <scheme val="minor"/>
    </font>
    <font>
      <b/>
      <i/>
      <sz val="10"/>
      <color rgb="FF0070C0"/>
      <name val="Arial"/>
      <family val="2"/>
    </font>
    <font>
      <sz val="11"/>
      <color rgb="FFFF0000"/>
      <name val="Arial"/>
      <family val="2"/>
    </font>
    <font>
      <b/>
      <sz val="11"/>
      <color theme="1"/>
      <name val="Calibri"/>
      <family val="2"/>
      <scheme val="minor"/>
    </font>
    <font>
      <sz val="14"/>
      <color rgb="FF0000FF"/>
      <name val="Webdings"/>
      <family val="1"/>
      <charset val="2"/>
    </font>
    <font>
      <sz val="18"/>
      <color rgb="FFFF0000"/>
      <name val="Arial"/>
      <family val="2"/>
    </font>
    <font>
      <sz val="18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1"/>
      <name val="Calibri"/>
      <family val="2"/>
      <scheme val="minor"/>
    </font>
    <font>
      <sz val="11"/>
      <color rgb="FF0000FF"/>
      <name val="Arial"/>
      <family val="2"/>
    </font>
    <font>
      <sz val="20"/>
      <color theme="0"/>
      <name val="Arial"/>
      <family val="2"/>
    </font>
    <font>
      <b/>
      <sz val="11"/>
      <color rgb="FF0000FF"/>
      <name val="Arial"/>
      <family val="2"/>
    </font>
    <font>
      <sz val="11"/>
      <color theme="0"/>
      <name val="Arial"/>
      <family val="2"/>
    </font>
    <font>
      <sz val="11"/>
      <color theme="1"/>
      <name val="Arial"/>
      <family val="2"/>
    </font>
    <font>
      <b/>
      <sz val="11"/>
      <color rgb="FFFFFF00"/>
      <name val="Arial"/>
      <family val="2"/>
    </font>
    <font>
      <sz val="11"/>
      <color rgb="FFFF0000"/>
      <name val="Calibri"/>
      <family val="2"/>
      <scheme val="minor"/>
    </font>
    <font>
      <sz val="12"/>
      <color rgb="FFFF0000"/>
      <name val="Arial"/>
      <family val="2"/>
    </font>
    <font>
      <sz val="10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FDAFF"/>
        <bgColor indexed="64"/>
      </patternFill>
    </fill>
    <fill>
      <patternFill patternType="solid">
        <fgColor rgb="FFAFAFFF"/>
        <bgColor indexed="64"/>
      </patternFill>
    </fill>
    <fill>
      <patternFill patternType="solid">
        <fgColor rgb="FFD9D9FF"/>
        <bgColor indexed="64"/>
      </patternFill>
    </fill>
    <fill>
      <patternFill patternType="solid">
        <fgColor rgb="FF98D9F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5FFE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FF"/>
      </left>
      <right/>
      <top style="medium">
        <color rgb="FF0000FF"/>
      </top>
      <bottom style="medium">
        <color rgb="FF0000FF"/>
      </bottom>
      <diagonal/>
    </border>
    <border>
      <left/>
      <right style="medium">
        <color rgb="FF0000FF"/>
      </right>
      <top style="medium">
        <color rgb="FF0000FF"/>
      </top>
      <bottom style="medium">
        <color rgb="FF0000FF"/>
      </bottom>
      <diagonal/>
    </border>
    <border>
      <left style="thin">
        <color indexed="64"/>
      </left>
      <right/>
      <top/>
      <bottom/>
      <diagonal/>
    </border>
    <border>
      <left style="medium">
        <color rgb="FFFFFF00"/>
      </left>
      <right/>
      <top style="medium">
        <color rgb="FFFFFF00"/>
      </top>
      <bottom/>
      <diagonal/>
    </border>
    <border>
      <left/>
      <right style="medium">
        <color rgb="FFFFFF00"/>
      </right>
      <top style="medium">
        <color rgb="FFFFFF00"/>
      </top>
      <bottom/>
      <diagonal/>
    </border>
    <border>
      <left style="medium">
        <color rgb="FFFFFF00"/>
      </left>
      <right/>
      <top/>
      <bottom style="medium">
        <color rgb="FFFFFF00"/>
      </bottom>
      <diagonal/>
    </border>
    <border>
      <left/>
      <right style="medium">
        <color rgb="FFFFFF00"/>
      </right>
      <top/>
      <bottom style="medium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</borders>
  <cellStyleXfs count="2">
    <xf numFmtId="0" fontId="0" fillId="0" borderId="0"/>
    <xf numFmtId="0" fontId="1" fillId="0" borderId="0"/>
  </cellStyleXfs>
  <cellXfs count="180">
    <xf numFmtId="0" fontId="0" fillId="0" borderId="0" xfId="0"/>
    <xf numFmtId="0" fontId="1" fillId="0" borderId="0" xfId="1" applyProtection="1">
      <protection hidden="1"/>
    </xf>
    <xf numFmtId="0" fontId="15" fillId="0" borderId="0" xfId="1" applyFont="1" applyProtection="1">
      <protection hidden="1"/>
    </xf>
    <xf numFmtId="0" fontId="16" fillId="0" borderId="0" xfId="1" applyFont="1" applyProtection="1">
      <protection hidden="1"/>
    </xf>
    <xf numFmtId="0" fontId="3" fillId="0" borderId="0" xfId="1" applyFont="1" applyProtection="1">
      <protection hidden="1"/>
    </xf>
    <xf numFmtId="0" fontId="6" fillId="0" borderId="0" xfId="1" applyFont="1" applyFill="1" applyBorder="1" applyAlignment="1" applyProtection="1">
      <alignment horizontal="center" vertical="center"/>
      <protection hidden="1"/>
    </xf>
    <xf numFmtId="0" fontId="1" fillId="0" borderId="0" xfId="1" applyFont="1" applyProtection="1">
      <protection hidden="1"/>
    </xf>
    <xf numFmtId="0" fontId="5" fillId="2" borderId="0" xfId="1" applyFont="1" applyFill="1" applyBorder="1" applyAlignment="1" applyProtection="1">
      <alignment vertical="center" wrapText="1"/>
      <protection hidden="1"/>
    </xf>
    <xf numFmtId="0" fontId="1" fillId="0" borderId="0" xfId="1"/>
    <xf numFmtId="0" fontId="7" fillId="2" borderId="1" xfId="1" applyFont="1" applyFill="1" applyBorder="1" applyAlignment="1" applyProtection="1">
      <alignment horizontal="center" vertical="center"/>
      <protection hidden="1"/>
    </xf>
    <xf numFmtId="0" fontId="1" fillId="0" borderId="0" xfId="1" applyFont="1" applyBorder="1" applyAlignment="1" applyProtection="1">
      <alignment vertical="center"/>
      <protection hidden="1"/>
    </xf>
    <xf numFmtId="0" fontId="1" fillId="0" borderId="0" xfId="1" applyFont="1" applyFill="1" applyProtection="1">
      <protection hidden="1"/>
    </xf>
    <xf numFmtId="0" fontId="6" fillId="0" borderId="2" xfId="1" applyFont="1" applyFill="1" applyBorder="1" applyAlignment="1" applyProtection="1">
      <alignment vertical="center" wrapText="1"/>
      <protection hidden="1"/>
    </xf>
    <xf numFmtId="0" fontId="1" fillId="0" borderId="0" xfId="1" applyFont="1" applyFill="1" applyBorder="1" applyAlignment="1" applyProtection="1">
      <alignment vertical="center"/>
      <protection hidden="1"/>
    </xf>
    <xf numFmtId="0" fontId="1" fillId="0" borderId="0" xfId="1" applyFill="1" applyProtection="1">
      <protection hidden="1"/>
    </xf>
    <xf numFmtId="0" fontId="6" fillId="0" borderId="0" xfId="1" applyFont="1" applyFill="1" applyBorder="1" applyAlignment="1" applyProtection="1">
      <alignment vertical="center" wrapText="1"/>
      <protection hidden="1"/>
    </xf>
    <xf numFmtId="0" fontId="6" fillId="0" borderId="0" xfId="1" applyFont="1" applyFill="1" applyBorder="1" applyAlignment="1" applyProtection="1">
      <alignment horizontal="center" vertical="center" wrapText="1"/>
      <protection hidden="1"/>
    </xf>
    <xf numFmtId="0" fontId="1" fillId="0" borderId="3" xfId="1" applyFont="1" applyBorder="1" applyAlignment="1" applyProtection="1">
      <alignment horizontal="center" vertical="center"/>
      <protection hidden="1"/>
    </xf>
    <xf numFmtId="0" fontId="1" fillId="0" borderId="3" xfId="1" applyFont="1" applyBorder="1" applyAlignment="1" applyProtection="1">
      <alignment horizontal="center" vertical="center" wrapText="1"/>
      <protection locked="0" hidden="1"/>
    </xf>
    <xf numFmtId="164" fontId="1" fillId="0" borderId="4" xfId="1" applyNumberFormat="1" applyFont="1" applyBorder="1" applyAlignment="1" applyProtection="1">
      <alignment horizontal="center" vertical="center"/>
      <protection locked="0" hidden="1"/>
    </xf>
    <xf numFmtId="0" fontId="1" fillId="0" borderId="3" xfId="1" applyFont="1" applyBorder="1" applyAlignment="1" applyProtection="1">
      <alignment horizontal="center" vertical="center"/>
      <protection locked="0" hidden="1"/>
    </xf>
    <xf numFmtId="0" fontId="1" fillId="0" borderId="5" xfId="1" applyFont="1" applyBorder="1" applyAlignment="1" applyProtection="1">
      <alignment horizontal="center" vertical="center"/>
      <protection locked="0" hidden="1"/>
    </xf>
    <xf numFmtId="0" fontId="1" fillId="0" borderId="6" xfId="1" applyFont="1" applyBorder="1" applyAlignment="1" applyProtection="1">
      <alignment horizontal="center" vertical="center"/>
      <protection locked="0" hidden="1"/>
    </xf>
    <xf numFmtId="0" fontId="1" fillId="0" borderId="5" xfId="1" applyFont="1" applyBorder="1" applyAlignment="1" applyProtection="1">
      <alignment horizontal="center" vertical="center" wrapText="1"/>
      <protection locked="0" hidden="1"/>
    </xf>
    <xf numFmtId="0" fontId="1" fillId="0" borderId="7" xfId="1" applyFont="1" applyBorder="1" applyAlignment="1" applyProtection="1">
      <alignment horizontal="center" vertical="center" wrapText="1"/>
      <protection locked="0" hidden="1"/>
    </xf>
    <xf numFmtId="0" fontId="1" fillId="0" borderId="0" xfId="1" applyAlignment="1" applyProtection="1">
      <alignment horizontal="right" vertical="center"/>
      <protection hidden="1"/>
    </xf>
    <xf numFmtId="0" fontId="1" fillId="0" borderId="0" xfId="1" applyFont="1" applyBorder="1" applyAlignment="1" applyProtection="1">
      <alignment horizontal="center" vertical="center" wrapText="1"/>
      <protection hidden="1"/>
    </xf>
    <xf numFmtId="164" fontId="1" fillId="0" borderId="0" xfId="1" applyNumberFormat="1" applyFont="1" applyBorder="1" applyAlignment="1" applyProtection="1">
      <alignment horizontal="center" vertical="center"/>
      <protection hidden="1"/>
    </xf>
    <xf numFmtId="0" fontId="1" fillId="0" borderId="0" xfId="1" applyFont="1" applyBorder="1" applyAlignment="1" applyProtection="1">
      <alignment horizontal="center" vertical="center"/>
      <protection hidden="1"/>
    </xf>
    <xf numFmtId="164" fontId="4" fillId="3" borderId="8" xfId="1" applyNumberFormat="1" applyFont="1" applyFill="1" applyBorder="1" applyAlignment="1" applyProtection="1">
      <alignment horizontal="center" vertical="center"/>
      <protection hidden="1"/>
    </xf>
    <xf numFmtId="0" fontId="4" fillId="3" borderId="8" xfId="1" applyFont="1" applyFill="1" applyBorder="1" applyAlignment="1" applyProtection="1">
      <alignment horizontal="center" vertical="center"/>
      <protection hidden="1"/>
    </xf>
    <xf numFmtId="0" fontId="1" fillId="2" borderId="0" xfId="1" applyFill="1" applyProtection="1">
      <protection hidden="1"/>
    </xf>
    <xf numFmtId="0" fontId="1" fillId="4" borderId="0" xfId="1" applyFill="1" applyProtection="1">
      <protection hidden="1"/>
    </xf>
    <xf numFmtId="0" fontId="2" fillId="5" borderId="9" xfId="1" applyFont="1" applyFill="1" applyBorder="1" applyAlignment="1" applyProtection="1">
      <alignment horizontal="center"/>
      <protection hidden="1"/>
    </xf>
    <xf numFmtId="164" fontId="4" fillId="0" borderId="0" xfId="1" applyNumberFormat="1" applyFont="1" applyFill="1" applyBorder="1" applyAlignment="1" applyProtection="1">
      <alignment horizontal="center" vertical="center"/>
      <protection hidden="1"/>
    </xf>
    <xf numFmtId="0" fontId="4" fillId="0" borderId="0" xfId="1" applyFont="1" applyFill="1" applyBorder="1" applyAlignment="1" applyProtection="1">
      <alignment horizontal="center" vertical="center"/>
      <protection hidden="1"/>
    </xf>
    <xf numFmtId="49" fontId="1" fillId="0" borderId="3" xfId="1" applyNumberFormat="1" applyFont="1" applyBorder="1" applyAlignment="1" applyProtection="1">
      <alignment horizontal="center" vertical="center" wrapText="1"/>
      <protection locked="0" hidden="1"/>
    </xf>
    <xf numFmtId="0" fontId="16" fillId="0" borderId="0" xfId="1" applyFont="1" applyBorder="1" applyAlignment="1" applyProtection="1">
      <alignment vertical="center"/>
      <protection hidden="1"/>
    </xf>
    <xf numFmtId="0" fontId="16" fillId="0" borderId="0" xfId="1" applyFont="1" applyFill="1" applyBorder="1" applyAlignment="1" applyProtection="1">
      <alignment vertical="center"/>
      <protection hidden="1"/>
    </xf>
    <xf numFmtId="0" fontId="16" fillId="0" borderId="0" xfId="1" applyFont="1" applyFill="1" applyProtection="1">
      <protection hidden="1"/>
    </xf>
    <xf numFmtId="0" fontId="15" fillId="0" borderId="0" xfId="1" applyFont="1" applyFill="1" applyProtection="1">
      <protection hidden="1"/>
    </xf>
    <xf numFmtId="0" fontId="15" fillId="0" borderId="0" xfId="1" applyFont="1"/>
    <xf numFmtId="0" fontId="4" fillId="0" borderId="2" xfId="1" applyFont="1" applyFill="1" applyBorder="1" applyAlignment="1" applyProtection="1">
      <alignment horizontal="center" vertical="center"/>
      <protection hidden="1"/>
    </xf>
    <xf numFmtId="0" fontId="1" fillId="2" borderId="0" xfId="1" applyFill="1" applyBorder="1" applyProtection="1">
      <protection hidden="1"/>
    </xf>
    <xf numFmtId="0" fontId="1" fillId="0" borderId="10" xfId="1" applyFont="1" applyBorder="1" applyProtection="1">
      <protection hidden="1"/>
    </xf>
    <xf numFmtId="0" fontId="1" fillId="0" borderId="0" xfId="1" applyFont="1" applyFill="1" applyBorder="1" applyProtection="1">
      <protection hidden="1"/>
    </xf>
    <xf numFmtId="164" fontId="4" fillId="3" borderId="11" xfId="1" applyNumberFormat="1" applyFont="1" applyFill="1" applyBorder="1" applyAlignment="1" applyProtection="1">
      <alignment horizontal="center" vertical="center"/>
      <protection hidden="1"/>
    </xf>
    <xf numFmtId="0" fontId="4" fillId="3" borderId="11" xfId="1" applyFont="1" applyFill="1" applyBorder="1" applyAlignment="1" applyProtection="1">
      <alignment horizontal="center" vertical="center"/>
      <protection hidden="1"/>
    </xf>
    <xf numFmtId="0" fontId="2" fillId="5" borderId="12" xfId="1" applyFont="1" applyFill="1" applyBorder="1" applyAlignment="1" applyProtection="1">
      <alignment horizontal="center" vertical="top" wrapText="1"/>
      <protection hidden="1"/>
    </xf>
    <xf numFmtId="0" fontId="4" fillId="6" borderId="3" xfId="1" applyFont="1" applyFill="1" applyBorder="1" applyAlignment="1" applyProtection="1">
      <alignment horizontal="center" vertical="top" wrapText="1"/>
      <protection hidden="1"/>
    </xf>
    <xf numFmtId="0" fontId="0" fillId="0" borderId="0" xfId="0" applyProtection="1"/>
    <xf numFmtId="0" fontId="0" fillId="0" borderId="0" xfId="0" applyBorder="1"/>
    <xf numFmtId="0" fontId="17" fillId="2" borderId="0" xfId="1" applyFont="1" applyFill="1" applyBorder="1" applyAlignment="1" applyProtection="1">
      <alignment vertical="center"/>
      <protection hidden="1"/>
    </xf>
    <xf numFmtId="0" fontId="18" fillId="0" borderId="0" xfId="0" applyFont="1"/>
    <xf numFmtId="165" fontId="4" fillId="3" borderId="11" xfId="1" applyNumberFormat="1" applyFont="1" applyFill="1" applyBorder="1" applyAlignment="1" applyProtection="1">
      <alignment horizontal="center" vertical="center"/>
      <protection hidden="1"/>
    </xf>
    <xf numFmtId="165" fontId="4" fillId="3" borderId="8" xfId="1" applyNumberFormat="1" applyFont="1" applyFill="1" applyBorder="1" applyAlignment="1" applyProtection="1">
      <alignment horizontal="center" vertical="center"/>
      <protection hidden="1"/>
    </xf>
    <xf numFmtId="49" fontId="4" fillId="3" borderId="11" xfId="1" applyNumberFormat="1" applyFont="1" applyFill="1" applyBorder="1" applyAlignment="1" applyProtection="1">
      <alignment horizontal="center" vertical="center"/>
      <protection locked="0" hidden="1"/>
    </xf>
    <xf numFmtId="49" fontId="4" fillId="3" borderId="8" xfId="1" applyNumberFormat="1" applyFont="1" applyFill="1" applyBorder="1" applyAlignment="1" applyProtection="1">
      <alignment horizontal="center" vertical="center"/>
      <protection locked="0" hidden="1"/>
    </xf>
    <xf numFmtId="0" fontId="14" fillId="0" borderId="0" xfId="0" applyFont="1" applyProtection="1">
      <protection hidden="1"/>
    </xf>
    <xf numFmtId="0" fontId="6" fillId="0" borderId="0" xfId="1" applyFont="1" applyFill="1" applyBorder="1" applyAlignment="1" applyProtection="1">
      <alignment vertical="center"/>
      <protection hidden="1"/>
    </xf>
    <xf numFmtId="0" fontId="4" fillId="6" borderId="12" xfId="1" applyFont="1" applyFill="1" applyBorder="1" applyAlignment="1" applyProtection="1">
      <alignment horizontal="center" vertical="top" wrapText="1"/>
      <protection hidden="1"/>
    </xf>
    <xf numFmtId="0" fontId="20" fillId="6" borderId="12" xfId="1" applyFont="1" applyFill="1" applyBorder="1" applyAlignment="1" applyProtection="1">
      <alignment horizontal="center" vertical="top" wrapText="1"/>
      <protection hidden="1"/>
    </xf>
    <xf numFmtId="166" fontId="6" fillId="0" borderId="0" xfId="1" applyNumberFormat="1" applyFont="1" applyFill="1" applyBorder="1" applyAlignment="1" applyProtection="1">
      <alignment horizontal="center" vertical="center"/>
      <protection hidden="1"/>
    </xf>
    <xf numFmtId="0" fontId="6" fillId="0" borderId="0" xfId="1" applyFont="1" applyFill="1" applyBorder="1" applyAlignment="1" applyProtection="1">
      <alignment horizontal="right" vertical="center"/>
      <protection hidden="1"/>
    </xf>
    <xf numFmtId="0" fontId="0" fillId="0" borderId="0" xfId="0" applyProtection="1">
      <protection hidden="1"/>
    </xf>
    <xf numFmtId="0" fontId="1" fillId="5" borderId="0" xfId="1" applyFill="1" applyAlignment="1" applyProtection="1">
      <protection hidden="1"/>
    </xf>
    <xf numFmtId="0" fontId="18" fillId="0" borderId="0" xfId="0" applyFont="1" applyProtection="1">
      <protection hidden="1"/>
    </xf>
    <xf numFmtId="0" fontId="15" fillId="0" borderId="0" xfId="1" applyFont="1" applyBorder="1" applyProtection="1">
      <protection hidden="1"/>
    </xf>
    <xf numFmtId="0" fontId="20" fillId="0" borderId="0" xfId="1" applyFont="1" applyFill="1" applyBorder="1" applyAlignment="1" applyProtection="1">
      <alignment horizontal="center" vertical="center" wrapText="1"/>
      <protection hidden="1"/>
    </xf>
    <xf numFmtId="0" fontId="1" fillId="0" borderId="0" xfId="1" applyBorder="1" applyProtection="1">
      <protection hidden="1"/>
    </xf>
    <xf numFmtId="0" fontId="4" fillId="0" borderId="0" xfId="1" applyFont="1" applyFill="1" applyBorder="1" applyAlignment="1" applyProtection="1">
      <alignment vertical="center" wrapText="1"/>
      <protection hidden="1"/>
    </xf>
    <xf numFmtId="0" fontId="7" fillId="0" borderId="0" xfId="1" applyFont="1" applyFill="1" applyBorder="1" applyAlignment="1" applyProtection="1">
      <alignment vertical="top" wrapText="1"/>
      <protection hidden="1"/>
    </xf>
    <xf numFmtId="0" fontId="20" fillId="0" borderId="0" xfId="1" applyFont="1" applyFill="1" applyBorder="1" applyAlignment="1" applyProtection="1">
      <alignment vertical="center" wrapText="1"/>
      <protection hidden="1"/>
    </xf>
    <xf numFmtId="0" fontId="21" fillId="0" borderId="0" xfId="0" applyFont="1" applyFill="1" applyBorder="1" applyAlignment="1">
      <alignment horizontal="center" vertical="center"/>
    </xf>
    <xf numFmtId="0" fontId="22" fillId="0" borderId="0" xfId="0" applyFont="1" applyAlignment="1">
      <alignment vertical="top"/>
    </xf>
    <xf numFmtId="0" fontId="23" fillId="0" borderId="0" xfId="0" applyFont="1" applyAlignment="1">
      <alignment vertical="center"/>
    </xf>
    <xf numFmtId="0" fontId="24" fillId="0" borderId="0" xfId="0" applyFont="1"/>
    <xf numFmtId="0" fontId="1" fillId="0" borderId="0" xfId="1" applyFont="1" applyFill="1" applyBorder="1" applyAlignment="1" applyProtection="1">
      <alignment horizontal="center" vertical="center"/>
      <protection locked="0" hidden="1"/>
    </xf>
    <xf numFmtId="0" fontId="6" fillId="0" borderId="0" xfId="1" applyNumberFormat="1" applyFont="1" applyFill="1" applyBorder="1" applyAlignment="1" applyProtection="1">
      <alignment horizontal="center" vertical="center"/>
    </xf>
    <xf numFmtId="0" fontId="1" fillId="0" borderId="0" xfId="1" applyProtection="1"/>
    <xf numFmtId="1" fontId="4" fillId="0" borderId="0" xfId="1" applyNumberFormat="1" applyFont="1" applyFill="1" applyBorder="1" applyAlignment="1" applyProtection="1">
      <alignment horizontal="center" vertical="center"/>
    </xf>
    <xf numFmtId="0" fontId="25" fillId="0" borderId="0" xfId="1" applyFont="1" applyFill="1" applyBorder="1" applyAlignment="1" applyProtection="1">
      <alignment vertical="center"/>
      <protection hidden="1"/>
    </xf>
    <xf numFmtId="0" fontId="1" fillId="0" borderId="0" xfId="1" applyFont="1" applyBorder="1" applyProtection="1">
      <protection hidden="1"/>
    </xf>
    <xf numFmtId="0" fontId="6" fillId="0" borderId="0" xfId="1" applyFont="1" applyAlignment="1" applyProtection="1">
      <alignment horizontal="right"/>
      <protection hidden="1"/>
    </xf>
    <xf numFmtId="0" fontId="15" fillId="0" borderId="0" xfId="1" applyFont="1" applyFill="1" applyAlignment="1" applyProtection="1">
      <alignment horizontal="left"/>
      <protection hidden="1"/>
    </xf>
    <xf numFmtId="0" fontId="3" fillId="0" borderId="0" xfId="1" applyFont="1" applyFill="1" applyProtection="1">
      <protection hidden="1"/>
    </xf>
    <xf numFmtId="0" fontId="26" fillId="0" borderId="0" xfId="0" applyFont="1" applyFill="1" applyBorder="1" applyAlignment="1">
      <alignment horizontal="center" vertical="center"/>
    </xf>
    <xf numFmtId="1" fontId="4" fillId="9" borderId="24" xfId="1" applyNumberFormat="1" applyFont="1" applyFill="1" applyBorder="1" applyAlignment="1" applyProtection="1">
      <alignment horizontal="center" vertical="center"/>
      <protection locked="0" hidden="1"/>
    </xf>
    <xf numFmtId="1" fontId="4" fillId="9" borderId="23" xfId="1" applyNumberFormat="1" applyFont="1" applyFill="1" applyBorder="1" applyAlignment="1" applyProtection="1">
      <alignment horizontal="center" vertical="center"/>
      <protection locked="0" hidden="1"/>
    </xf>
    <xf numFmtId="1" fontId="4" fillId="9" borderId="26" xfId="1" applyNumberFormat="1" applyFont="1" applyFill="1" applyBorder="1" applyAlignment="1" applyProtection="1">
      <alignment horizontal="center" vertical="center"/>
      <protection locked="0" hidden="1"/>
    </xf>
    <xf numFmtId="1" fontId="4" fillId="9" borderId="25" xfId="1" applyNumberFormat="1" applyFont="1" applyFill="1" applyBorder="1" applyAlignment="1" applyProtection="1">
      <alignment horizontal="center" vertical="center"/>
      <protection locked="0" hidden="1"/>
    </xf>
    <xf numFmtId="1" fontId="4" fillId="9" borderId="27" xfId="1" applyNumberFormat="1" applyFont="1" applyFill="1" applyBorder="1" applyAlignment="1" applyProtection="1">
      <alignment horizontal="center" vertical="center"/>
      <protection locked="0" hidden="1"/>
    </xf>
    <xf numFmtId="1" fontId="4" fillId="9" borderId="29" xfId="1" applyNumberFormat="1" applyFont="1" applyFill="1" applyBorder="1" applyAlignment="1" applyProtection="1">
      <alignment horizontal="center" vertical="center"/>
      <protection locked="0" hidden="1"/>
    </xf>
    <xf numFmtId="1" fontId="4" fillId="9" borderId="28" xfId="1" applyNumberFormat="1" applyFont="1" applyFill="1" applyBorder="1" applyAlignment="1" applyProtection="1">
      <alignment horizontal="center" vertical="center"/>
      <protection locked="0" hidden="1"/>
    </xf>
    <xf numFmtId="0" fontId="4" fillId="0" borderId="0" xfId="1" applyFont="1" applyFill="1" applyBorder="1" applyAlignment="1" applyProtection="1">
      <alignment vertical="center"/>
      <protection hidden="1"/>
    </xf>
    <xf numFmtId="0" fontId="4" fillId="0" borderId="3" xfId="1" applyFont="1" applyFill="1" applyBorder="1" applyAlignment="1" applyProtection="1">
      <alignment horizontal="center" vertical="center"/>
      <protection locked="0" hidden="1"/>
    </xf>
    <xf numFmtId="0" fontId="7" fillId="0" borderId="2" xfId="1" applyFont="1" applyFill="1" applyBorder="1" applyAlignment="1" applyProtection="1">
      <protection hidden="1"/>
    </xf>
    <xf numFmtId="0" fontId="7" fillId="0" borderId="0" xfId="1" applyFont="1" applyFill="1" applyBorder="1" applyAlignment="1" applyProtection="1">
      <protection hidden="1"/>
    </xf>
    <xf numFmtId="0" fontId="15" fillId="0" borderId="0" xfId="1" applyFont="1" applyFill="1" applyBorder="1" applyAlignment="1" applyProtection="1">
      <alignment vertical="center"/>
    </xf>
    <xf numFmtId="0" fontId="15" fillId="0" borderId="0" xfId="1" applyFont="1" applyFill="1" applyBorder="1" applyAlignment="1" applyProtection="1">
      <alignment horizontal="right" vertical="center"/>
      <protection hidden="1"/>
    </xf>
    <xf numFmtId="0" fontId="28" fillId="0" borderId="0" xfId="1" applyFont="1" applyFill="1" applyBorder="1" applyAlignment="1" applyProtection="1">
      <alignment horizontal="right" vertical="top" wrapText="1"/>
      <protection hidden="1"/>
    </xf>
    <xf numFmtId="0" fontId="7" fillId="0" borderId="1" xfId="1" applyFont="1" applyFill="1" applyBorder="1" applyAlignment="1" applyProtection="1">
      <protection hidden="1"/>
    </xf>
    <xf numFmtId="0" fontId="7" fillId="0" borderId="32" xfId="1" applyFont="1" applyFill="1" applyBorder="1" applyAlignment="1" applyProtection="1">
      <protection hidden="1"/>
    </xf>
    <xf numFmtId="0" fontId="14" fillId="0" borderId="0" xfId="0" applyFont="1"/>
    <xf numFmtId="0" fontId="30" fillId="0" borderId="0" xfId="1" applyFont="1" applyFill="1" applyBorder="1" applyAlignment="1" applyProtection="1">
      <alignment vertical="center" wrapText="1"/>
      <protection hidden="1"/>
    </xf>
    <xf numFmtId="0" fontId="15" fillId="0" borderId="0" xfId="1" applyFont="1" applyFill="1" applyBorder="1" applyAlignment="1" applyProtection="1">
      <alignment vertical="center"/>
      <protection hidden="1"/>
    </xf>
    <xf numFmtId="0" fontId="14" fillId="0" borderId="0" xfId="0" applyFont="1" applyFill="1" applyProtection="1">
      <protection hidden="1"/>
    </xf>
    <xf numFmtId="166" fontId="31" fillId="0" borderId="3" xfId="0" applyNumberFormat="1" applyFont="1" applyBorder="1" applyAlignment="1" applyProtection="1">
      <alignment horizontal="center" vertical="center"/>
      <protection locked="0" hidden="1"/>
    </xf>
    <xf numFmtId="0" fontId="34" fillId="0" borderId="0" xfId="1" applyFont="1" applyProtection="1">
      <protection hidden="1"/>
    </xf>
    <xf numFmtId="0" fontId="33" fillId="0" borderId="0" xfId="0" applyFont="1"/>
    <xf numFmtId="0" fontId="35" fillId="0" borderId="0" xfId="1" applyFont="1" applyProtection="1">
      <protection hidden="1"/>
    </xf>
    <xf numFmtId="0" fontId="15" fillId="0" borderId="0" xfId="1" applyFont="1" applyFill="1" applyBorder="1" applyAlignment="1" applyProtection="1">
      <alignment horizontal="center" vertical="center"/>
      <protection hidden="1"/>
    </xf>
    <xf numFmtId="0" fontId="15" fillId="0" borderId="0" xfId="1" applyFont="1" applyFill="1" applyAlignment="1" applyProtection="1">
      <alignment horizontal="center" vertic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5" fillId="0" borderId="0" xfId="1" applyFont="1" applyAlignment="1" applyProtection="1">
      <alignment horizontal="center" vertical="center"/>
      <protection hidden="1"/>
    </xf>
    <xf numFmtId="0" fontId="15" fillId="0" borderId="0" xfId="1" applyFont="1" applyAlignment="1" applyProtection="1">
      <alignment horizontal="center"/>
      <protection hidden="1"/>
    </xf>
    <xf numFmtId="0" fontId="15" fillId="0" borderId="0" xfId="1" applyFont="1" applyBorder="1" applyAlignment="1" applyProtection="1">
      <alignment horizontal="center"/>
      <protection hidden="1"/>
    </xf>
    <xf numFmtId="0" fontId="14" fillId="0" borderId="0" xfId="0" applyFont="1" applyFill="1" applyAlignment="1" applyProtection="1">
      <alignment horizontal="center"/>
      <protection hidden="1"/>
    </xf>
    <xf numFmtId="0" fontId="15" fillId="0" borderId="0" xfId="1" applyFont="1" applyFill="1" applyBorder="1" applyAlignment="1" applyProtection="1">
      <alignment horizontal="center"/>
      <protection hidden="1"/>
    </xf>
    <xf numFmtId="0" fontId="14" fillId="0" borderId="0" xfId="0" applyFont="1" applyBorder="1" applyProtection="1">
      <protection hidden="1"/>
    </xf>
    <xf numFmtId="0" fontId="14" fillId="0" borderId="0" xfId="0" applyFont="1" applyFill="1" applyBorder="1" applyProtection="1">
      <protection hidden="1"/>
    </xf>
    <xf numFmtId="0" fontId="0" fillId="0" borderId="0" xfId="0" applyFill="1"/>
    <xf numFmtId="0" fontId="1" fillId="7" borderId="0" xfId="1" applyFill="1" applyAlignment="1">
      <alignment horizontal="center"/>
    </xf>
    <xf numFmtId="0" fontId="1" fillId="5" borderId="0" xfId="1" applyFill="1" applyAlignment="1">
      <alignment horizontal="center"/>
    </xf>
    <xf numFmtId="0" fontId="4" fillId="0" borderId="2" xfId="1" applyFont="1" applyBorder="1" applyAlignment="1" applyProtection="1">
      <alignment horizontal="center" vertical="center"/>
      <protection hidden="1"/>
    </xf>
    <xf numFmtId="0" fontId="4" fillId="0" borderId="13" xfId="1" applyFont="1" applyBorder="1" applyAlignment="1" applyProtection="1">
      <alignment horizontal="center" vertical="top" wrapText="1"/>
      <protection hidden="1"/>
    </xf>
    <xf numFmtId="0" fontId="2" fillId="5" borderId="14" xfId="1" applyFont="1" applyFill="1" applyBorder="1" applyAlignment="1" applyProtection="1">
      <alignment horizontal="center" vertical="top" wrapText="1"/>
      <protection hidden="1"/>
    </xf>
    <xf numFmtId="0" fontId="2" fillId="5" borderId="4" xfId="1" applyFont="1" applyFill="1" applyBorder="1" applyAlignment="1" applyProtection="1">
      <alignment horizontal="center" vertical="top" wrapText="1"/>
      <protection hidden="1"/>
    </xf>
    <xf numFmtId="0" fontId="2" fillId="5" borderId="15" xfId="1" applyFont="1" applyFill="1" applyBorder="1" applyAlignment="1" applyProtection="1">
      <alignment horizontal="center" vertical="top" wrapText="1"/>
      <protection hidden="1"/>
    </xf>
    <xf numFmtId="0" fontId="8" fillId="8" borderId="16" xfId="1" applyFont="1" applyFill="1" applyBorder="1" applyAlignment="1" applyProtection="1">
      <alignment horizontal="center" vertical="center" wrapText="1"/>
      <protection hidden="1"/>
    </xf>
    <xf numFmtId="0" fontId="8" fillId="8" borderId="1" xfId="1" applyFont="1" applyFill="1" applyBorder="1" applyAlignment="1" applyProtection="1">
      <alignment horizontal="center" vertical="center" wrapText="1"/>
      <protection hidden="1"/>
    </xf>
    <xf numFmtId="0" fontId="7" fillId="8" borderId="1" xfId="1" applyFont="1" applyFill="1" applyBorder="1" applyAlignment="1" applyProtection="1">
      <alignment horizontal="center" vertical="center" wrapText="1"/>
      <protection hidden="1"/>
    </xf>
    <xf numFmtId="0" fontId="7" fillId="8" borderId="17" xfId="1" applyFont="1" applyFill="1" applyBorder="1" applyAlignment="1" applyProtection="1">
      <alignment horizontal="center" vertical="center" wrapText="1"/>
      <protection hidden="1"/>
    </xf>
    <xf numFmtId="0" fontId="8" fillId="2" borderId="16" xfId="1" applyFont="1" applyFill="1" applyBorder="1" applyAlignment="1" applyProtection="1">
      <alignment horizontal="center" vertical="center"/>
      <protection hidden="1"/>
    </xf>
    <xf numFmtId="0" fontId="8" fillId="2" borderId="1" xfId="1" applyFont="1" applyFill="1" applyBorder="1" applyAlignment="1" applyProtection="1">
      <alignment horizontal="center" vertical="center"/>
      <protection hidden="1"/>
    </xf>
    <xf numFmtId="0" fontId="7" fillId="2" borderId="1" xfId="1" applyFont="1" applyFill="1" applyBorder="1" applyAlignment="1" applyProtection="1">
      <alignment horizontal="center" vertical="center"/>
      <protection hidden="1"/>
    </xf>
    <xf numFmtId="0" fontId="7" fillId="2" borderId="17" xfId="1" applyFont="1" applyFill="1" applyBorder="1" applyAlignment="1" applyProtection="1">
      <alignment horizontal="center" vertical="center"/>
      <protection hidden="1"/>
    </xf>
    <xf numFmtId="0" fontId="6" fillId="0" borderId="0" xfId="1" applyFont="1" applyFill="1" applyBorder="1" applyAlignment="1" applyProtection="1">
      <alignment horizontal="center" vertical="center"/>
      <protection hidden="1"/>
    </xf>
    <xf numFmtId="0" fontId="1" fillId="0" borderId="0" xfId="1" applyFont="1" applyFill="1" applyBorder="1" applyAlignment="1" applyProtection="1">
      <alignment horizontal="center" vertical="center"/>
      <protection locked="0" hidden="1"/>
    </xf>
    <xf numFmtId="0" fontId="6" fillId="0" borderId="9" xfId="1" applyFont="1" applyBorder="1" applyAlignment="1" applyProtection="1">
      <alignment horizontal="center" vertical="center" wrapText="1"/>
      <protection hidden="1"/>
    </xf>
    <xf numFmtId="0" fontId="6" fillId="0" borderId="12" xfId="1" applyFont="1" applyBorder="1" applyAlignment="1" applyProtection="1">
      <alignment horizontal="center" vertical="center" wrapText="1"/>
      <protection hidden="1"/>
    </xf>
    <xf numFmtId="0" fontId="6" fillId="0" borderId="14" xfId="1" applyFont="1" applyFill="1" applyBorder="1" applyAlignment="1" applyProtection="1">
      <alignment horizontal="center" vertical="center"/>
      <protection hidden="1"/>
    </xf>
    <xf numFmtId="0" fontId="6" fillId="0" borderId="4" xfId="1" applyFont="1" applyFill="1" applyBorder="1" applyAlignment="1" applyProtection="1">
      <alignment horizontal="center" vertical="center"/>
      <protection hidden="1"/>
    </xf>
    <xf numFmtId="0" fontId="6" fillId="0" borderId="15" xfId="1" applyFont="1" applyFill="1" applyBorder="1" applyAlignment="1" applyProtection="1">
      <alignment horizontal="center" vertical="center"/>
      <protection hidden="1"/>
    </xf>
    <xf numFmtId="0" fontId="19" fillId="0" borderId="2" xfId="1" applyFont="1" applyFill="1" applyBorder="1" applyAlignment="1" applyProtection="1">
      <alignment horizontal="center" vertical="center" wrapText="1"/>
      <protection hidden="1"/>
    </xf>
    <xf numFmtId="0" fontId="19" fillId="0" borderId="0" xfId="1" applyFont="1" applyFill="1" applyBorder="1" applyAlignment="1" applyProtection="1">
      <alignment horizontal="center" vertical="center" wrapText="1"/>
      <protection hidden="1"/>
    </xf>
    <xf numFmtId="0" fontId="19" fillId="0" borderId="13" xfId="1" applyFont="1" applyFill="1" applyBorder="1" applyAlignment="1" applyProtection="1">
      <alignment horizontal="center" vertical="center" wrapText="1"/>
      <protection hidden="1"/>
    </xf>
    <xf numFmtId="0" fontId="27" fillId="0" borderId="0" xfId="0" applyFont="1" applyAlignment="1">
      <alignment horizontal="center" vertical="center"/>
    </xf>
    <xf numFmtId="0" fontId="1" fillId="7" borderId="0" xfId="1" applyFill="1" applyAlignment="1" applyProtection="1">
      <alignment horizontal="center"/>
      <protection hidden="1"/>
    </xf>
    <xf numFmtId="0" fontId="1" fillId="5" borderId="0" xfId="1" applyFill="1" applyAlignment="1" applyProtection="1">
      <alignment horizontal="center"/>
      <protection hidden="1"/>
    </xf>
    <xf numFmtId="0" fontId="7" fillId="0" borderId="0" xfId="1" applyFont="1" applyFill="1" applyBorder="1" applyAlignment="1" applyProtection="1">
      <alignment horizontal="center" vertical="top" wrapText="1"/>
      <protection locked="0" hidden="1"/>
    </xf>
    <xf numFmtId="0" fontId="4" fillId="5" borderId="14" xfId="1" applyFont="1" applyFill="1" applyBorder="1" applyAlignment="1" applyProtection="1">
      <alignment horizontal="center"/>
      <protection hidden="1"/>
    </xf>
    <xf numFmtId="0" fontId="4" fillId="5" borderId="15" xfId="1" applyFont="1" applyFill="1" applyBorder="1" applyAlignment="1" applyProtection="1">
      <alignment horizontal="center"/>
      <protection hidden="1"/>
    </xf>
    <xf numFmtId="1" fontId="4" fillId="0" borderId="0" xfId="1" applyNumberFormat="1" applyFont="1" applyFill="1" applyBorder="1" applyAlignment="1" applyProtection="1">
      <alignment horizontal="center" vertical="center"/>
    </xf>
    <xf numFmtId="0" fontId="32" fillId="11" borderId="37" xfId="1" applyFont="1" applyFill="1" applyBorder="1" applyAlignment="1" applyProtection="1">
      <alignment horizontal="center"/>
      <protection hidden="1"/>
    </xf>
    <xf numFmtId="0" fontId="32" fillId="11" borderId="38" xfId="1" applyFont="1" applyFill="1" applyBorder="1" applyAlignment="1" applyProtection="1">
      <alignment horizontal="center"/>
      <protection hidden="1"/>
    </xf>
    <xf numFmtId="0" fontId="1" fillId="4" borderId="0" xfId="1" applyFill="1" applyAlignment="1" applyProtection="1">
      <alignment horizontal="center"/>
      <protection hidden="1"/>
    </xf>
    <xf numFmtId="0" fontId="17" fillId="2" borderId="0" xfId="1" applyFont="1" applyFill="1" applyAlignment="1" applyProtection="1">
      <alignment horizontal="left"/>
      <protection hidden="1"/>
    </xf>
    <xf numFmtId="0" fontId="29" fillId="10" borderId="30" xfId="0" applyFont="1" applyFill="1" applyBorder="1" applyAlignment="1">
      <alignment horizontal="center"/>
    </xf>
    <xf numFmtId="0" fontId="29" fillId="10" borderId="31" xfId="0" applyFont="1" applyFill="1" applyBorder="1" applyAlignment="1">
      <alignment horizontal="center"/>
    </xf>
    <xf numFmtId="0" fontId="27" fillId="0" borderId="0" xfId="1" applyFont="1" applyFill="1" applyBorder="1" applyAlignment="1" applyProtection="1">
      <alignment horizontal="center" vertical="center" wrapText="1"/>
      <protection hidden="1"/>
    </xf>
    <xf numFmtId="0" fontId="8" fillId="2" borderId="18" xfId="1" applyFont="1" applyFill="1" applyBorder="1" applyAlignment="1" applyProtection="1">
      <alignment horizontal="center" vertical="center"/>
      <protection hidden="1"/>
    </xf>
    <xf numFmtId="0" fontId="8" fillId="2" borderId="2" xfId="1" applyFont="1" applyFill="1" applyBorder="1" applyAlignment="1" applyProtection="1">
      <alignment horizontal="center" vertical="center"/>
      <protection hidden="1"/>
    </xf>
    <xf numFmtId="0" fontId="8" fillId="2" borderId="19" xfId="1" applyFont="1" applyFill="1" applyBorder="1" applyAlignment="1" applyProtection="1">
      <alignment horizontal="center" vertical="center"/>
      <protection hidden="1"/>
    </xf>
    <xf numFmtId="0" fontId="7" fillId="2" borderId="20" xfId="1" applyFont="1" applyFill="1" applyBorder="1" applyAlignment="1" applyProtection="1">
      <alignment horizontal="center" vertical="center"/>
      <protection hidden="1"/>
    </xf>
    <xf numFmtId="0" fontId="7" fillId="2" borderId="21" xfId="1" applyFont="1" applyFill="1" applyBorder="1" applyAlignment="1" applyProtection="1">
      <alignment horizontal="center" vertical="center"/>
      <protection hidden="1"/>
    </xf>
    <xf numFmtId="0" fontId="7" fillId="2" borderId="22" xfId="1" applyFont="1" applyFill="1" applyBorder="1" applyAlignment="1" applyProtection="1">
      <alignment horizontal="center" vertical="center"/>
      <protection hidden="1"/>
    </xf>
    <xf numFmtId="0" fontId="21" fillId="6" borderId="14" xfId="0" applyFont="1" applyFill="1" applyBorder="1" applyAlignment="1">
      <alignment horizontal="center" vertical="center"/>
    </xf>
    <xf numFmtId="0" fontId="21" fillId="6" borderId="15" xfId="0" applyFont="1" applyFill="1" applyBorder="1" applyAlignment="1">
      <alignment horizontal="center" vertical="center"/>
    </xf>
    <xf numFmtId="0" fontId="20" fillId="0" borderId="0" xfId="1" applyFont="1" applyFill="1" applyBorder="1" applyAlignment="1" applyProtection="1">
      <alignment horizontal="center" vertical="center" wrapText="1"/>
      <protection locked="0" hidden="1"/>
    </xf>
    <xf numFmtId="0" fontId="29" fillId="10" borderId="30" xfId="1" applyFont="1" applyFill="1" applyBorder="1" applyAlignment="1" applyProtection="1">
      <alignment horizontal="center" vertical="center"/>
      <protection hidden="1"/>
    </xf>
    <xf numFmtId="0" fontId="29" fillId="10" borderId="31" xfId="1" applyFont="1" applyFill="1" applyBorder="1" applyAlignment="1" applyProtection="1">
      <alignment horizontal="center" vertical="center"/>
      <protection hidden="1"/>
    </xf>
    <xf numFmtId="0" fontId="20" fillId="0" borderId="18" xfId="1" applyFont="1" applyFill="1" applyBorder="1" applyAlignment="1" applyProtection="1">
      <alignment horizontal="center" vertical="center"/>
      <protection hidden="1"/>
    </xf>
    <xf numFmtId="0" fontId="20" fillId="0" borderId="19" xfId="1" applyFont="1" applyFill="1" applyBorder="1" applyAlignment="1" applyProtection="1">
      <alignment horizontal="center" vertical="center"/>
      <protection hidden="1"/>
    </xf>
    <xf numFmtId="0" fontId="20" fillId="0" borderId="20" xfId="1" applyFont="1" applyFill="1" applyBorder="1" applyAlignment="1" applyProtection="1">
      <alignment horizontal="center" vertical="center"/>
      <protection hidden="1"/>
    </xf>
    <xf numFmtId="0" fontId="20" fillId="0" borderId="22" xfId="1" applyFont="1" applyFill="1" applyBorder="1" applyAlignment="1" applyProtection="1">
      <alignment horizontal="center" vertical="center"/>
      <protection hidden="1"/>
    </xf>
    <xf numFmtId="0" fontId="32" fillId="11" borderId="33" xfId="1" applyFont="1" applyFill="1" applyBorder="1" applyAlignment="1" applyProtection="1">
      <alignment horizontal="center" vertical="center"/>
      <protection hidden="1"/>
    </xf>
    <xf numFmtId="0" fontId="32" fillId="11" borderId="34" xfId="1" applyFont="1" applyFill="1" applyBorder="1" applyAlignment="1" applyProtection="1">
      <alignment horizontal="center" vertical="center"/>
      <protection hidden="1"/>
    </xf>
    <xf numFmtId="0" fontId="32" fillId="11" borderId="35" xfId="1" applyFont="1" applyFill="1" applyBorder="1" applyAlignment="1" applyProtection="1">
      <alignment horizontal="center" vertical="center"/>
      <protection hidden="1"/>
    </xf>
    <xf numFmtId="0" fontId="32" fillId="11" borderId="36" xfId="1" applyFont="1" applyFill="1" applyBorder="1" applyAlignment="1" applyProtection="1">
      <alignment horizontal="center" vertical="center"/>
      <protection hidden="1"/>
    </xf>
  </cellXfs>
  <cellStyles count="2">
    <cellStyle name="Normal" xfId="0" builtinId="0"/>
    <cellStyle name="Normal 2" xfId="1"/>
  </cellStyles>
  <dxfs count="24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  <fill>
        <patternFill>
          <bgColor rgb="FFFFFF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 val="0"/>
        <i val="0"/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00FF"/>
      <color rgb="FF005DA2"/>
      <color rgb="FFD9D9FF"/>
      <color rgb="FF0033CC"/>
      <color rgb="FFF5FFEF"/>
      <color rgb="FFEDFFE1"/>
      <color rgb="FFF7F7F7"/>
      <color rgb="FFE1FFCD"/>
      <color rgb="FFD2FFB4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3" dropStyle="combo" dx="16" fmlaLink="$D$4" fmlaRange="$Q$13:$Q$15" noThreeD="1" val="0"/>
</file>

<file path=xl/ctrlProps/ctrlProp2.xml><?xml version="1.0" encoding="utf-8"?>
<formControlPr xmlns="http://schemas.microsoft.com/office/spreadsheetml/2009/9/main" objectType="Drop" dropLines="25" dropStyle="combo" dx="16" fmlaLink="$E10" fmlaRange="$A13:$A36" noThreeD="1" val="0"/>
</file>

<file path=xl/ctrlProps/ctrlProp3.xml><?xml version="1.0" encoding="utf-8"?>
<formControlPr xmlns="http://schemas.microsoft.com/office/spreadsheetml/2009/9/main" objectType="Drop" dropLines="4" dropStyle="combo" dx="16" fmlaLink="$F16" fmlaRange="$A$41:$A$43" noThreeD="1" val="0"/>
</file>

<file path=xl/ctrlProps/ctrlProp4.xml><?xml version="1.0" encoding="utf-8"?>
<formControlPr xmlns="http://schemas.microsoft.com/office/spreadsheetml/2009/9/main" objectType="Drop" dropLines="4" dropStyle="combo" dx="16" fmlaLink="$E8" fmlaRange="$L$5:$L$8" noThreeD="1" val="0"/>
</file>

<file path=xl/ctrlProps/ctrlProp5.xml><?xml version="1.0" encoding="utf-8"?>
<formControlPr xmlns="http://schemas.microsoft.com/office/spreadsheetml/2009/9/main" objectType="Drop" dropLines="11" dropStyle="combo" dx="16" fmlaLink="$E10" fmlaRange="$M14:$M22" noThreeD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7</xdr:col>
          <xdr:colOff>11430</xdr:colOff>
          <xdr:row>4</xdr:row>
          <xdr:rowOff>0</xdr:rowOff>
        </xdr:to>
        <xdr:sp macro="" textlink="">
          <xdr:nvSpPr>
            <xdr:cNvPr id="4097" name="Drop Dow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 editAs="oneCell">
    <xdr:from>
      <xdr:col>5</xdr:col>
      <xdr:colOff>533400</xdr:colOff>
      <xdr:row>41</xdr:row>
      <xdr:rowOff>9525</xdr:rowOff>
    </xdr:from>
    <xdr:to>
      <xdr:col>7</xdr:col>
      <xdr:colOff>133351</xdr:colOff>
      <xdr:row>45</xdr:row>
      <xdr:rowOff>200025</xdr:rowOff>
    </xdr:to>
    <xdr:pic macro="[0]!Module1.Rwritt">
      <xdr:nvPicPr>
        <xdr:cNvPr id="4178" name="Picture 3" descr="pretygl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752" r="50359" b="48354"/>
        <a:stretch>
          <a:fillRect/>
        </a:stretch>
      </xdr:blipFill>
      <xdr:spPr bwMode="auto">
        <a:xfrm>
          <a:off x="5105400" y="8334375"/>
          <a:ext cx="847725" cy="704850"/>
        </a:xfrm>
        <a:prstGeom prst="rect">
          <a:avLst/>
        </a:prstGeom>
        <a:noFill/>
        <a:ln w="19050">
          <a:solidFill>
            <a:srgbClr val="0000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xdr:oneCellAnchor>
    <xdr:from>
      <xdr:col>12</xdr:col>
      <xdr:colOff>151748</xdr:colOff>
      <xdr:row>8</xdr:row>
      <xdr:rowOff>88431</xdr:rowOff>
    </xdr:from>
    <xdr:ext cx="479747" cy="311496"/>
    <xdr:sp macro="[0]!AdDeleteWP" textlink="">
      <xdr:nvSpPr>
        <xdr:cNvPr id="2" name="Rectangle 1"/>
        <xdr:cNvSpPr>
          <a:spLocks noChangeAspect="1"/>
        </xdr:cNvSpPr>
      </xdr:nvSpPr>
      <xdr:spPr>
        <a:xfrm>
          <a:off x="9023380" y="1568348"/>
          <a:ext cx="479747" cy="311496"/>
        </a:xfrm>
        <a:prstGeom prst="rect">
          <a:avLst/>
        </a:prstGeom>
        <a:solidFill>
          <a:srgbClr val="CCFFFF"/>
        </a:solidFill>
        <a:ln>
          <a:solidFill>
            <a:srgbClr val="0066FF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45720" rIns="45720" rtlCol="0" anchor="ctr" anchorCtr="0">
          <a:spAutoFit/>
        </a:bodyPr>
        <a:lstStyle/>
        <a:p>
          <a:pPr algn="ctr"/>
          <a:r>
            <a:rPr lang="en-US" sz="1400" b="1">
              <a:solidFill>
                <a:srgbClr val="0066FF"/>
              </a:solidFill>
            </a:rPr>
            <a:t>SAVE</a:t>
          </a:r>
        </a:p>
      </xdr:txBody>
    </xdr:sp>
    <xdr:clientData fLocksWithSheet="0"/>
  </xdr:oneCellAnchor>
  <xdr:oneCellAnchor>
    <xdr:from>
      <xdr:col>12</xdr:col>
      <xdr:colOff>47232</xdr:colOff>
      <xdr:row>13</xdr:row>
      <xdr:rowOff>7872</xdr:rowOff>
    </xdr:from>
    <xdr:ext cx="785087" cy="311496"/>
    <xdr:sp macro="[0]!resz" textlink="">
      <xdr:nvSpPr>
        <xdr:cNvPr id="3" name="Rectangle 2" hidden="1"/>
        <xdr:cNvSpPr/>
      </xdr:nvSpPr>
      <xdr:spPr>
        <a:xfrm>
          <a:off x="8918864" y="2959835"/>
          <a:ext cx="785087" cy="311496"/>
        </a:xfrm>
        <a:prstGeom prst="rect">
          <a:avLst/>
        </a:prstGeom>
        <a:solidFill>
          <a:srgbClr val="CCFFFF"/>
        </a:solidFill>
        <a:ln>
          <a:solidFill>
            <a:srgbClr val="0066FF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t">
          <a:spAutoFit/>
        </a:bodyPr>
        <a:lstStyle/>
        <a:p>
          <a:pPr algn="l"/>
          <a:r>
            <a:rPr lang="en-US" sz="1400" b="1">
              <a:solidFill>
                <a:srgbClr val="0066FF"/>
              </a:solidFill>
            </a:rPr>
            <a:t>Add WP</a:t>
          </a:r>
        </a:p>
      </xdr:txBody>
    </xdr:sp>
    <xdr:clientData/>
  </xdr:oneCellAnchor>
  <xdr:twoCellAnchor editAs="oneCell">
    <xdr:from>
      <xdr:col>5</xdr:col>
      <xdr:colOff>609600</xdr:colOff>
      <xdr:row>41</xdr:row>
      <xdr:rowOff>19050</xdr:rowOff>
    </xdr:from>
    <xdr:to>
      <xdr:col>7</xdr:col>
      <xdr:colOff>133351</xdr:colOff>
      <xdr:row>45</xdr:row>
      <xdr:rowOff>217331</xdr:rowOff>
    </xdr:to>
    <xdr:pic macro="[0]!Module1.Rwritt">
      <xdr:nvPicPr>
        <xdr:cNvPr id="4181" name="Picture 6" descr="pretygl.jpg" hidden="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752" r="50359" b="48354"/>
        <a:stretch>
          <a:fillRect/>
        </a:stretch>
      </xdr:blipFill>
      <xdr:spPr bwMode="auto">
        <a:xfrm>
          <a:off x="5105400" y="8343900"/>
          <a:ext cx="847725" cy="704850"/>
        </a:xfrm>
        <a:prstGeom prst="rect">
          <a:avLst/>
        </a:prstGeom>
        <a:noFill/>
        <a:ln w="19050">
          <a:solidFill>
            <a:srgbClr val="0000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555374</xdr:colOff>
      <xdr:row>47</xdr:row>
      <xdr:rowOff>9525</xdr:rowOff>
    </xdr:from>
    <xdr:to>
      <xdr:col>5</xdr:col>
      <xdr:colOff>432220</xdr:colOff>
      <xdr:row>51</xdr:row>
      <xdr:rowOff>200025</xdr:rowOff>
    </xdr:to>
    <xdr:pic macro="[0]!Module6.CalDONE">
      <xdr:nvPicPr>
        <xdr:cNvPr id="3" name="Picture 3" descr="pretygl.jpg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-1752" r="50359" b="48354"/>
        <a:stretch>
          <a:fillRect/>
        </a:stretch>
      </xdr:blipFill>
      <xdr:spPr bwMode="auto">
        <a:xfrm>
          <a:off x="4357754" y="8543925"/>
          <a:ext cx="859826" cy="708661"/>
        </a:xfrm>
        <a:prstGeom prst="rect">
          <a:avLst/>
        </a:prstGeom>
        <a:noFill/>
        <a:ln w="19050">
          <a:solidFill>
            <a:srgbClr val="0000FF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982980</xdr:colOff>
          <xdr:row>10</xdr:row>
          <xdr:rowOff>0</xdr:rowOff>
        </xdr:to>
        <xdr:sp macro="" textlink="">
          <xdr:nvSpPr>
            <xdr:cNvPr id="5122" name="Drop Dow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5</xdr:col>
          <xdr:colOff>982980</xdr:colOff>
          <xdr:row>16</xdr:row>
          <xdr:rowOff>0</xdr:rowOff>
        </xdr:to>
        <xdr:sp macro="" textlink="">
          <xdr:nvSpPr>
            <xdr:cNvPr id="5130" name="Drop Down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205152</xdr:colOff>
      <xdr:row>8</xdr:row>
      <xdr:rowOff>152399</xdr:rowOff>
    </xdr:from>
    <xdr:to>
      <xdr:col>6</xdr:col>
      <xdr:colOff>442896</xdr:colOff>
      <xdr:row>10</xdr:row>
      <xdr:rowOff>1465</xdr:rowOff>
    </xdr:to>
    <xdr:sp macro="[0]!RoundedRectangle1_Click" textlink="">
      <xdr:nvSpPr>
        <xdr:cNvPr id="2" name="Rounded Rectangle 1"/>
        <xdr:cNvSpPr/>
      </xdr:nvSpPr>
      <xdr:spPr>
        <a:xfrm>
          <a:off x="5971440" y="1581149"/>
          <a:ext cx="237744" cy="230066"/>
        </a:xfrm>
        <a:prstGeom prst="roundRect">
          <a:avLst/>
        </a:prstGeom>
        <a:solidFill>
          <a:srgbClr val="FFFF00"/>
        </a:solidFill>
        <a:ln w="127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Webdings" pitchFamily="18" charset="2"/>
            </a:rPr>
            <a:t>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0</xdr:rowOff>
        </xdr:from>
        <xdr:to>
          <xdr:col>5</xdr:col>
          <xdr:colOff>982980</xdr:colOff>
          <xdr:row>8</xdr:row>
          <xdr:rowOff>0</xdr:rowOff>
        </xdr:to>
        <xdr:sp macro="" textlink="">
          <xdr:nvSpPr>
            <xdr:cNvPr id="5148" name="Drop Down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9</xdr:row>
          <xdr:rowOff>0</xdr:rowOff>
        </xdr:from>
        <xdr:to>
          <xdr:col>5</xdr:col>
          <xdr:colOff>982980</xdr:colOff>
          <xdr:row>10</xdr:row>
          <xdr:rowOff>0</xdr:rowOff>
        </xdr:to>
        <xdr:sp macro="" textlink="">
          <xdr:nvSpPr>
            <xdr:cNvPr id="5150" name="Drop Down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542192</xdr:colOff>
      <xdr:row>51</xdr:row>
      <xdr:rowOff>14654</xdr:rowOff>
    </xdr:from>
    <xdr:to>
      <xdr:col>4</xdr:col>
      <xdr:colOff>153865</xdr:colOff>
      <xdr:row>52</xdr:row>
      <xdr:rowOff>7326</xdr:rowOff>
    </xdr:to>
    <xdr:sp macro="[0]!DeleteCal" textlink="">
      <xdr:nvSpPr>
        <xdr:cNvPr id="4" name="Rounded Rectangle 3" hidden="1"/>
        <xdr:cNvSpPr/>
      </xdr:nvSpPr>
      <xdr:spPr>
        <a:xfrm>
          <a:off x="1992923" y="8667750"/>
          <a:ext cx="1963615" cy="205153"/>
        </a:xfrm>
        <a:prstGeom prst="roundRect">
          <a:avLst/>
        </a:prstGeom>
        <a:solidFill>
          <a:srgbClr val="FFFF00"/>
        </a:solidFill>
        <a:ln w="28575">
          <a:solidFill>
            <a:srgbClr val="0033C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0000FF"/>
              </a:solidFill>
            </a:rPr>
            <a:t>Click here to delete</a:t>
          </a:r>
        </a:p>
      </xdr:txBody>
    </xdr:sp>
    <xdr:clientData/>
  </xdr:twoCellAnchor>
  <xdr:twoCellAnchor>
    <xdr:from>
      <xdr:col>8</xdr:col>
      <xdr:colOff>7327</xdr:colOff>
      <xdr:row>7</xdr:row>
      <xdr:rowOff>7327</xdr:rowOff>
    </xdr:from>
    <xdr:to>
      <xdr:col>10</xdr:col>
      <xdr:colOff>7327</xdr:colOff>
      <xdr:row>7</xdr:row>
      <xdr:rowOff>219808</xdr:rowOff>
    </xdr:to>
    <xdr:sp macro="[0]!_xludf.Clear" textlink="">
      <xdr:nvSpPr>
        <xdr:cNvPr id="5" name="Rectangle 4"/>
        <xdr:cNvSpPr/>
      </xdr:nvSpPr>
      <xdr:spPr>
        <a:xfrm>
          <a:off x="6667500" y="1208942"/>
          <a:ext cx="1567962" cy="2124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7319</xdr:colOff>
      <xdr:row>26</xdr:row>
      <xdr:rowOff>190474</xdr:rowOff>
    </xdr:from>
    <xdr:to>
      <xdr:col>10</xdr:col>
      <xdr:colOff>7319</xdr:colOff>
      <xdr:row>28</xdr:row>
      <xdr:rowOff>7301</xdr:rowOff>
    </xdr:to>
    <xdr:sp macro="[0]!_xludf.Clear" textlink="">
      <xdr:nvSpPr>
        <xdr:cNvPr id="12" name="Rectangle 11"/>
        <xdr:cNvSpPr/>
      </xdr:nvSpPr>
      <xdr:spPr>
        <a:xfrm>
          <a:off x="6667492" y="5143474"/>
          <a:ext cx="1567962" cy="2124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205147</xdr:colOff>
      <xdr:row>19</xdr:row>
      <xdr:rowOff>109921</xdr:rowOff>
    </xdr:from>
    <xdr:to>
      <xdr:col>6</xdr:col>
      <xdr:colOff>442891</xdr:colOff>
      <xdr:row>20</xdr:row>
      <xdr:rowOff>112853</xdr:rowOff>
    </xdr:to>
    <xdr:sp macro="[0]!RoundedRectangle12_Click" textlink="">
      <xdr:nvSpPr>
        <xdr:cNvPr id="13" name="Rounded Rectangle 12"/>
        <xdr:cNvSpPr/>
      </xdr:nvSpPr>
      <xdr:spPr>
        <a:xfrm>
          <a:off x="5971435" y="3678133"/>
          <a:ext cx="237744" cy="230066"/>
        </a:xfrm>
        <a:prstGeom prst="roundRect">
          <a:avLst/>
        </a:prstGeom>
        <a:solidFill>
          <a:srgbClr val="FFFF00"/>
        </a:solidFill>
        <a:ln w="127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rgbClr val="0000FF"/>
              </a:solidFill>
              <a:latin typeface="Webdings" pitchFamily="18" charset="2"/>
            </a:rPr>
            <a:t>i</a:t>
          </a:r>
        </a:p>
      </xdr:txBody>
    </xdr:sp>
    <xdr:clientData/>
  </xdr:twoCellAnchor>
  <xdr:twoCellAnchor>
    <xdr:from>
      <xdr:col>1</xdr:col>
      <xdr:colOff>29307</xdr:colOff>
      <xdr:row>4</xdr:row>
      <xdr:rowOff>7327</xdr:rowOff>
    </xdr:from>
    <xdr:to>
      <xdr:col>2</xdr:col>
      <xdr:colOff>769325</xdr:colOff>
      <xdr:row>5</xdr:row>
      <xdr:rowOff>95250</xdr:rowOff>
    </xdr:to>
    <xdr:sp macro="[0]!Buhby" textlink="">
      <xdr:nvSpPr>
        <xdr:cNvPr id="6" name="Rectangle 5"/>
        <xdr:cNvSpPr/>
      </xdr:nvSpPr>
      <xdr:spPr>
        <a:xfrm>
          <a:off x="1480038" y="747346"/>
          <a:ext cx="1523999" cy="2124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8</xdr:col>
      <xdr:colOff>20515</xdr:colOff>
      <xdr:row>50</xdr:row>
      <xdr:rowOff>49823</xdr:rowOff>
    </xdr:from>
    <xdr:to>
      <xdr:col>9</xdr:col>
      <xdr:colOff>760533</xdr:colOff>
      <xdr:row>51</xdr:row>
      <xdr:rowOff>211015</xdr:rowOff>
    </xdr:to>
    <xdr:sp macro="[0]!Buhby" textlink="">
      <xdr:nvSpPr>
        <xdr:cNvPr id="15" name="Rectangle 14"/>
        <xdr:cNvSpPr/>
      </xdr:nvSpPr>
      <xdr:spPr>
        <a:xfrm>
          <a:off x="6680688" y="8893419"/>
          <a:ext cx="1523999" cy="21248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Angles">
      <a:dk1>
        <a:srgbClr val="000000"/>
      </a:dk1>
      <a:lt1>
        <a:srgbClr val="FFFFFF"/>
      </a:lt1>
      <a:dk2>
        <a:srgbClr val="434342"/>
      </a:dk2>
      <a:lt2>
        <a:srgbClr val="CDD7D9"/>
      </a:lt2>
      <a:accent1>
        <a:srgbClr val="797B7E"/>
      </a:accent1>
      <a:accent2>
        <a:srgbClr val="F96A1B"/>
      </a:accent2>
      <a:accent3>
        <a:srgbClr val="08A1D9"/>
      </a:accent3>
      <a:accent4>
        <a:srgbClr val="7C984A"/>
      </a:accent4>
      <a:accent5>
        <a:srgbClr val="C2AD8D"/>
      </a:accent5>
      <a:accent6>
        <a:srgbClr val="506E94"/>
      </a:accent6>
      <a:hlink>
        <a:srgbClr val="5F5F5F"/>
      </a:hlink>
      <a:folHlink>
        <a:srgbClr val="969696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CC99FF"/>
  </sheetPr>
  <dimension ref="A1:Q230"/>
  <sheetViews>
    <sheetView showGridLines="0" showRowColHeaders="0" tabSelected="1" zoomScale="124" zoomScaleNormal="124" workbookViewId="0">
      <selection activeCell="D4" sqref="D4:G4"/>
    </sheetView>
  </sheetViews>
  <sheetFormatPr defaultRowHeight="12.75" customHeight="1" x14ac:dyDescent="0.55000000000000004"/>
  <cols>
    <col min="1" max="1" width="25.578125" customWidth="1"/>
    <col min="2" max="2" width="15.68359375" customWidth="1"/>
    <col min="3" max="5" width="11.68359375" customWidth="1"/>
    <col min="6" max="6" width="11.68359375" hidden="1" customWidth="1"/>
    <col min="7" max="7" width="10.68359375" customWidth="1"/>
    <col min="8" max="10" width="11.68359375" customWidth="1"/>
    <col min="11" max="11" width="11.68359375" hidden="1" customWidth="1"/>
    <col min="12" max="12" width="10.68359375" customWidth="1"/>
    <col min="13" max="13" width="25.68359375" customWidth="1"/>
    <col min="14" max="14" width="12.68359375" customWidth="1"/>
  </cols>
  <sheetData>
    <row r="1" spans="1:17" s="1" customFormat="1" ht="15" x14ac:dyDescent="0.25">
      <c r="A1" s="2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/>
      <c r="O1" s="2"/>
      <c r="P1" s="2"/>
      <c r="Q1" s="2"/>
    </row>
    <row r="2" spans="1:17" s="1" customFormat="1" ht="18" customHeight="1" x14ac:dyDescent="0.25">
      <c r="A2" s="44"/>
      <c r="B2" s="133" t="s">
        <v>36</v>
      </c>
      <c r="C2" s="134"/>
      <c r="D2" s="134"/>
      <c r="E2" s="134"/>
      <c r="F2" s="134"/>
      <c r="G2" s="134"/>
      <c r="H2" s="134"/>
      <c r="I2" s="9" t="str">
        <f>IF(O10&lt;25,CONCATENATE(O10," Defined"),"")</f>
        <v>0 Defined</v>
      </c>
      <c r="J2" s="135" t="str">
        <f>CONCATENATE(25-O10," Available")</f>
        <v>25 Available</v>
      </c>
      <c r="K2" s="135"/>
      <c r="L2" s="136"/>
      <c r="M2" s="10"/>
      <c r="N2"/>
      <c r="O2" s="3"/>
      <c r="P2" s="2"/>
      <c r="Q2" s="2"/>
    </row>
    <row r="3" spans="1:17" s="14" customFormat="1" ht="15" customHeight="1" x14ac:dyDescent="0.55000000000000004">
      <c r="A3" s="11"/>
      <c r="B3" s="5"/>
      <c r="C3" s="5"/>
      <c r="D3" s="5"/>
      <c r="E3" s="5"/>
      <c r="F3" s="5"/>
      <c r="G3" s="5"/>
      <c r="H3" s="12"/>
      <c r="I3" s="144" t="str">
        <f>IF($N$9="OK","Check data, then click SAVE",IF(AND($O$10&gt;12,B2="For Written Declarations:  SAVED WAY POINTS"),"Scroll down to view list &amp; exit",IF(AND(B2&lt;&gt;"For Written Declarations:  SAVED WAY POINTS",OR($D$4=1,$N$9="NO")),"Data Entry Required to Add WP",IF(B2&lt;&gt;"For Written Declarations:  SAVED WAY POINTS","Scroll down to view list &amp; exit",""))))</f>
        <v>Data Entry Required to Add WP</v>
      </c>
      <c r="J3" s="144"/>
      <c r="K3" s="144"/>
      <c r="L3" s="144"/>
      <c r="M3" s="13"/>
      <c r="N3"/>
      <c r="O3" s="39"/>
      <c r="P3" s="40"/>
      <c r="Q3" s="40"/>
    </row>
    <row r="4" spans="1:17" s="14" customFormat="1" ht="18" customHeight="1" x14ac:dyDescent="0.5">
      <c r="A4" s="45"/>
      <c r="B4" s="137" t="s">
        <v>0</v>
      </c>
      <c r="C4" s="137"/>
      <c r="D4" s="138">
        <v>1</v>
      </c>
      <c r="E4" s="138"/>
      <c r="F4" s="138"/>
      <c r="G4" s="138"/>
      <c r="H4" s="15"/>
      <c r="I4" s="145"/>
      <c r="J4" s="145"/>
      <c r="K4" s="145"/>
      <c r="L4" s="145"/>
      <c r="M4" s="13"/>
      <c r="N4" s="38"/>
      <c r="O4" s="39"/>
      <c r="P4" s="40"/>
      <c r="Q4" s="40"/>
    </row>
    <row r="5" spans="1:17" s="14" customFormat="1" ht="6" customHeight="1" x14ac:dyDescent="0.5">
      <c r="A5" s="11"/>
      <c r="B5" s="5"/>
      <c r="C5" s="5"/>
      <c r="D5" s="5"/>
      <c r="E5" s="5"/>
      <c r="F5" s="5"/>
      <c r="G5" s="5"/>
      <c r="H5" s="15"/>
      <c r="I5" s="145"/>
      <c r="J5" s="145"/>
      <c r="K5" s="145"/>
      <c r="L5" s="145"/>
      <c r="M5" s="13"/>
      <c r="N5" s="38"/>
      <c r="O5" s="39"/>
      <c r="P5" s="40"/>
      <c r="Q5" s="40"/>
    </row>
    <row r="6" spans="1:17" s="14" customFormat="1" ht="6" customHeight="1" thickBot="1" x14ac:dyDescent="0.55000000000000004">
      <c r="A6" s="11"/>
      <c r="B6" s="5"/>
      <c r="C6" s="5"/>
      <c r="D6" s="5"/>
      <c r="E6" s="5"/>
      <c r="F6" s="5"/>
      <c r="G6" s="5"/>
      <c r="H6" s="16"/>
      <c r="I6" s="146"/>
      <c r="J6" s="146"/>
      <c r="K6" s="146"/>
      <c r="L6" s="146"/>
      <c r="M6" s="13"/>
      <c r="N6" s="38"/>
      <c r="O6" s="39"/>
      <c r="P6" s="40"/>
      <c r="Q6" s="40"/>
    </row>
    <row r="7" spans="1:17" s="14" customFormat="1" ht="20.100000000000001" customHeight="1" thickBot="1" x14ac:dyDescent="0.55000000000000004">
      <c r="A7" s="11"/>
      <c r="B7" s="139" t="s">
        <v>20</v>
      </c>
      <c r="C7" s="141" t="s">
        <v>1</v>
      </c>
      <c r="D7" s="142"/>
      <c r="E7" s="142"/>
      <c r="F7" s="142"/>
      <c r="G7" s="143"/>
      <c r="H7" s="141" t="s">
        <v>2</v>
      </c>
      <c r="I7" s="142"/>
      <c r="J7" s="142"/>
      <c r="K7" s="142"/>
      <c r="L7" s="143"/>
      <c r="M7" s="13"/>
      <c r="N7" s="38"/>
      <c r="O7" s="39"/>
      <c r="P7" s="40"/>
      <c r="Q7" s="40"/>
    </row>
    <row r="8" spans="1:17" s="1" customFormat="1" ht="20.100000000000001" customHeight="1" thickBot="1" x14ac:dyDescent="0.55000000000000004">
      <c r="A8" s="6"/>
      <c r="B8" s="140"/>
      <c r="C8" s="17" t="s">
        <v>3</v>
      </c>
      <c r="D8" s="17" t="s">
        <v>4</v>
      </c>
      <c r="E8" s="17" t="s">
        <v>5</v>
      </c>
      <c r="F8" s="17" t="s">
        <v>6</v>
      </c>
      <c r="G8" s="17" t="s">
        <v>7</v>
      </c>
      <c r="H8" s="17" t="s">
        <v>3</v>
      </c>
      <c r="I8" s="17" t="s">
        <v>4</v>
      </c>
      <c r="J8" s="17" t="s">
        <v>5</v>
      </c>
      <c r="K8" s="17" t="s">
        <v>6</v>
      </c>
      <c r="L8" s="17" t="s">
        <v>8</v>
      </c>
      <c r="M8" s="10"/>
      <c r="N8" s="37"/>
      <c r="O8" s="3"/>
      <c r="P8" s="3"/>
      <c r="Q8" s="2"/>
    </row>
    <row r="9" spans="1:17" s="1" customFormat="1" ht="20.100000000000001" customHeight="1" thickBot="1" x14ac:dyDescent="0.55000000000000004">
      <c r="A9" s="6"/>
      <c r="B9" s="36"/>
      <c r="C9" s="19"/>
      <c r="D9" s="20"/>
      <c r="E9" s="21"/>
      <c r="F9" s="22"/>
      <c r="G9" s="20"/>
      <c r="H9" s="19"/>
      <c r="I9" s="20"/>
      <c r="J9" s="18"/>
      <c r="K9" s="23"/>
      <c r="L9" s="24"/>
      <c r="M9" s="10"/>
      <c r="N9" s="37" t="str">
        <f>IF(AND(O10&lt;25,B9&lt;&gt;"",C9&lt;&gt;"",D9&lt;&gt;"",OR(E9&lt;&gt;"",F9&lt;&gt;""),G9&lt;&gt;"",H9&lt;&gt;"",I9&lt;&gt;"",OR(J9&lt;&gt;"",K9&lt;&gt;""),L9&lt;&gt;""),"OK","NO")</f>
        <v>NO</v>
      </c>
      <c r="O9" s="3"/>
      <c r="P9" s="3"/>
      <c r="Q9" s="2"/>
    </row>
    <row r="10" spans="1:17" s="1" customFormat="1" ht="12" customHeight="1" x14ac:dyDescent="0.5">
      <c r="A10" s="25"/>
      <c r="B10" s="26"/>
      <c r="C10" s="27"/>
      <c r="D10" s="28"/>
      <c r="E10" s="28"/>
      <c r="F10" s="28"/>
      <c r="G10" s="28"/>
      <c r="H10" s="27"/>
      <c r="I10" s="28"/>
      <c r="J10" s="26"/>
      <c r="K10" s="26"/>
      <c r="L10" s="26"/>
      <c r="M10" s="4"/>
      <c r="N10" s="37"/>
      <c r="O10" s="108">
        <f>SUM(N16:N40)</f>
        <v>0</v>
      </c>
      <c r="P10" s="3"/>
      <c r="Q10" s="2"/>
    </row>
    <row r="11" spans="1:17" s="1" customFormat="1" ht="18" customHeight="1" x14ac:dyDescent="0.5">
      <c r="A11" s="25"/>
      <c r="B11" s="129" t="s">
        <v>18</v>
      </c>
      <c r="C11" s="130"/>
      <c r="D11" s="130"/>
      <c r="E11" s="130"/>
      <c r="F11" s="130"/>
      <c r="G11" s="130"/>
      <c r="H11" s="130"/>
      <c r="I11" s="131" t="s">
        <v>19</v>
      </c>
      <c r="J11" s="131"/>
      <c r="K11" s="131"/>
      <c r="L11" s="132"/>
      <c r="M11" s="4"/>
      <c r="N11" s="37"/>
      <c r="O11" s="3"/>
      <c r="P11" s="3"/>
      <c r="Q11" s="2"/>
    </row>
    <row r="12" spans="1:17" s="1" customFormat="1" ht="20.100000000000001" customHeight="1" x14ac:dyDescent="0.5">
      <c r="B12" s="124" t="s">
        <v>21</v>
      </c>
      <c r="C12" s="124"/>
      <c r="D12" s="124"/>
      <c r="E12" s="124"/>
      <c r="F12" s="124"/>
      <c r="G12" s="124"/>
      <c r="H12" s="124"/>
      <c r="I12" s="124"/>
      <c r="J12" s="124"/>
      <c r="K12" s="124"/>
      <c r="L12" s="124"/>
      <c r="M12" s="4"/>
      <c r="N12" s="37"/>
      <c r="O12" s="3"/>
      <c r="P12" s="3"/>
      <c r="Q12" s="2"/>
    </row>
    <row r="13" spans="1:17" s="1" customFormat="1" ht="48" customHeight="1" thickBot="1" x14ac:dyDescent="0.55000000000000004">
      <c r="B13" s="125" t="s">
        <v>22</v>
      </c>
      <c r="C13" s="125"/>
      <c r="D13" s="125"/>
      <c r="E13" s="125"/>
      <c r="F13" s="125"/>
      <c r="G13" s="125"/>
      <c r="H13" s="125"/>
      <c r="I13" s="125"/>
      <c r="J13" s="125"/>
      <c r="K13" s="125"/>
      <c r="L13" s="125"/>
      <c r="N13" s="37"/>
      <c r="O13" s="3" t="s">
        <v>9</v>
      </c>
      <c r="P13" s="3" t="s">
        <v>10</v>
      </c>
      <c r="Q13" s="2" t="s">
        <v>11</v>
      </c>
    </row>
    <row r="14" spans="1:17" s="1" customFormat="1" ht="16" customHeight="1" thickBot="1" x14ac:dyDescent="0.6">
      <c r="A14"/>
      <c r="B14" s="33" t="s">
        <v>12</v>
      </c>
      <c r="C14" s="126" t="s">
        <v>1</v>
      </c>
      <c r="D14" s="127"/>
      <c r="E14" s="127"/>
      <c r="F14" s="127"/>
      <c r="G14" s="128"/>
      <c r="H14" s="126" t="s">
        <v>2</v>
      </c>
      <c r="I14" s="127"/>
      <c r="J14" s="127"/>
      <c r="K14" s="127"/>
      <c r="L14" s="128"/>
      <c r="N14" s="37"/>
      <c r="O14" s="3" t="s">
        <v>13</v>
      </c>
      <c r="P14" s="3" t="s">
        <v>14</v>
      </c>
      <c r="Q14" s="2" t="s">
        <v>15</v>
      </c>
    </row>
    <row r="15" spans="1:17" s="1" customFormat="1" ht="16" customHeight="1" thickBot="1" x14ac:dyDescent="0.3">
      <c r="A15"/>
      <c r="B15" s="48" t="s">
        <v>16</v>
      </c>
      <c r="C15" s="49" t="s">
        <v>3</v>
      </c>
      <c r="D15" s="49" t="s">
        <v>4</v>
      </c>
      <c r="E15" s="49" t="s">
        <v>5</v>
      </c>
      <c r="F15" s="49" t="s">
        <v>6</v>
      </c>
      <c r="G15" s="49" t="s">
        <v>7</v>
      </c>
      <c r="H15" s="49" t="s">
        <v>3</v>
      </c>
      <c r="I15" s="49" t="s">
        <v>4</v>
      </c>
      <c r="J15" s="49" t="s">
        <v>5</v>
      </c>
      <c r="K15" s="49" t="s">
        <v>6</v>
      </c>
      <c r="L15" s="49" t="s">
        <v>8</v>
      </c>
      <c r="N15" s="37"/>
      <c r="O15" s="3"/>
      <c r="P15" s="3"/>
      <c r="Q15" s="2" t="s">
        <v>17</v>
      </c>
    </row>
    <row r="16" spans="1:17" s="1" customFormat="1" ht="15" x14ac:dyDescent="0.25">
      <c r="A16" s="50" t="str">
        <f>IF($N$16=1,1,"")</f>
        <v/>
      </c>
      <c r="B16" s="56"/>
      <c r="C16" s="46"/>
      <c r="D16" s="47"/>
      <c r="E16" s="54"/>
      <c r="F16" s="47"/>
      <c r="G16" s="47"/>
      <c r="H16" s="46"/>
      <c r="I16" s="47"/>
      <c r="J16" s="54"/>
      <c r="K16" s="47"/>
      <c r="L16" s="47"/>
      <c r="M16" s="6"/>
      <c r="N16" s="37" t="str">
        <f>IF(AND(B16&lt;&gt;"",C16&lt;&gt;"",D16&lt;&gt;"",E16&lt;&gt;"",F16&lt;&gt;"",G16&lt;&gt;"",H16&lt;&gt;"",I16&lt;&gt;"",J16&lt;&gt;"",K16&lt;&gt;"",L16&lt;&gt;""),1,"")</f>
        <v/>
      </c>
      <c r="O16" s="2"/>
      <c r="P16" s="2"/>
      <c r="Q16" s="2"/>
    </row>
    <row r="17" spans="1:17" s="1" customFormat="1" ht="15" x14ac:dyDescent="0.25">
      <c r="A17" s="50" t="str">
        <f>IF(A16&lt;&gt;"",A16+1,"")</f>
        <v/>
      </c>
      <c r="B17" s="57"/>
      <c r="C17" s="29"/>
      <c r="D17" s="30"/>
      <c r="E17" s="55"/>
      <c r="F17" s="30"/>
      <c r="G17" s="30"/>
      <c r="H17" s="29"/>
      <c r="I17" s="30"/>
      <c r="J17" s="55"/>
      <c r="K17" s="30"/>
      <c r="L17" s="30"/>
      <c r="M17" s="6"/>
      <c r="N17" s="37" t="str">
        <f t="shared" ref="N17:N40" si="0">IF(AND(B17&lt;&gt;"",C17&lt;&gt;"",D17&lt;&gt;"",E17&lt;&gt;"",F17&lt;&gt;"",G17&lt;&gt;"",H17&lt;&gt;"",I17&lt;&gt;"",J17&lt;&gt;"",K17&lt;&gt;"",L17&lt;&gt;""),1,"")</f>
        <v/>
      </c>
      <c r="O17" s="2"/>
      <c r="P17" s="2"/>
      <c r="Q17" s="2"/>
    </row>
    <row r="18" spans="1:17" s="1" customFormat="1" ht="15" x14ac:dyDescent="0.25">
      <c r="A18" s="50" t="str">
        <f t="shared" ref="A18:A40" si="1">IF(A17&lt;&gt;"",A17+1,"")</f>
        <v/>
      </c>
      <c r="B18" s="57"/>
      <c r="C18" s="29"/>
      <c r="D18" s="30"/>
      <c r="E18" s="55"/>
      <c r="F18" s="30"/>
      <c r="G18" s="30"/>
      <c r="H18" s="29"/>
      <c r="I18" s="30"/>
      <c r="J18" s="55"/>
      <c r="K18" s="30"/>
      <c r="L18" s="30"/>
      <c r="M18" s="6"/>
      <c r="N18" s="37" t="str">
        <f t="shared" si="0"/>
        <v/>
      </c>
      <c r="O18" s="2"/>
      <c r="P18" s="2"/>
      <c r="Q18" s="2"/>
    </row>
    <row r="19" spans="1:17" s="1" customFormat="1" ht="15" x14ac:dyDescent="0.55000000000000004">
      <c r="A19" s="50" t="str">
        <f t="shared" si="1"/>
        <v/>
      </c>
      <c r="B19" s="57"/>
      <c r="C19" s="29"/>
      <c r="D19" s="30"/>
      <c r="E19" s="55"/>
      <c r="F19" s="30"/>
      <c r="G19" s="30"/>
      <c r="H19" s="29"/>
      <c r="I19" s="30"/>
      <c r="J19" s="55"/>
      <c r="K19" s="30"/>
      <c r="L19" s="30"/>
      <c r="M19" s="6"/>
      <c r="N19" s="37" t="str">
        <f t="shared" si="0"/>
        <v/>
      </c>
      <c r="O19" s="2"/>
      <c r="P19" s="2"/>
      <c r="Q19" s="2"/>
    </row>
    <row r="20" spans="1:17" s="1" customFormat="1" ht="15" x14ac:dyDescent="0.55000000000000004">
      <c r="A20" s="50" t="str">
        <f t="shared" si="1"/>
        <v/>
      </c>
      <c r="B20" s="57"/>
      <c r="C20" s="29"/>
      <c r="D20" s="30"/>
      <c r="E20" s="55"/>
      <c r="F20" s="30"/>
      <c r="G20" s="30"/>
      <c r="H20" s="29"/>
      <c r="I20" s="30"/>
      <c r="J20" s="55"/>
      <c r="K20" s="30"/>
      <c r="L20" s="30"/>
      <c r="N20" s="37" t="str">
        <f t="shared" si="0"/>
        <v/>
      </c>
      <c r="O20" s="2"/>
      <c r="P20" s="2"/>
      <c r="Q20" s="2"/>
    </row>
    <row r="21" spans="1:17" s="1" customFormat="1" ht="15" x14ac:dyDescent="0.55000000000000004">
      <c r="A21" s="50" t="str">
        <f t="shared" si="1"/>
        <v/>
      </c>
      <c r="B21" s="57"/>
      <c r="C21" s="29"/>
      <c r="D21" s="30"/>
      <c r="E21" s="55"/>
      <c r="F21" s="30"/>
      <c r="G21" s="30"/>
      <c r="H21" s="29"/>
      <c r="I21" s="30"/>
      <c r="J21" s="55"/>
      <c r="K21" s="30"/>
      <c r="L21" s="30"/>
      <c r="N21" s="37" t="str">
        <f t="shared" si="0"/>
        <v/>
      </c>
      <c r="O21" s="2"/>
      <c r="P21" s="2"/>
      <c r="Q21" s="2"/>
    </row>
    <row r="22" spans="1:17" s="1" customFormat="1" ht="15" x14ac:dyDescent="0.55000000000000004">
      <c r="A22" s="50" t="str">
        <f t="shared" si="1"/>
        <v/>
      </c>
      <c r="B22" s="57"/>
      <c r="C22" s="29"/>
      <c r="D22" s="30"/>
      <c r="E22" s="55"/>
      <c r="F22" s="30"/>
      <c r="G22" s="30"/>
      <c r="H22" s="29"/>
      <c r="I22" s="30"/>
      <c r="J22" s="55"/>
      <c r="K22" s="30"/>
      <c r="L22" s="30"/>
      <c r="N22" s="37" t="str">
        <f t="shared" si="0"/>
        <v/>
      </c>
      <c r="O22" s="2"/>
      <c r="P22" s="2"/>
      <c r="Q22" s="2"/>
    </row>
    <row r="23" spans="1:17" s="1" customFormat="1" ht="15" x14ac:dyDescent="0.55000000000000004">
      <c r="A23" s="50" t="str">
        <f t="shared" si="1"/>
        <v/>
      </c>
      <c r="B23" s="57"/>
      <c r="C23" s="29"/>
      <c r="D23" s="30"/>
      <c r="E23" s="55"/>
      <c r="F23" s="30"/>
      <c r="G23" s="30"/>
      <c r="H23" s="29"/>
      <c r="I23" s="30"/>
      <c r="J23" s="55"/>
      <c r="K23" s="30"/>
      <c r="L23" s="30"/>
      <c r="N23" s="37" t="str">
        <f t="shared" si="0"/>
        <v/>
      </c>
      <c r="O23" s="2"/>
      <c r="P23" s="2"/>
      <c r="Q23" s="41"/>
    </row>
    <row r="24" spans="1:17" s="1" customFormat="1" ht="15" x14ac:dyDescent="0.55000000000000004">
      <c r="A24" s="50" t="str">
        <f t="shared" si="1"/>
        <v/>
      </c>
      <c r="B24" s="57"/>
      <c r="C24" s="29"/>
      <c r="D24" s="30"/>
      <c r="E24" s="55"/>
      <c r="F24" s="30"/>
      <c r="G24" s="30"/>
      <c r="H24" s="29"/>
      <c r="I24" s="30"/>
      <c r="J24" s="55"/>
      <c r="K24" s="30"/>
      <c r="L24" s="30"/>
      <c r="N24" s="37" t="str">
        <f t="shared" si="0"/>
        <v/>
      </c>
      <c r="O24" s="2"/>
      <c r="P24" s="2"/>
      <c r="Q24" s="41"/>
    </row>
    <row r="25" spans="1:17" s="1" customFormat="1" ht="15" x14ac:dyDescent="0.55000000000000004">
      <c r="A25" s="50" t="str">
        <f t="shared" si="1"/>
        <v/>
      </c>
      <c r="B25" s="57"/>
      <c r="C25" s="29"/>
      <c r="D25" s="30"/>
      <c r="E25" s="55"/>
      <c r="F25" s="30"/>
      <c r="G25" s="30"/>
      <c r="H25" s="29"/>
      <c r="I25" s="30"/>
      <c r="J25" s="55"/>
      <c r="K25" s="30"/>
      <c r="L25" s="30"/>
      <c r="N25" s="37" t="str">
        <f t="shared" si="0"/>
        <v/>
      </c>
      <c r="O25" s="2"/>
      <c r="P25" s="2"/>
      <c r="Q25" s="41"/>
    </row>
    <row r="26" spans="1:17" s="1" customFormat="1" ht="15" x14ac:dyDescent="0.55000000000000004">
      <c r="A26" s="50" t="str">
        <f t="shared" si="1"/>
        <v/>
      </c>
      <c r="B26" s="57"/>
      <c r="C26" s="29"/>
      <c r="D26" s="30"/>
      <c r="E26" s="55"/>
      <c r="F26" s="30"/>
      <c r="G26" s="30"/>
      <c r="H26" s="29"/>
      <c r="I26" s="30"/>
      <c r="J26" s="55"/>
      <c r="K26" s="30"/>
      <c r="L26" s="30"/>
      <c r="N26" s="37" t="str">
        <f t="shared" si="0"/>
        <v/>
      </c>
      <c r="O26" s="2"/>
      <c r="P26" s="2"/>
      <c r="Q26" s="41"/>
    </row>
    <row r="27" spans="1:17" s="1" customFormat="1" ht="15" x14ac:dyDescent="0.55000000000000004">
      <c r="A27" s="50" t="str">
        <f t="shared" si="1"/>
        <v/>
      </c>
      <c r="B27" s="57"/>
      <c r="C27" s="29"/>
      <c r="D27" s="30"/>
      <c r="E27" s="55"/>
      <c r="F27" s="30"/>
      <c r="G27" s="30"/>
      <c r="H27" s="29"/>
      <c r="I27" s="30"/>
      <c r="J27" s="55"/>
      <c r="K27" s="30"/>
      <c r="L27" s="30"/>
      <c r="N27" s="37" t="str">
        <f t="shared" si="0"/>
        <v/>
      </c>
      <c r="O27" s="2"/>
      <c r="P27" s="2"/>
      <c r="Q27" s="41"/>
    </row>
    <row r="28" spans="1:17" s="1" customFormat="1" ht="15" x14ac:dyDescent="0.55000000000000004">
      <c r="A28" s="50" t="str">
        <f t="shared" si="1"/>
        <v/>
      </c>
      <c r="B28" s="57"/>
      <c r="C28" s="29"/>
      <c r="D28" s="30"/>
      <c r="E28" s="55"/>
      <c r="F28" s="30"/>
      <c r="G28" s="30"/>
      <c r="H28" s="29"/>
      <c r="I28" s="30"/>
      <c r="J28" s="55"/>
      <c r="K28" s="30"/>
      <c r="L28" s="30"/>
      <c r="N28" s="37" t="str">
        <f t="shared" si="0"/>
        <v/>
      </c>
      <c r="O28" s="2"/>
      <c r="P28" s="2"/>
      <c r="Q28" s="41"/>
    </row>
    <row r="29" spans="1:17" s="1" customFormat="1" ht="15" x14ac:dyDescent="0.55000000000000004">
      <c r="A29" s="50" t="str">
        <f t="shared" si="1"/>
        <v/>
      </c>
      <c r="B29" s="57"/>
      <c r="C29" s="29"/>
      <c r="D29" s="30"/>
      <c r="E29" s="55"/>
      <c r="F29" s="30"/>
      <c r="G29" s="30"/>
      <c r="H29" s="29"/>
      <c r="I29" s="30"/>
      <c r="J29" s="55"/>
      <c r="K29" s="30"/>
      <c r="L29" s="30"/>
      <c r="N29" s="37" t="str">
        <f t="shared" si="0"/>
        <v/>
      </c>
      <c r="O29" s="2"/>
      <c r="P29" s="2"/>
      <c r="Q29" s="41"/>
    </row>
    <row r="30" spans="1:17" s="1" customFormat="1" ht="15" x14ac:dyDescent="0.55000000000000004">
      <c r="A30" s="50" t="str">
        <f t="shared" si="1"/>
        <v/>
      </c>
      <c r="B30" s="57"/>
      <c r="C30" s="29"/>
      <c r="D30" s="30"/>
      <c r="E30" s="55"/>
      <c r="F30" s="30"/>
      <c r="G30" s="30"/>
      <c r="H30" s="29"/>
      <c r="I30" s="30"/>
      <c r="J30" s="55"/>
      <c r="K30" s="30"/>
      <c r="L30" s="30"/>
      <c r="N30" s="37" t="str">
        <f t="shared" si="0"/>
        <v/>
      </c>
      <c r="O30" s="2"/>
      <c r="P30" s="2"/>
      <c r="Q30" s="41"/>
    </row>
    <row r="31" spans="1:17" s="1" customFormat="1" ht="15" x14ac:dyDescent="0.55000000000000004">
      <c r="A31" s="50" t="str">
        <f t="shared" si="1"/>
        <v/>
      </c>
      <c r="B31" s="57"/>
      <c r="C31" s="29"/>
      <c r="D31" s="30"/>
      <c r="E31" s="55"/>
      <c r="F31" s="30"/>
      <c r="G31" s="30"/>
      <c r="H31" s="29"/>
      <c r="I31" s="30"/>
      <c r="J31" s="55"/>
      <c r="K31" s="30"/>
      <c r="L31" s="30"/>
      <c r="N31" s="37" t="str">
        <f t="shared" si="0"/>
        <v/>
      </c>
      <c r="O31" s="2"/>
      <c r="P31" s="2"/>
      <c r="Q31" s="41"/>
    </row>
    <row r="32" spans="1:17" s="1" customFormat="1" ht="15" x14ac:dyDescent="0.55000000000000004">
      <c r="A32" s="50" t="str">
        <f t="shared" si="1"/>
        <v/>
      </c>
      <c r="B32" s="57"/>
      <c r="C32" s="29"/>
      <c r="D32" s="30"/>
      <c r="E32" s="55"/>
      <c r="F32" s="30"/>
      <c r="G32" s="30"/>
      <c r="H32" s="29"/>
      <c r="I32" s="30"/>
      <c r="J32" s="55"/>
      <c r="K32" s="30"/>
      <c r="L32" s="30"/>
      <c r="N32" s="37" t="str">
        <f t="shared" si="0"/>
        <v/>
      </c>
      <c r="O32" s="2"/>
      <c r="P32" s="2"/>
      <c r="Q32" s="41"/>
    </row>
    <row r="33" spans="1:17" s="1" customFormat="1" ht="15" x14ac:dyDescent="0.55000000000000004">
      <c r="A33" s="50" t="str">
        <f t="shared" si="1"/>
        <v/>
      </c>
      <c r="B33" s="57"/>
      <c r="C33" s="29"/>
      <c r="D33" s="30"/>
      <c r="E33" s="55"/>
      <c r="F33" s="30"/>
      <c r="G33" s="30"/>
      <c r="H33" s="29"/>
      <c r="I33" s="30"/>
      <c r="J33" s="55"/>
      <c r="K33" s="30"/>
      <c r="L33" s="30"/>
      <c r="N33" s="37" t="str">
        <f t="shared" si="0"/>
        <v/>
      </c>
      <c r="O33" s="2"/>
      <c r="P33" s="2"/>
      <c r="Q33" s="41"/>
    </row>
    <row r="34" spans="1:17" s="1" customFormat="1" ht="15" x14ac:dyDescent="0.55000000000000004">
      <c r="A34" s="50" t="str">
        <f t="shared" si="1"/>
        <v/>
      </c>
      <c r="B34" s="57"/>
      <c r="C34" s="29"/>
      <c r="D34" s="30"/>
      <c r="E34" s="55"/>
      <c r="F34" s="30"/>
      <c r="G34" s="30"/>
      <c r="H34" s="29"/>
      <c r="I34" s="30"/>
      <c r="J34" s="55"/>
      <c r="K34" s="30"/>
      <c r="L34" s="30"/>
      <c r="N34" s="37" t="str">
        <f t="shared" si="0"/>
        <v/>
      </c>
      <c r="O34" s="2"/>
      <c r="P34" s="2"/>
      <c r="Q34" s="41"/>
    </row>
    <row r="35" spans="1:17" s="1" customFormat="1" ht="15" x14ac:dyDescent="0.55000000000000004">
      <c r="A35" s="50" t="str">
        <f t="shared" si="1"/>
        <v/>
      </c>
      <c r="B35" s="57"/>
      <c r="C35" s="29"/>
      <c r="D35" s="30"/>
      <c r="E35" s="55"/>
      <c r="F35" s="30"/>
      <c r="G35" s="30"/>
      <c r="H35" s="29"/>
      <c r="I35" s="30"/>
      <c r="J35" s="55"/>
      <c r="K35" s="30"/>
      <c r="L35" s="30"/>
      <c r="N35" s="37" t="str">
        <f t="shared" si="0"/>
        <v/>
      </c>
      <c r="O35" s="2"/>
      <c r="P35" s="2"/>
      <c r="Q35" s="41"/>
    </row>
    <row r="36" spans="1:17" s="1" customFormat="1" ht="15" x14ac:dyDescent="0.55000000000000004">
      <c r="A36" s="50" t="str">
        <f t="shared" si="1"/>
        <v/>
      </c>
      <c r="B36" s="57"/>
      <c r="C36" s="29"/>
      <c r="D36" s="30"/>
      <c r="E36" s="55"/>
      <c r="F36" s="30"/>
      <c r="G36" s="30"/>
      <c r="H36" s="29"/>
      <c r="I36" s="30"/>
      <c r="J36" s="55"/>
      <c r="K36" s="30"/>
      <c r="L36" s="30"/>
      <c r="N36" s="37" t="str">
        <f t="shared" si="0"/>
        <v/>
      </c>
      <c r="O36" s="2"/>
      <c r="P36" s="2"/>
      <c r="Q36" s="41"/>
    </row>
    <row r="37" spans="1:17" s="1" customFormat="1" ht="15" customHeight="1" x14ac:dyDescent="0.55000000000000004">
      <c r="A37" s="50" t="str">
        <f t="shared" si="1"/>
        <v/>
      </c>
      <c r="B37" s="57"/>
      <c r="C37" s="29"/>
      <c r="D37" s="30"/>
      <c r="E37" s="55"/>
      <c r="F37" s="30"/>
      <c r="G37" s="30"/>
      <c r="H37" s="29"/>
      <c r="I37" s="30"/>
      <c r="J37" s="55"/>
      <c r="K37" s="30"/>
      <c r="L37" s="30"/>
      <c r="N37" s="37" t="str">
        <f t="shared" si="0"/>
        <v/>
      </c>
      <c r="O37" s="2"/>
      <c r="P37" s="2"/>
      <c r="Q37" s="41"/>
    </row>
    <row r="38" spans="1:17" s="1" customFormat="1" ht="15" customHeight="1" x14ac:dyDescent="0.55000000000000004">
      <c r="A38" s="50" t="str">
        <f t="shared" si="1"/>
        <v/>
      </c>
      <c r="B38" s="57"/>
      <c r="C38" s="29"/>
      <c r="D38" s="30"/>
      <c r="E38" s="55"/>
      <c r="F38" s="30"/>
      <c r="G38" s="30"/>
      <c r="H38" s="29"/>
      <c r="I38" s="30"/>
      <c r="J38" s="55"/>
      <c r="K38" s="30"/>
      <c r="L38" s="30"/>
      <c r="N38" s="37" t="str">
        <f t="shared" si="0"/>
        <v/>
      </c>
      <c r="O38" s="2"/>
      <c r="P38" s="2"/>
      <c r="Q38" s="41"/>
    </row>
    <row r="39" spans="1:17" s="1" customFormat="1" ht="15" customHeight="1" x14ac:dyDescent="0.55000000000000004">
      <c r="A39" s="50" t="str">
        <f t="shared" si="1"/>
        <v/>
      </c>
      <c r="B39" s="57"/>
      <c r="C39" s="29"/>
      <c r="D39" s="30"/>
      <c r="E39" s="55"/>
      <c r="F39" s="30"/>
      <c r="G39" s="30"/>
      <c r="H39" s="29"/>
      <c r="I39" s="30"/>
      <c r="J39" s="55"/>
      <c r="K39" s="30"/>
      <c r="L39" s="30"/>
      <c r="N39" s="37" t="str">
        <f t="shared" si="0"/>
        <v/>
      </c>
      <c r="O39" s="2"/>
      <c r="P39" s="2"/>
      <c r="Q39" s="41"/>
    </row>
    <row r="40" spans="1:17" s="1" customFormat="1" ht="15" x14ac:dyDescent="0.55000000000000004">
      <c r="A40" s="50" t="str">
        <f t="shared" si="1"/>
        <v/>
      </c>
      <c r="B40" s="57"/>
      <c r="C40" s="29"/>
      <c r="D40" s="30"/>
      <c r="E40" s="55"/>
      <c r="F40" s="30"/>
      <c r="G40" s="30"/>
      <c r="H40" s="29"/>
      <c r="I40" s="30"/>
      <c r="J40" s="55"/>
      <c r="K40" s="30"/>
      <c r="L40" s="30"/>
      <c r="N40" s="37" t="str">
        <f t="shared" si="0"/>
        <v/>
      </c>
      <c r="O40" s="2"/>
      <c r="P40" s="2"/>
      <c r="Q40" s="41"/>
    </row>
    <row r="41" spans="1:17" s="1" customFormat="1" ht="15" customHeight="1" x14ac:dyDescent="0.55000000000000004">
      <c r="A41"/>
      <c r="B41" s="35"/>
      <c r="C41" s="34"/>
      <c r="D41" s="35"/>
      <c r="E41" s="35"/>
      <c r="F41" s="42"/>
      <c r="G41" s="35"/>
      <c r="H41" s="34"/>
      <c r="I41" s="35"/>
      <c r="J41" s="35"/>
      <c r="K41" s="42"/>
      <c r="L41" s="35"/>
      <c r="Q41" s="8"/>
    </row>
    <row r="42" spans="1:17" s="1" customFormat="1" ht="17.100000000000001" customHeight="1" x14ac:dyDescent="0.55000000000000004">
      <c r="A42"/>
      <c r="B42" s="52" t="s">
        <v>23</v>
      </c>
      <c r="C42" s="52"/>
      <c r="D42" s="52"/>
      <c r="E42" s="7"/>
      <c r="F42" s="7"/>
      <c r="G42" s="7"/>
      <c r="H42" s="31"/>
      <c r="I42" s="31"/>
      <c r="J42" s="31"/>
      <c r="K42" s="43"/>
      <c r="L42" s="31"/>
      <c r="Q42" s="8"/>
    </row>
    <row r="43" spans="1:17" s="1" customFormat="1" ht="4" customHeight="1" x14ac:dyDescent="0.55000000000000004">
      <c r="A43"/>
      <c r="B43" s="8"/>
      <c r="C43" s="8"/>
      <c r="D43" s="8"/>
      <c r="E43" s="8"/>
      <c r="F43" s="8"/>
      <c r="G43" s="8"/>
      <c r="Q43" s="8"/>
    </row>
    <row r="44" spans="1:17" s="1" customFormat="1" ht="17.100000000000001" customHeight="1" x14ac:dyDescent="0.55000000000000004">
      <c r="A44"/>
      <c r="B44" s="122"/>
      <c r="C44" s="122"/>
      <c r="D44" s="122"/>
      <c r="E44" s="122"/>
      <c r="F44" s="122"/>
      <c r="G44" s="122"/>
      <c r="H44" s="32"/>
      <c r="I44" s="32"/>
      <c r="J44" s="32"/>
      <c r="K44" s="32"/>
      <c r="L44" s="32"/>
      <c r="Q44" s="8"/>
    </row>
    <row r="45" spans="1:17" s="1" customFormat="1" ht="4" customHeight="1" x14ac:dyDescent="0.55000000000000004">
      <c r="A45"/>
      <c r="B45" s="8"/>
      <c r="C45" s="8"/>
      <c r="D45" s="8"/>
      <c r="E45" s="8"/>
      <c r="F45" s="8"/>
      <c r="G45" s="8"/>
    </row>
    <row r="46" spans="1:17" s="1" customFormat="1" ht="17.100000000000001" customHeight="1" x14ac:dyDescent="0.55000000000000004">
      <c r="A46"/>
      <c r="B46" s="123"/>
      <c r="C46" s="123"/>
      <c r="D46" s="123"/>
      <c r="E46" s="123"/>
      <c r="F46" s="123"/>
      <c r="G46" s="123"/>
      <c r="H46" s="123"/>
      <c r="I46" s="123"/>
      <c r="J46" s="123"/>
      <c r="K46" s="123"/>
      <c r="L46" s="123"/>
    </row>
    <row r="47" spans="1:17" s="1" customFormat="1" ht="14.4" x14ac:dyDescent="0.55000000000000004">
      <c r="A47"/>
    </row>
    <row r="48" spans="1:17" s="1" customFormat="1" ht="14.4" x14ac:dyDescent="0.55000000000000004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s="1" customFormat="1" ht="14.4" x14ac:dyDescent="0.55000000000000004">
      <c r="A49" s="51"/>
      <c r="B49" s="53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s="1" customFormat="1" ht="14.4" x14ac:dyDescent="0.55000000000000004">
      <c r="A50" s="53"/>
      <c r="B50" s="58" t="str">
        <f t="shared" ref="B50:B74" si="2">CONCATENATE(B16,"::",C16,":",D16,":",E16,":",F16,":",G16,"::",H16,":",I16,":",J16,":",K16,":",L16)</f>
        <v>::::::::::::</v>
      </c>
      <c r="C50" s="53"/>
      <c r="D50" s="53"/>
      <c r="E50" s="53"/>
      <c r="F50" s="53"/>
      <c r="G50" s="53"/>
      <c r="H50"/>
      <c r="I50"/>
      <c r="J50"/>
      <c r="K50"/>
      <c r="L50"/>
      <c r="M50"/>
      <c r="N50"/>
      <c r="O50"/>
      <c r="P50"/>
      <c r="Q50"/>
    </row>
    <row r="51" spans="1:17" s="1" customFormat="1" ht="14.4" x14ac:dyDescent="0.55000000000000004">
      <c r="A51" s="53"/>
      <c r="B51" s="58" t="str">
        <f t="shared" si="2"/>
        <v>::::::::::::</v>
      </c>
      <c r="C51" s="53"/>
      <c r="D51" s="53"/>
      <c r="E51" s="53"/>
      <c r="F51" s="53"/>
      <c r="G51" s="53"/>
      <c r="H51"/>
      <c r="I51"/>
      <c r="J51"/>
      <c r="K51"/>
      <c r="L51"/>
      <c r="M51"/>
      <c r="N51"/>
      <c r="O51"/>
      <c r="P51"/>
      <c r="Q51"/>
    </row>
    <row r="52" spans="1:17" s="1" customFormat="1" ht="14.4" x14ac:dyDescent="0.55000000000000004">
      <c r="A52" s="53"/>
      <c r="B52" s="58" t="str">
        <f t="shared" si="2"/>
        <v>::::::::::::</v>
      </c>
      <c r="C52" s="53"/>
      <c r="D52" s="53"/>
      <c r="E52" s="53"/>
      <c r="F52" s="53"/>
      <c r="G52" s="53"/>
      <c r="H52"/>
      <c r="I52"/>
      <c r="J52"/>
      <c r="K52"/>
      <c r="L52"/>
      <c r="M52"/>
      <c r="N52"/>
      <c r="O52"/>
      <c r="P52"/>
      <c r="Q52"/>
    </row>
    <row r="53" spans="1:17" s="1" customFormat="1" ht="14.4" x14ac:dyDescent="0.55000000000000004">
      <c r="A53" s="53"/>
      <c r="B53" s="58" t="str">
        <f t="shared" si="2"/>
        <v>::::::::::::</v>
      </c>
      <c r="C53" s="53"/>
      <c r="D53" s="53"/>
      <c r="E53" s="53"/>
      <c r="F53" s="53"/>
      <c r="G53" s="53"/>
      <c r="H53" s="109"/>
      <c r="I53" s="109"/>
      <c r="J53" s="109"/>
      <c r="K53" s="109"/>
      <c r="L53" s="109"/>
      <c r="M53" s="109"/>
      <c r="N53"/>
      <c r="O53"/>
      <c r="P53"/>
      <c r="Q53"/>
    </row>
    <row r="54" spans="1:17" s="1" customFormat="1" ht="14.4" x14ac:dyDescent="0.55000000000000004">
      <c r="A54" s="53"/>
      <c r="B54" s="58" t="str">
        <f t="shared" si="2"/>
        <v>::::::::::::</v>
      </c>
      <c r="C54" s="53"/>
      <c r="D54" s="53"/>
      <c r="E54" s="53"/>
      <c r="F54" s="53"/>
      <c r="G54" s="53"/>
      <c r="H54" s="109"/>
      <c r="I54" s="109"/>
      <c r="J54" s="109"/>
      <c r="K54" s="109"/>
      <c r="L54" s="109"/>
      <c r="M54" s="109"/>
      <c r="N54"/>
      <c r="O54"/>
      <c r="P54"/>
      <c r="Q54"/>
    </row>
    <row r="55" spans="1:17" s="1" customFormat="1" ht="14.4" x14ac:dyDescent="0.55000000000000004">
      <c r="A55" s="53"/>
      <c r="B55" s="58" t="str">
        <f t="shared" si="2"/>
        <v>::::::::::::</v>
      </c>
      <c r="C55" s="53"/>
      <c r="D55" s="53"/>
      <c r="E55" s="53"/>
      <c r="F55" s="53"/>
      <c r="G55" s="53"/>
      <c r="H55" s="109"/>
      <c r="I55" s="109"/>
      <c r="J55" s="109"/>
      <c r="K55" s="109"/>
      <c r="L55" s="109"/>
      <c r="M55" s="109"/>
      <c r="N55"/>
      <c r="O55"/>
      <c r="P55"/>
      <c r="Q55"/>
    </row>
    <row r="56" spans="1:17" s="1" customFormat="1" ht="14.4" x14ac:dyDescent="0.55000000000000004">
      <c r="A56" s="53"/>
      <c r="B56" s="58" t="str">
        <f t="shared" si="2"/>
        <v>::::::::::::</v>
      </c>
      <c r="C56" s="53"/>
      <c r="D56" s="53"/>
      <c r="E56" s="53"/>
      <c r="F56" s="53"/>
      <c r="G56" s="53"/>
      <c r="H56" s="109"/>
      <c r="I56" s="109"/>
      <c r="J56" s="109"/>
      <c r="K56" s="109"/>
      <c r="L56" s="109"/>
      <c r="M56" s="109"/>
      <c r="N56"/>
      <c r="O56"/>
      <c r="P56"/>
      <c r="Q56"/>
    </row>
    <row r="57" spans="1:17" s="1" customFormat="1" ht="14.4" x14ac:dyDescent="0.55000000000000004">
      <c r="A57" s="53"/>
      <c r="B57" s="58" t="str">
        <f t="shared" si="2"/>
        <v>::::::::::::</v>
      </c>
      <c r="C57" s="53"/>
      <c r="D57" s="53"/>
      <c r="E57" s="53"/>
      <c r="F57" s="53"/>
      <c r="G57" s="53"/>
      <c r="H57" s="109"/>
      <c r="I57" s="109"/>
      <c r="J57" s="109"/>
      <c r="K57" s="109"/>
      <c r="L57" s="109"/>
      <c r="M57" s="109"/>
      <c r="N57"/>
      <c r="O57"/>
      <c r="P57"/>
      <c r="Q57"/>
    </row>
    <row r="58" spans="1:17" s="1" customFormat="1" ht="14.4" x14ac:dyDescent="0.55000000000000004">
      <c r="A58" s="53"/>
      <c r="B58" s="58" t="str">
        <f t="shared" si="2"/>
        <v>::::::::::::</v>
      </c>
      <c r="C58" s="53"/>
      <c r="D58" s="53"/>
      <c r="E58" s="53"/>
      <c r="F58" s="53"/>
      <c r="G58" s="53"/>
      <c r="H58" s="109"/>
      <c r="I58" s="109"/>
      <c r="J58" s="109"/>
      <c r="K58" s="109"/>
      <c r="L58" s="109"/>
      <c r="M58" s="109"/>
      <c r="N58"/>
      <c r="O58"/>
      <c r="P58"/>
      <c r="Q58"/>
    </row>
    <row r="59" spans="1:17" s="1" customFormat="1" ht="14.4" x14ac:dyDescent="0.55000000000000004">
      <c r="A59" s="53"/>
      <c r="B59" s="58" t="str">
        <f t="shared" si="2"/>
        <v>::::::::::::</v>
      </c>
      <c r="C59" s="53"/>
      <c r="D59" s="53"/>
      <c r="E59" s="53"/>
      <c r="F59" s="53"/>
      <c r="G59" s="53"/>
      <c r="H59" s="109"/>
      <c r="I59" s="109"/>
      <c r="J59" s="109"/>
      <c r="K59" s="109"/>
      <c r="L59" s="109"/>
      <c r="M59" s="109"/>
      <c r="N59"/>
      <c r="O59"/>
      <c r="P59"/>
      <c r="Q59"/>
    </row>
    <row r="60" spans="1:17" s="1" customFormat="1" ht="14.4" x14ac:dyDescent="0.55000000000000004">
      <c r="A60" s="53"/>
      <c r="B60" s="58" t="str">
        <f t="shared" si="2"/>
        <v>::::::::::::</v>
      </c>
      <c r="C60" s="53"/>
      <c r="D60" s="53"/>
      <c r="E60" s="53"/>
      <c r="F60" s="53"/>
      <c r="G60" s="53"/>
      <c r="H60" s="109"/>
      <c r="I60" s="109"/>
      <c r="J60" s="109"/>
      <c r="K60" s="109"/>
      <c r="L60" s="109"/>
      <c r="M60" s="109"/>
      <c r="N60"/>
      <c r="O60"/>
      <c r="P60"/>
      <c r="Q60"/>
    </row>
    <row r="61" spans="1:17" s="1" customFormat="1" ht="14.4" x14ac:dyDescent="0.55000000000000004">
      <c r="A61" s="53"/>
      <c r="B61" s="58" t="str">
        <f t="shared" si="2"/>
        <v>::::::::::::</v>
      </c>
      <c r="C61" s="53"/>
      <c r="D61" s="53"/>
      <c r="E61" s="53"/>
      <c r="F61" s="53"/>
      <c r="G61" s="53"/>
      <c r="H61" s="109"/>
      <c r="I61" s="109"/>
      <c r="J61" s="109"/>
      <c r="K61" s="109"/>
      <c r="L61" s="109"/>
      <c r="M61" s="109"/>
      <c r="N61"/>
      <c r="O61"/>
      <c r="P61"/>
      <c r="Q61"/>
    </row>
    <row r="62" spans="1:17" s="1" customFormat="1" ht="14.4" x14ac:dyDescent="0.55000000000000004">
      <c r="A62" s="53"/>
      <c r="B62" s="58" t="str">
        <f t="shared" si="2"/>
        <v>::::::::::::</v>
      </c>
      <c r="C62" s="53"/>
      <c r="D62" s="53"/>
      <c r="E62" s="53"/>
      <c r="F62" s="53"/>
      <c r="G62" s="53"/>
      <c r="H62" s="109"/>
      <c r="I62" s="109"/>
      <c r="J62" s="109"/>
      <c r="K62" s="109"/>
      <c r="L62" s="109"/>
      <c r="M62" s="109"/>
      <c r="N62"/>
      <c r="O62"/>
      <c r="P62"/>
      <c r="Q62"/>
    </row>
    <row r="63" spans="1:17" s="1" customFormat="1" ht="14.4" x14ac:dyDescent="0.55000000000000004">
      <c r="A63" s="53"/>
      <c r="B63" s="58" t="str">
        <f t="shared" si="2"/>
        <v>::::::::::::</v>
      </c>
      <c r="C63" s="53"/>
      <c r="D63" s="53"/>
      <c r="E63" s="53"/>
      <c r="F63" s="53"/>
      <c r="G63" s="53"/>
      <c r="H63" s="109"/>
      <c r="I63" s="109"/>
      <c r="J63" s="109"/>
      <c r="K63" s="109"/>
      <c r="L63" s="109"/>
      <c r="M63" s="109"/>
      <c r="N63"/>
      <c r="O63"/>
      <c r="P63"/>
      <c r="Q63"/>
    </row>
    <row r="64" spans="1:17" s="1" customFormat="1" ht="14.4" x14ac:dyDescent="0.55000000000000004">
      <c r="A64" s="53"/>
      <c r="B64" s="58" t="str">
        <f t="shared" si="2"/>
        <v>::::::::::::</v>
      </c>
      <c r="C64" s="53"/>
      <c r="D64" s="53"/>
      <c r="E64" s="53"/>
      <c r="F64" s="53"/>
      <c r="G64" s="53"/>
      <c r="H64" s="109"/>
      <c r="I64" s="109"/>
      <c r="J64" s="109"/>
      <c r="K64" s="109"/>
      <c r="L64" s="109"/>
      <c r="M64" s="109"/>
      <c r="N64"/>
      <c r="O64"/>
      <c r="P64"/>
      <c r="Q64"/>
    </row>
    <row r="65" spans="1:17" s="1" customFormat="1" ht="14.4" x14ac:dyDescent="0.55000000000000004">
      <c r="A65" s="53"/>
      <c r="B65" s="58" t="str">
        <f t="shared" si="2"/>
        <v>::::::::::::</v>
      </c>
      <c r="C65" s="53"/>
      <c r="D65" s="53"/>
      <c r="E65" s="53"/>
      <c r="F65" s="53"/>
      <c r="G65" s="53"/>
      <c r="H65" s="109"/>
      <c r="I65" s="109"/>
      <c r="J65" s="109"/>
      <c r="K65" s="109"/>
      <c r="L65" s="109"/>
      <c r="M65" s="109"/>
      <c r="N65"/>
      <c r="O65"/>
      <c r="P65"/>
      <c r="Q65"/>
    </row>
    <row r="66" spans="1:17" s="1" customFormat="1" ht="14.4" x14ac:dyDescent="0.55000000000000004">
      <c r="A66" s="53"/>
      <c r="B66" s="58" t="str">
        <f t="shared" si="2"/>
        <v>::::::::::::</v>
      </c>
      <c r="C66" s="53"/>
      <c r="D66" s="53"/>
      <c r="E66" s="53"/>
      <c r="F66" s="53"/>
      <c r="G66" s="53"/>
      <c r="H66" s="109"/>
      <c r="I66" s="109"/>
      <c r="J66" s="109"/>
      <c r="K66" s="109"/>
      <c r="L66" s="109"/>
      <c r="M66" s="109"/>
      <c r="N66"/>
      <c r="O66"/>
      <c r="P66"/>
      <c r="Q66"/>
    </row>
    <row r="67" spans="1:17" s="1" customFormat="1" ht="14.4" x14ac:dyDescent="0.55000000000000004">
      <c r="A67" s="53"/>
      <c r="B67" s="58" t="str">
        <f t="shared" si="2"/>
        <v>::::::::::::</v>
      </c>
      <c r="C67" s="53"/>
      <c r="D67" s="53"/>
      <c r="E67" s="53"/>
      <c r="F67" s="53"/>
      <c r="G67" s="53"/>
      <c r="H67" s="109"/>
      <c r="I67" s="109"/>
      <c r="J67" s="109"/>
      <c r="K67" s="109"/>
      <c r="L67" s="109"/>
      <c r="M67" s="109"/>
      <c r="N67"/>
      <c r="O67"/>
      <c r="P67"/>
      <c r="Q67"/>
    </row>
    <row r="68" spans="1:17" s="1" customFormat="1" ht="14.4" x14ac:dyDescent="0.55000000000000004">
      <c r="A68" s="53"/>
      <c r="B68" s="58" t="str">
        <f t="shared" si="2"/>
        <v>::::::::::::</v>
      </c>
      <c r="C68" s="53"/>
      <c r="D68" s="53"/>
      <c r="E68" s="53"/>
      <c r="F68" s="53"/>
      <c r="G68" s="53"/>
      <c r="H68" s="109"/>
      <c r="I68" s="109"/>
      <c r="J68" s="109"/>
      <c r="K68" s="109"/>
      <c r="L68" s="109"/>
      <c r="M68" s="109"/>
      <c r="N68"/>
      <c r="O68"/>
      <c r="P68"/>
      <c r="Q68"/>
    </row>
    <row r="69" spans="1:17" s="1" customFormat="1" ht="14.4" x14ac:dyDescent="0.55000000000000004">
      <c r="A69" s="53"/>
      <c r="B69" s="58" t="str">
        <f t="shared" si="2"/>
        <v>::::::::::::</v>
      </c>
      <c r="C69" s="53"/>
      <c r="D69" s="53"/>
      <c r="E69" s="53"/>
      <c r="F69" s="53"/>
      <c r="G69" s="53"/>
      <c r="H69" s="109"/>
      <c r="I69" s="109"/>
      <c r="J69" s="109"/>
      <c r="K69" s="109"/>
      <c r="L69" s="109"/>
      <c r="M69" s="109"/>
      <c r="N69"/>
      <c r="O69"/>
      <c r="P69"/>
      <c r="Q69"/>
    </row>
    <row r="70" spans="1:17" s="1" customFormat="1" ht="14.4" x14ac:dyDescent="0.55000000000000004">
      <c r="A70" s="53"/>
      <c r="B70" s="58" t="str">
        <f t="shared" si="2"/>
        <v>::::::::::::</v>
      </c>
      <c r="C70" s="53"/>
      <c r="D70" s="53"/>
      <c r="E70" s="53"/>
      <c r="F70" s="53"/>
      <c r="G70" s="53"/>
      <c r="H70" s="109"/>
      <c r="I70" s="109"/>
      <c r="J70" s="109"/>
      <c r="K70" s="109"/>
      <c r="L70" s="109"/>
      <c r="M70" s="109"/>
      <c r="N70"/>
      <c r="O70"/>
      <c r="P70"/>
      <c r="Q70"/>
    </row>
    <row r="71" spans="1:17" s="1" customFormat="1" ht="14.4" x14ac:dyDescent="0.55000000000000004">
      <c r="A71" s="53"/>
      <c r="B71" s="58" t="str">
        <f t="shared" si="2"/>
        <v>::::::::::::</v>
      </c>
      <c r="C71" s="53"/>
      <c r="D71" s="53"/>
      <c r="E71" s="53"/>
      <c r="F71" s="53"/>
      <c r="G71" s="53"/>
      <c r="H71" s="109"/>
      <c r="I71" s="109"/>
      <c r="J71" s="109"/>
      <c r="K71" s="109"/>
      <c r="L71" s="109"/>
      <c r="M71" s="109"/>
      <c r="N71"/>
      <c r="O71"/>
      <c r="P71"/>
      <c r="Q71"/>
    </row>
    <row r="72" spans="1:17" s="1" customFormat="1" ht="14.4" x14ac:dyDescent="0.55000000000000004">
      <c r="A72" s="53"/>
      <c r="B72" s="58" t="str">
        <f t="shared" si="2"/>
        <v>::::::::::::</v>
      </c>
      <c r="C72" s="53"/>
      <c r="D72" s="53"/>
      <c r="E72" s="53"/>
      <c r="F72" s="53"/>
      <c r="G72" s="53"/>
      <c r="H72" s="109"/>
      <c r="I72" s="109"/>
      <c r="J72" s="109"/>
      <c r="K72" s="109"/>
      <c r="L72" s="109"/>
      <c r="M72" s="109"/>
      <c r="N72"/>
      <c r="O72"/>
      <c r="P72"/>
      <c r="Q72"/>
    </row>
    <row r="73" spans="1:17" s="1" customFormat="1" ht="14.4" x14ac:dyDescent="0.55000000000000004">
      <c r="A73" s="109"/>
      <c r="B73" s="58" t="str">
        <f t="shared" si="2"/>
        <v>::::::::::::</v>
      </c>
      <c r="C73" s="109"/>
      <c r="D73" s="109"/>
      <c r="E73" s="109"/>
      <c r="F73" s="109"/>
      <c r="G73" s="109"/>
      <c r="H73" s="109"/>
      <c r="I73" s="109"/>
      <c r="J73" s="109"/>
      <c r="K73" s="109"/>
      <c r="L73" s="109"/>
      <c r="M73" s="109"/>
      <c r="N73"/>
      <c r="O73"/>
      <c r="P73"/>
      <c r="Q73"/>
    </row>
    <row r="74" spans="1:17" s="1" customFormat="1" ht="14.4" x14ac:dyDescent="0.55000000000000004">
      <c r="A74" s="109"/>
      <c r="B74" s="58" t="str">
        <f t="shared" si="2"/>
        <v>::::::::::::</v>
      </c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  <c r="N74"/>
      <c r="O74"/>
      <c r="P74"/>
      <c r="Q74"/>
    </row>
    <row r="75" spans="1:17" ht="12.75" customHeight="1" x14ac:dyDescent="0.55000000000000004">
      <c r="A75" s="109"/>
      <c r="B75" s="109"/>
      <c r="C75" s="109"/>
      <c r="D75" s="109"/>
      <c r="E75" s="109"/>
      <c r="F75" s="109"/>
      <c r="G75" s="109"/>
      <c r="H75" s="109"/>
      <c r="I75" s="109"/>
      <c r="J75" s="109"/>
      <c r="K75" s="109"/>
      <c r="L75" s="109"/>
      <c r="M75" s="109"/>
    </row>
    <row r="76" spans="1:17" ht="12.75" customHeight="1" x14ac:dyDescent="0.55000000000000004">
      <c r="A76" s="109"/>
      <c r="B76" s="109"/>
      <c r="C76" s="109"/>
      <c r="D76" s="109"/>
      <c r="E76" s="109"/>
      <c r="F76" s="109"/>
      <c r="G76" s="109"/>
      <c r="H76" s="109"/>
      <c r="I76" s="109"/>
      <c r="J76" s="109"/>
      <c r="K76" s="109"/>
      <c r="L76" s="109"/>
      <c r="M76" s="109"/>
    </row>
    <row r="77" spans="1:17" ht="12.75" customHeight="1" x14ac:dyDescent="0.55000000000000004">
      <c r="A77" s="109"/>
      <c r="B77" s="109"/>
      <c r="C77" s="109"/>
      <c r="D77" s="109"/>
      <c r="E77" s="109"/>
      <c r="F77" s="109"/>
      <c r="G77" s="109"/>
      <c r="H77" s="109"/>
      <c r="I77" s="109"/>
      <c r="J77" s="109"/>
      <c r="K77" s="109"/>
      <c r="L77" s="109"/>
      <c r="M77" s="109"/>
    </row>
    <row r="78" spans="1:17" ht="12.75" customHeight="1" x14ac:dyDescent="0.55000000000000004">
      <c r="A78" s="109"/>
      <c r="B78" s="109"/>
      <c r="C78" s="109"/>
      <c r="D78" s="109"/>
      <c r="E78" s="109"/>
      <c r="F78" s="109"/>
      <c r="G78" s="109"/>
      <c r="H78" s="109"/>
      <c r="I78" s="109"/>
      <c r="J78" s="109"/>
      <c r="K78" s="109"/>
      <c r="L78" s="109"/>
      <c r="M78" s="109"/>
    </row>
    <row r="79" spans="1:17" ht="12.75" customHeight="1" x14ac:dyDescent="0.55000000000000004">
      <c r="A79" s="109"/>
      <c r="B79" s="109"/>
      <c r="C79" s="109"/>
      <c r="D79" s="109"/>
      <c r="E79" s="109"/>
      <c r="F79" s="109"/>
      <c r="G79" s="109"/>
      <c r="H79" s="109"/>
      <c r="I79" s="109"/>
      <c r="J79" s="109"/>
      <c r="K79" s="109"/>
      <c r="L79" s="109"/>
      <c r="M79" s="109"/>
    </row>
    <row r="80" spans="1:17" ht="12.75" customHeight="1" x14ac:dyDescent="0.55000000000000004">
      <c r="A80" s="109"/>
      <c r="B80" s="109"/>
      <c r="C80" s="109"/>
      <c r="D80" s="109"/>
      <c r="E80" s="109"/>
      <c r="F80" s="109"/>
      <c r="G80" s="109"/>
      <c r="H80" s="109"/>
      <c r="I80" s="109"/>
      <c r="J80" s="109"/>
      <c r="K80" s="109"/>
      <c r="L80" s="109"/>
      <c r="M80" s="109"/>
    </row>
    <row r="81" spans="1:13" ht="12.75" customHeight="1" x14ac:dyDescent="0.55000000000000004">
      <c r="A81" s="109"/>
      <c r="B81" s="109"/>
      <c r="C81" s="109"/>
      <c r="D81" s="109"/>
      <c r="E81" s="109"/>
      <c r="F81" s="109"/>
      <c r="G81" s="109"/>
      <c r="H81" s="109"/>
      <c r="I81" s="109"/>
      <c r="J81" s="109"/>
      <c r="K81" s="109"/>
      <c r="L81" s="109"/>
      <c r="M81" s="109"/>
    </row>
    <row r="82" spans="1:13" ht="12.75" customHeight="1" x14ac:dyDescent="0.55000000000000004">
      <c r="A82" s="109"/>
      <c r="B82" s="109"/>
      <c r="C82" s="109"/>
      <c r="D82" s="109"/>
      <c r="E82" s="109"/>
      <c r="F82" s="109"/>
      <c r="G82" s="109"/>
      <c r="H82" s="109"/>
      <c r="I82" s="109"/>
      <c r="J82" s="109"/>
      <c r="K82" s="109"/>
      <c r="L82" s="109"/>
      <c r="M82" s="109"/>
    </row>
    <row r="83" spans="1:13" ht="12.75" customHeight="1" x14ac:dyDescent="0.55000000000000004">
      <c r="A83" s="109"/>
      <c r="B83" s="109"/>
      <c r="C83" s="109"/>
      <c r="D83" s="109"/>
      <c r="E83" s="109"/>
      <c r="F83" s="109"/>
      <c r="G83" s="109"/>
      <c r="H83" s="109"/>
      <c r="I83" s="109"/>
      <c r="J83" s="109"/>
      <c r="K83" s="109"/>
      <c r="L83" s="109"/>
      <c r="M83" s="109"/>
    </row>
    <row r="84" spans="1:13" ht="12.75" customHeight="1" x14ac:dyDescent="0.55000000000000004">
      <c r="A84" s="109"/>
      <c r="B84" s="109"/>
      <c r="C84" s="109"/>
      <c r="D84" s="109"/>
      <c r="E84" s="109"/>
      <c r="F84" s="109"/>
      <c r="G84" s="109"/>
      <c r="H84" s="109"/>
      <c r="I84" s="109"/>
      <c r="J84" s="109"/>
      <c r="K84" s="109"/>
      <c r="L84" s="109"/>
      <c r="M84" s="109"/>
    </row>
    <row r="85" spans="1:13" ht="12.75" customHeight="1" x14ac:dyDescent="0.55000000000000004">
      <c r="A85" s="109"/>
      <c r="B85" s="109"/>
      <c r="C85" s="109"/>
      <c r="D85" s="109"/>
      <c r="E85" s="109"/>
      <c r="F85" s="109"/>
      <c r="G85" s="109"/>
      <c r="H85" s="109"/>
      <c r="I85" s="109"/>
      <c r="J85" s="109"/>
      <c r="K85" s="109"/>
      <c r="L85" s="109"/>
      <c r="M85" s="109"/>
    </row>
    <row r="86" spans="1:13" ht="12.75" customHeight="1" x14ac:dyDescent="0.55000000000000004">
      <c r="A86" s="109"/>
      <c r="B86" s="109"/>
      <c r="C86" s="109"/>
      <c r="D86" s="109"/>
      <c r="E86" s="109"/>
      <c r="F86" s="109"/>
      <c r="G86" s="109"/>
      <c r="H86" s="109"/>
      <c r="I86" s="109"/>
      <c r="J86" s="109"/>
      <c r="K86" s="109"/>
      <c r="L86" s="109"/>
      <c r="M86" s="109"/>
    </row>
    <row r="87" spans="1:13" ht="12.75" customHeight="1" x14ac:dyDescent="0.55000000000000004">
      <c r="A87" s="109"/>
      <c r="B87" s="109"/>
      <c r="C87" s="109"/>
      <c r="D87" s="109"/>
      <c r="E87" s="109"/>
      <c r="F87" s="109"/>
      <c r="G87" s="109"/>
      <c r="H87" s="109"/>
      <c r="I87" s="109"/>
      <c r="J87" s="109"/>
      <c r="K87" s="109"/>
      <c r="L87" s="109"/>
      <c r="M87" s="109"/>
    </row>
    <row r="88" spans="1:13" ht="12.75" customHeight="1" x14ac:dyDescent="0.55000000000000004">
      <c r="A88" s="109"/>
      <c r="B88" s="109"/>
      <c r="C88" s="109"/>
      <c r="D88" s="109"/>
      <c r="E88" s="109"/>
      <c r="F88" s="109"/>
      <c r="G88" s="109"/>
      <c r="H88" s="109"/>
      <c r="I88" s="109"/>
      <c r="J88" s="109"/>
      <c r="K88" s="109"/>
      <c r="L88" s="109"/>
      <c r="M88" s="109"/>
    </row>
    <row r="89" spans="1:13" ht="12.75" customHeight="1" x14ac:dyDescent="0.55000000000000004">
      <c r="A89" s="109"/>
      <c r="B89" s="109"/>
      <c r="C89" s="109"/>
      <c r="D89" s="109"/>
      <c r="E89" s="109"/>
      <c r="F89" s="109"/>
      <c r="G89" s="109"/>
      <c r="H89" s="109"/>
      <c r="I89" s="109"/>
      <c r="J89" s="109"/>
      <c r="K89" s="109"/>
      <c r="L89" s="109"/>
      <c r="M89" s="109"/>
    </row>
    <row r="90" spans="1:13" ht="12.75" customHeight="1" x14ac:dyDescent="0.55000000000000004">
      <c r="A90" s="109"/>
      <c r="B90" s="109"/>
      <c r="C90" s="109"/>
      <c r="D90" s="109"/>
      <c r="E90" s="109"/>
      <c r="F90" s="109"/>
      <c r="G90" s="109"/>
      <c r="H90" s="109"/>
      <c r="I90" s="109"/>
      <c r="J90" s="109"/>
      <c r="K90" s="109"/>
      <c r="L90" s="109"/>
      <c r="M90" s="109"/>
    </row>
    <row r="91" spans="1:13" ht="12.75" customHeight="1" x14ac:dyDescent="0.55000000000000004">
      <c r="A91" s="109"/>
      <c r="B91" s="109"/>
      <c r="C91" s="109"/>
      <c r="D91" s="109"/>
      <c r="E91" s="109"/>
      <c r="F91" s="109"/>
      <c r="G91" s="109"/>
      <c r="H91" s="109"/>
      <c r="I91" s="109"/>
      <c r="J91" s="109"/>
      <c r="K91" s="109"/>
      <c r="L91" s="109"/>
      <c r="M91" s="109"/>
    </row>
    <row r="92" spans="1:13" ht="12.75" customHeight="1" x14ac:dyDescent="0.55000000000000004">
      <c r="A92" s="109"/>
      <c r="B92" s="109"/>
      <c r="C92" s="109"/>
      <c r="D92" s="109"/>
      <c r="E92" s="109"/>
      <c r="F92" s="109"/>
      <c r="G92" s="109"/>
      <c r="H92" s="109"/>
      <c r="I92" s="109"/>
      <c r="J92" s="109"/>
      <c r="K92" s="109"/>
      <c r="L92" s="109"/>
      <c r="M92" s="109"/>
    </row>
    <row r="93" spans="1:13" ht="12.75" customHeight="1" x14ac:dyDescent="0.55000000000000004">
      <c r="A93" s="109"/>
      <c r="B93" s="109"/>
      <c r="C93" s="109"/>
      <c r="D93" s="109"/>
      <c r="E93" s="109"/>
      <c r="F93" s="109"/>
      <c r="G93" s="109"/>
      <c r="H93" s="109"/>
      <c r="I93" s="109"/>
      <c r="J93" s="109"/>
      <c r="K93" s="109"/>
      <c r="L93" s="109"/>
      <c r="M93" s="109"/>
    </row>
    <row r="94" spans="1:13" ht="12.75" customHeight="1" x14ac:dyDescent="0.55000000000000004">
      <c r="A94" s="109"/>
      <c r="B94" s="109"/>
      <c r="C94" s="109"/>
      <c r="D94" s="109"/>
      <c r="E94" s="109"/>
      <c r="F94" s="109"/>
      <c r="G94" s="109"/>
      <c r="H94" s="109"/>
      <c r="I94" s="109"/>
      <c r="J94" s="109"/>
      <c r="K94" s="109"/>
      <c r="L94" s="109"/>
      <c r="M94" s="109"/>
    </row>
    <row r="95" spans="1:13" ht="12.75" customHeight="1" x14ac:dyDescent="0.55000000000000004">
      <c r="A95" s="109"/>
      <c r="B95" s="109"/>
      <c r="C95" s="109"/>
      <c r="D95" s="109"/>
      <c r="E95" s="109"/>
      <c r="F95" s="109"/>
      <c r="G95" s="109"/>
      <c r="H95" s="109"/>
      <c r="I95" s="109"/>
      <c r="J95" s="109"/>
      <c r="K95" s="109"/>
      <c r="L95" s="109"/>
      <c r="M95" s="109"/>
    </row>
    <row r="96" spans="1:13" ht="12.75" customHeight="1" x14ac:dyDescent="0.55000000000000004">
      <c r="A96" s="109"/>
      <c r="B96" s="109"/>
      <c r="C96" s="109"/>
      <c r="D96" s="109"/>
      <c r="E96" s="109"/>
      <c r="F96" s="109"/>
      <c r="G96" s="109"/>
      <c r="H96" s="109"/>
      <c r="I96" s="109"/>
      <c r="J96" s="109"/>
      <c r="K96" s="109"/>
      <c r="L96" s="109"/>
      <c r="M96" s="109"/>
    </row>
    <row r="97" spans="1:13" ht="12.75" customHeight="1" x14ac:dyDescent="0.55000000000000004">
      <c r="A97" s="109"/>
      <c r="B97" s="109"/>
      <c r="C97" s="109"/>
      <c r="D97" s="109"/>
      <c r="E97" s="109"/>
      <c r="F97" s="109"/>
      <c r="G97" s="109"/>
      <c r="H97" s="109"/>
      <c r="I97" s="109"/>
      <c r="J97" s="109"/>
      <c r="K97" s="109"/>
      <c r="L97" s="109"/>
      <c r="M97" s="109"/>
    </row>
    <row r="98" spans="1:13" ht="12.75" customHeight="1" x14ac:dyDescent="0.55000000000000004">
      <c r="A98" s="109"/>
      <c r="B98" s="109"/>
      <c r="C98" s="109"/>
      <c r="D98" s="109"/>
      <c r="E98" s="109"/>
      <c r="F98" s="109"/>
      <c r="G98" s="109"/>
      <c r="H98" s="109"/>
      <c r="I98" s="109"/>
      <c r="J98" s="109"/>
      <c r="K98" s="109"/>
      <c r="L98" s="109"/>
      <c r="M98" s="109"/>
    </row>
    <row r="99" spans="1:13" ht="12.75" customHeight="1" x14ac:dyDescent="0.55000000000000004">
      <c r="A99" s="109"/>
      <c r="B99" s="109"/>
      <c r="C99" s="109"/>
      <c r="D99" s="109"/>
      <c r="E99" s="109"/>
      <c r="F99" s="109"/>
      <c r="G99" s="109"/>
      <c r="H99" s="109"/>
      <c r="I99" s="109"/>
      <c r="J99" s="109"/>
      <c r="K99" s="109"/>
      <c r="L99" s="109"/>
      <c r="M99" s="109"/>
    </row>
    <row r="100" spans="1:13" ht="12.75" customHeight="1" x14ac:dyDescent="0.55000000000000004">
      <c r="A100" s="109"/>
      <c r="B100" s="109"/>
      <c r="C100" s="109"/>
      <c r="D100" s="109"/>
      <c r="E100" s="109"/>
      <c r="F100" s="109"/>
      <c r="G100" s="109"/>
      <c r="H100" s="109"/>
      <c r="I100" s="109"/>
      <c r="J100" s="109"/>
      <c r="K100" s="109"/>
      <c r="L100" s="109"/>
      <c r="M100" s="109"/>
    </row>
    <row r="101" spans="1:13" ht="12.75" customHeight="1" x14ac:dyDescent="0.55000000000000004">
      <c r="A101" s="109"/>
      <c r="B101" s="109"/>
      <c r="C101" s="109"/>
      <c r="D101" s="109"/>
      <c r="E101" s="109"/>
      <c r="F101" s="109"/>
      <c r="G101" s="109"/>
      <c r="H101" s="109"/>
      <c r="I101" s="109"/>
      <c r="J101" s="109"/>
      <c r="K101" s="109"/>
      <c r="L101" s="109"/>
      <c r="M101" s="109"/>
    </row>
    <row r="102" spans="1:13" ht="12.75" customHeight="1" x14ac:dyDescent="0.55000000000000004">
      <c r="A102" s="109"/>
      <c r="B102" s="109"/>
      <c r="C102" s="109"/>
      <c r="D102" s="109"/>
      <c r="E102" s="109"/>
      <c r="F102" s="109"/>
      <c r="G102" s="109"/>
      <c r="H102" s="109"/>
      <c r="I102" s="109"/>
      <c r="J102" s="109"/>
      <c r="K102" s="109"/>
      <c r="L102" s="109"/>
      <c r="M102" s="109"/>
    </row>
    <row r="103" spans="1:13" ht="12.75" customHeight="1" x14ac:dyDescent="0.55000000000000004">
      <c r="A103" s="109"/>
      <c r="B103" s="109"/>
      <c r="C103" s="109"/>
      <c r="D103" s="109"/>
      <c r="E103" s="109"/>
      <c r="F103" s="109"/>
      <c r="G103" s="109"/>
      <c r="H103" s="109"/>
      <c r="I103" s="109"/>
      <c r="J103" s="109"/>
      <c r="K103" s="109"/>
      <c r="L103" s="109"/>
      <c r="M103" s="109"/>
    </row>
    <row r="104" spans="1:13" ht="12.75" customHeight="1" x14ac:dyDescent="0.55000000000000004">
      <c r="A104" s="109"/>
      <c r="B104" s="109"/>
      <c r="C104" s="109"/>
      <c r="D104" s="109"/>
      <c r="E104" s="109"/>
      <c r="F104" s="109"/>
      <c r="G104" s="109"/>
      <c r="H104" s="109"/>
      <c r="I104" s="109"/>
      <c r="J104" s="109"/>
      <c r="K104" s="109"/>
      <c r="L104" s="109"/>
      <c r="M104" s="109"/>
    </row>
    <row r="105" spans="1:13" ht="12.75" customHeight="1" x14ac:dyDescent="0.55000000000000004">
      <c r="A105" s="109"/>
      <c r="B105" s="109"/>
      <c r="C105" s="109"/>
      <c r="D105" s="109"/>
      <c r="E105" s="109"/>
      <c r="F105" s="109"/>
      <c r="G105" s="109"/>
      <c r="H105" s="109"/>
      <c r="I105" s="109"/>
      <c r="J105" s="109"/>
      <c r="K105" s="109"/>
      <c r="L105" s="109"/>
      <c r="M105" s="109"/>
    </row>
    <row r="106" spans="1:13" ht="12.75" customHeight="1" x14ac:dyDescent="0.55000000000000004">
      <c r="A106" s="109"/>
      <c r="B106" s="109"/>
      <c r="C106" s="109"/>
      <c r="D106" s="109"/>
      <c r="E106" s="109"/>
      <c r="F106" s="109"/>
      <c r="G106" s="109"/>
      <c r="H106" s="109"/>
      <c r="I106" s="109"/>
      <c r="J106" s="109"/>
      <c r="K106" s="109"/>
      <c r="L106" s="109"/>
      <c r="M106" s="109"/>
    </row>
    <row r="107" spans="1:13" ht="12.75" customHeight="1" x14ac:dyDescent="0.55000000000000004">
      <c r="A107" s="109"/>
      <c r="B107" s="109"/>
      <c r="C107" s="109"/>
      <c r="D107" s="109"/>
      <c r="E107" s="109"/>
      <c r="F107" s="109"/>
      <c r="G107" s="109"/>
      <c r="H107" s="109"/>
      <c r="I107" s="109"/>
      <c r="J107" s="109"/>
      <c r="K107" s="109"/>
      <c r="L107" s="109"/>
      <c r="M107" s="109"/>
    </row>
    <row r="108" spans="1:13" ht="12.75" customHeight="1" x14ac:dyDescent="0.55000000000000004">
      <c r="A108" s="109"/>
      <c r="B108" s="109"/>
      <c r="C108" s="109"/>
      <c r="D108" s="109"/>
      <c r="E108" s="109"/>
      <c r="F108" s="109"/>
      <c r="G108" s="109"/>
      <c r="H108" s="109"/>
      <c r="I108" s="109"/>
      <c r="J108" s="109"/>
      <c r="K108" s="109"/>
      <c r="L108" s="109"/>
      <c r="M108" s="109"/>
    </row>
    <row r="109" spans="1:13" ht="12.75" customHeight="1" x14ac:dyDescent="0.55000000000000004">
      <c r="A109" s="109"/>
      <c r="B109" s="109"/>
      <c r="C109" s="109"/>
      <c r="D109" s="109"/>
      <c r="E109" s="109"/>
      <c r="F109" s="109"/>
      <c r="G109" s="109"/>
      <c r="H109" s="109"/>
      <c r="I109" s="109"/>
      <c r="J109" s="109"/>
      <c r="K109" s="109"/>
      <c r="L109" s="109"/>
      <c r="M109" s="109"/>
    </row>
    <row r="110" spans="1:13" ht="12.75" customHeight="1" x14ac:dyDescent="0.55000000000000004">
      <c r="A110" s="109"/>
      <c r="B110" s="109"/>
      <c r="C110" s="109"/>
      <c r="D110" s="109"/>
      <c r="E110" s="109"/>
      <c r="F110" s="109"/>
      <c r="G110" s="109"/>
      <c r="H110" s="109"/>
      <c r="I110" s="109"/>
      <c r="J110" s="109"/>
      <c r="K110" s="109"/>
      <c r="L110" s="109"/>
      <c r="M110" s="109"/>
    </row>
    <row r="111" spans="1:13" ht="12.75" customHeight="1" x14ac:dyDescent="0.55000000000000004">
      <c r="A111" s="109"/>
      <c r="B111" s="109"/>
      <c r="C111" s="109"/>
      <c r="D111" s="109"/>
      <c r="E111" s="109"/>
      <c r="F111" s="109"/>
      <c r="G111" s="109"/>
      <c r="H111" s="109"/>
      <c r="I111" s="109"/>
      <c r="J111" s="109"/>
      <c r="K111" s="109"/>
      <c r="L111" s="109"/>
      <c r="M111" s="109"/>
    </row>
    <row r="112" spans="1:13" ht="12.75" customHeight="1" x14ac:dyDescent="0.55000000000000004">
      <c r="A112" s="109"/>
      <c r="B112" s="109"/>
      <c r="C112" s="109"/>
      <c r="D112" s="109"/>
      <c r="E112" s="109"/>
      <c r="F112" s="109"/>
      <c r="G112" s="109"/>
      <c r="H112" s="109"/>
      <c r="I112" s="109"/>
      <c r="J112" s="109"/>
      <c r="K112" s="109"/>
      <c r="L112" s="109"/>
      <c r="M112" s="109"/>
    </row>
    <row r="113" spans="1:13" ht="12.75" customHeight="1" x14ac:dyDescent="0.55000000000000004">
      <c r="A113" s="109"/>
      <c r="B113" s="109"/>
      <c r="C113" s="109"/>
      <c r="D113" s="109"/>
      <c r="E113" s="109"/>
      <c r="F113" s="109"/>
      <c r="G113" s="109"/>
      <c r="H113" s="109"/>
      <c r="I113" s="109"/>
      <c r="J113" s="109"/>
      <c r="K113" s="109"/>
      <c r="L113" s="109"/>
      <c r="M113" s="109"/>
    </row>
    <row r="114" spans="1:13" ht="12.75" customHeight="1" x14ac:dyDescent="0.55000000000000004">
      <c r="A114" s="109"/>
      <c r="B114" s="109"/>
      <c r="C114" s="109"/>
      <c r="D114" s="109"/>
      <c r="E114" s="109"/>
      <c r="F114" s="109"/>
      <c r="G114" s="109"/>
      <c r="H114" s="109"/>
      <c r="I114" s="109"/>
      <c r="J114" s="109"/>
      <c r="K114" s="109"/>
      <c r="L114" s="109"/>
      <c r="M114" s="109"/>
    </row>
    <row r="115" spans="1:13" ht="12.75" customHeight="1" x14ac:dyDescent="0.55000000000000004">
      <c r="A115" s="109"/>
      <c r="B115" s="109"/>
      <c r="C115" s="109"/>
      <c r="D115" s="109"/>
      <c r="E115" s="109"/>
      <c r="F115" s="109"/>
      <c r="G115" s="109"/>
      <c r="H115" s="109"/>
      <c r="I115" s="109"/>
      <c r="J115" s="109"/>
      <c r="K115" s="109"/>
      <c r="L115" s="109"/>
      <c r="M115" s="109"/>
    </row>
    <row r="116" spans="1:13" ht="12.75" customHeight="1" x14ac:dyDescent="0.55000000000000004">
      <c r="A116" s="109"/>
      <c r="B116" s="109"/>
      <c r="C116" s="109"/>
      <c r="D116" s="109"/>
      <c r="E116" s="109"/>
      <c r="F116" s="109"/>
      <c r="G116" s="109"/>
      <c r="H116" s="109"/>
      <c r="I116" s="109"/>
      <c r="J116" s="109"/>
      <c r="K116" s="109"/>
      <c r="L116" s="109"/>
      <c r="M116" s="109"/>
    </row>
    <row r="117" spans="1:13" ht="12.75" customHeight="1" x14ac:dyDescent="0.55000000000000004">
      <c r="A117" s="109"/>
      <c r="B117" s="109"/>
      <c r="C117" s="109"/>
      <c r="D117" s="109"/>
      <c r="E117" s="109"/>
      <c r="F117" s="109"/>
      <c r="G117" s="109"/>
      <c r="H117" s="109"/>
      <c r="I117" s="109"/>
      <c r="J117" s="109"/>
      <c r="K117" s="109"/>
      <c r="L117" s="109"/>
      <c r="M117" s="109"/>
    </row>
    <row r="118" spans="1:13" ht="12.75" customHeight="1" x14ac:dyDescent="0.55000000000000004">
      <c r="A118" s="109"/>
      <c r="B118" s="109"/>
      <c r="C118" s="109"/>
      <c r="D118" s="109"/>
      <c r="E118" s="109"/>
      <c r="F118" s="109"/>
      <c r="G118" s="109"/>
      <c r="H118" s="109"/>
      <c r="I118" s="109"/>
      <c r="J118" s="109"/>
      <c r="K118" s="109"/>
      <c r="L118" s="109"/>
      <c r="M118" s="109"/>
    </row>
    <row r="119" spans="1:13" ht="12.75" customHeight="1" x14ac:dyDescent="0.55000000000000004">
      <c r="A119" s="109"/>
      <c r="B119" s="109"/>
      <c r="C119" s="109"/>
      <c r="D119" s="109"/>
      <c r="E119" s="109"/>
      <c r="F119" s="109"/>
      <c r="G119" s="109"/>
      <c r="H119" s="109"/>
      <c r="I119" s="109"/>
      <c r="J119" s="109"/>
      <c r="K119" s="109"/>
      <c r="L119" s="109"/>
      <c r="M119" s="109"/>
    </row>
    <row r="120" spans="1:13" ht="12.75" customHeight="1" x14ac:dyDescent="0.55000000000000004">
      <c r="A120" s="109"/>
      <c r="B120" s="109"/>
      <c r="C120" s="109"/>
      <c r="D120" s="109"/>
      <c r="E120" s="109"/>
      <c r="F120" s="109"/>
      <c r="G120" s="109"/>
      <c r="H120" s="109"/>
      <c r="I120" s="109"/>
      <c r="J120" s="109"/>
      <c r="K120" s="109"/>
      <c r="L120" s="109"/>
      <c r="M120" s="109"/>
    </row>
    <row r="121" spans="1:13" ht="12.75" customHeight="1" x14ac:dyDescent="0.55000000000000004">
      <c r="A121" s="109"/>
      <c r="B121" s="109"/>
      <c r="C121" s="109"/>
      <c r="D121" s="109"/>
      <c r="E121" s="109"/>
      <c r="F121" s="109"/>
      <c r="G121" s="109"/>
      <c r="H121" s="109"/>
      <c r="I121" s="109"/>
      <c r="J121" s="109"/>
      <c r="K121" s="109"/>
      <c r="L121" s="109"/>
      <c r="M121" s="109"/>
    </row>
    <row r="122" spans="1:13" ht="12.75" customHeight="1" x14ac:dyDescent="0.55000000000000004">
      <c r="A122" s="109"/>
      <c r="B122" s="109"/>
      <c r="C122" s="109"/>
      <c r="D122" s="109"/>
      <c r="E122" s="109"/>
      <c r="F122" s="109"/>
      <c r="G122" s="109"/>
      <c r="H122" s="109"/>
      <c r="I122" s="109"/>
      <c r="J122" s="109"/>
      <c r="K122" s="109"/>
      <c r="L122" s="109"/>
      <c r="M122" s="109"/>
    </row>
    <row r="123" spans="1:13" ht="12.75" customHeight="1" x14ac:dyDescent="0.55000000000000004">
      <c r="A123" s="109"/>
      <c r="B123" s="109"/>
      <c r="C123" s="109"/>
      <c r="D123" s="109"/>
      <c r="E123" s="109"/>
      <c r="F123" s="109"/>
      <c r="G123" s="109"/>
      <c r="H123" s="109"/>
      <c r="I123" s="109"/>
      <c r="J123" s="109"/>
      <c r="K123" s="109"/>
      <c r="L123" s="109"/>
      <c r="M123" s="109"/>
    </row>
    <row r="124" spans="1:13" ht="12.75" customHeight="1" x14ac:dyDescent="0.55000000000000004">
      <c r="A124" s="109"/>
      <c r="B124" s="109"/>
      <c r="C124" s="109"/>
      <c r="D124" s="109"/>
      <c r="E124" s="109"/>
      <c r="F124" s="109"/>
      <c r="G124" s="109"/>
      <c r="H124" s="109"/>
      <c r="I124" s="109"/>
      <c r="J124" s="109"/>
      <c r="K124" s="109"/>
      <c r="L124" s="109"/>
      <c r="M124" s="109"/>
    </row>
    <row r="125" spans="1:13" ht="12.75" customHeight="1" x14ac:dyDescent="0.55000000000000004">
      <c r="A125" s="109"/>
      <c r="B125" s="109"/>
      <c r="C125" s="109"/>
      <c r="D125" s="109"/>
      <c r="E125" s="109"/>
      <c r="F125" s="109"/>
      <c r="G125" s="109"/>
      <c r="H125" s="109"/>
      <c r="I125" s="109"/>
      <c r="J125" s="109"/>
      <c r="K125" s="109"/>
      <c r="L125" s="109"/>
      <c r="M125" s="109"/>
    </row>
    <row r="126" spans="1:13" ht="12.75" customHeight="1" x14ac:dyDescent="0.55000000000000004">
      <c r="A126" s="109"/>
      <c r="B126" s="109"/>
      <c r="C126" s="109"/>
      <c r="D126" s="109"/>
      <c r="E126" s="109"/>
      <c r="F126" s="109"/>
      <c r="G126" s="109"/>
      <c r="H126" s="109"/>
      <c r="I126" s="109"/>
      <c r="J126" s="109"/>
      <c r="K126" s="109"/>
      <c r="L126" s="109"/>
      <c r="M126" s="109"/>
    </row>
    <row r="127" spans="1:13" ht="12.75" customHeight="1" x14ac:dyDescent="0.55000000000000004">
      <c r="A127" s="109"/>
      <c r="B127" s="109"/>
      <c r="C127" s="109"/>
      <c r="D127" s="109"/>
      <c r="E127" s="109"/>
      <c r="F127" s="109"/>
      <c r="G127" s="109"/>
      <c r="H127" s="109"/>
      <c r="I127" s="109"/>
      <c r="J127" s="109"/>
      <c r="K127" s="109"/>
      <c r="L127" s="109"/>
      <c r="M127" s="109"/>
    </row>
    <row r="128" spans="1:13" ht="12.75" customHeight="1" x14ac:dyDescent="0.55000000000000004">
      <c r="A128" s="109"/>
      <c r="B128" s="109"/>
      <c r="C128" s="109"/>
      <c r="D128" s="109"/>
      <c r="E128" s="109"/>
      <c r="F128" s="109"/>
      <c r="G128" s="109"/>
      <c r="H128" s="109"/>
      <c r="I128" s="109"/>
      <c r="J128" s="109"/>
      <c r="K128" s="109"/>
      <c r="L128" s="109"/>
      <c r="M128" s="109"/>
    </row>
    <row r="129" spans="1:13" ht="12.75" customHeight="1" x14ac:dyDescent="0.55000000000000004">
      <c r="A129" s="109"/>
      <c r="B129" s="109"/>
      <c r="C129" s="109"/>
      <c r="D129" s="109"/>
      <c r="E129" s="109"/>
      <c r="F129" s="109"/>
      <c r="G129" s="109"/>
      <c r="H129" s="109"/>
      <c r="I129" s="109"/>
      <c r="J129" s="109"/>
      <c r="K129" s="109"/>
      <c r="L129" s="109"/>
      <c r="M129" s="109"/>
    </row>
    <row r="130" spans="1:13" ht="12.75" customHeight="1" x14ac:dyDescent="0.55000000000000004">
      <c r="A130" s="109"/>
      <c r="B130" s="109"/>
      <c r="C130" s="109"/>
      <c r="D130" s="109"/>
      <c r="E130" s="109"/>
      <c r="F130" s="109"/>
      <c r="G130" s="109"/>
      <c r="H130" s="109"/>
      <c r="I130" s="109"/>
      <c r="J130" s="109"/>
      <c r="K130" s="109"/>
      <c r="L130" s="109"/>
      <c r="M130" s="109"/>
    </row>
    <row r="131" spans="1:13" ht="12.75" customHeight="1" x14ac:dyDescent="0.55000000000000004">
      <c r="A131" s="109"/>
      <c r="B131" s="109"/>
      <c r="C131" s="109"/>
      <c r="D131" s="109"/>
      <c r="E131" s="109"/>
      <c r="F131" s="109"/>
      <c r="G131" s="109"/>
      <c r="H131" s="109"/>
      <c r="I131" s="109"/>
      <c r="J131" s="109"/>
      <c r="K131" s="109"/>
      <c r="L131" s="109"/>
      <c r="M131" s="109"/>
    </row>
    <row r="132" spans="1:13" ht="12.75" customHeight="1" x14ac:dyDescent="0.55000000000000004">
      <c r="A132" s="109"/>
      <c r="B132" s="109"/>
      <c r="C132" s="109"/>
      <c r="D132" s="109"/>
      <c r="E132" s="109"/>
      <c r="F132" s="109"/>
      <c r="G132" s="109"/>
      <c r="H132" s="109"/>
      <c r="I132" s="109"/>
      <c r="J132" s="109"/>
      <c r="K132" s="109"/>
      <c r="L132" s="109"/>
      <c r="M132" s="109"/>
    </row>
    <row r="133" spans="1:13" ht="12.75" customHeight="1" x14ac:dyDescent="0.55000000000000004">
      <c r="A133" s="109"/>
      <c r="B133" s="109"/>
      <c r="C133" s="109"/>
      <c r="D133" s="109"/>
      <c r="E133" s="109"/>
      <c r="F133" s="109"/>
      <c r="G133" s="109"/>
      <c r="H133" s="109"/>
      <c r="I133" s="109"/>
      <c r="J133" s="109"/>
      <c r="K133" s="109"/>
      <c r="L133" s="109"/>
      <c r="M133" s="109"/>
    </row>
    <row r="134" spans="1:13" ht="12.75" customHeight="1" x14ac:dyDescent="0.55000000000000004">
      <c r="A134" s="109"/>
      <c r="B134" s="109"/>
      <c r="C134" s="109"/>
      <c r="D134" s="109"/>
      <c r="E134" s="109"/>
      <c r="F134" s="109"/>
      <c r="G134" s="109"/>
      <c r="H134" s="109"/>
      <c r="I134" s="109"/>
      <c r="J134" s="109"/>
      <c r="K134" s="109"/>
      <c r="L134" s="109"/>
      <c r="M134" s="109"/>
    </row>
    <row r="135" spans="1:13" ht="12.75" customHeight="1" x14ac:dyDescent="0.55000000000000004">
      <c r="A135" s="109"/>
      <c r="B135" s="109"/>
      <c r="C135" s="109"/>
      <c r="D135" s="109"/>
      <c r="E135" s="109"/>
      <c r="F135" s="109"/>
      <c r="G135" s="109"/>
      <c r="H135" s="109"/>
      <c r="I135" s="109"/>
      <c r="J135" s="109"/>
      <c r="K135" s="109"/>
      <c r="L135" s="109"/>
      <c r="M135" s="109"/>
    </row>
    <row r="136" spans="1:13" ht="12.75" customHeight="1" x14ac:dyDescent="0.55000000000000004">
      <c r="A136" s="109"/>
      <c r="B136" s="109"/>
      <c r="C136" s="109"/>
      <c r="D136" s="109"/>
      <c r="E136" s="109"/>
      <c r="F136" s="109"/>
      <c r="G136" s="109"/>
      <c r="H136" s="109"/>
      <c r="I136" s="109"/>
      <c r="J136" s="109"/>
      <c r="K136" s="109"/>
      <c r="L136" s="109"/>
      <c r="M136" s="109"/>
    </row>
    <row r="137" spans="1:13" ht="12.75" customHeight="1" x14ac:dyDescent="0.55000000000000004">
      <c r="A137" s="109"/>
      <c r="B137" s="109"/>
      <c r="C137" s="109"/>
      <c r="D137" s="109"/>
      <c r="E137" s="109"/>
      <c r="F137" s="109"/>
      <c r="G137" s="109"/>
      <c r="H137" s="109"/>
      <c r="I137" s="109"/>
      <c r="J137" s="109"/>
      <c r="K137" s="109"/>
      <c r="L137" s="109"/>
      <c r="M137" s="109"/>
    </row>
    <row r="138" spans="1:13" ht="12.75" customHeight="1" x14ac:dyDescent="0.55000000000000004">
      <c r="A138" s="109"/>
      <c r="B138" s="109"/>
      <c r="C138" s="109"/>
      <c r="D138" s="109"/>
      <c r="E138" s="109"/>
      <c r="F138" s="109"/>
      <c r="G138" s="109"/>
      <c r="H138" s="109"/>
      <c r="I138" s="109"/>
      <c r="J138" s="109"/>
      <c r="K138" s="109"/>
      <c r="L138" s="109"/>
      <c r="M138" s="109"/>
    </row>
    <row r="139" spans="1:13" ht="12.75" customHeight="1" x14ac:dyDescent="0.55000000000000004">
      <c r="A139" s="109"/>
      <c r="B139" s="109"/>
      <c r="C139" s="109"/>
      <c r="D139" s="109"/>
      <c r="E139" s="109"/>
      <c r="F139" s="109"/>
      <c r="G139" s="109"/>
      <c r="H139" s="109"/>
      <c r="I139" s="109"/>
      <c r="J139" s="109"/>
      <c r="K139" s="109"/>
      <c r="L139" s="109"/>
      <c r="M139" s="109"/>
    </row>
    <row r="140" spans="1:13" ht="12.75" customHeight="1" x14ac:dyDescent="0.55000000000000004">
      <c r="A140" s="109"/>
      <c r="B140" s="109"/>
      <c r="C140" s="109"/>
      <c r="D140" s="109"/>
      <c r="E140" s="109"/>
      <c r="F140" s="109"/>
      <c r="G140" s="109"/>
      <c r="H140" s="109"/>
      <c r="I140" s="109"/>
      <c r="J140" s="109"/>
      <c r="K140" s="109"/>
      <c r="L140" s="109"/>
      <c r="M140" s="109"/>
    </row>
    <row r="141" spans="1:13" ht="12.75" customHeight="1" x14ac:dyDescent="0.55000000000000004">
      <c r="A141" s="109"/>
      <c r="B141" s="109"/>
      <c r="C141" s="109"/>
      <c r="D141" s="109"/>
      <c r="E141" s="109"/>
      <c r="F141" s="109"/>
      <c r="G141" s="109"/>
      <c r="H141" s="109"/>
      <c r="I141" s="109"/>
      <c r="J141" s="109"/>
      <c r="K141" s="109"/>
      <c r="L141" s="109"/>
      <c r="M141" s="109"/>
    </row>
    <row r="142" spans="1:13" ht="12.75" customHeight="1" x14ac:dyDescent="0.55000000000000004">
      <c r="A142" s="109"/>
      <c r="B142" s="109"/>
      <c r="C142" s="109"/>
      <c r="D142" s="109"/>
      <c r="E142" s="109"/>
      <c r="F142" s="109"/>
      <c r="G142" s="109"/>
      <c r="H142" s="109"/>
      <c r="I142" s="109"/>
      <c r="J142" s="109"/>
      <c r="K142" s="109"/>
      <c r="L142" s="109"/>
      <c r="M142" s="109"/>
    </row>
    <row r="143" spans="1:13" ht="12.75" customHeight="1" x14ac:dyDescent="0.55000000000000004">
      <c r="A143" s="109"/>
      <c r="B143" s="109"/>
      <c r="C143" s="109"/>
      <c r="D143" s="109"/>
      <c r="E143" s="109"/>
      <c r="F143" s="109"/>
      <c r="G143" s="109"/>
      <c r="H143" s="109"/>
      <c r="I143" s="109"/>
      <c r="J143" s="109"/>
      <c r="K143" s="109"/>
      <c r="L143" s="109"/>
      <c r="M143" s="109"/>
    </row>
    <row r="144" spans="1:13" ht="12.75" customHeight="1" x14ac:dyDescent="0.55000000000000004">
      <c r="A144" s="109"/>
      <c r="B144" s="109"/>
      <c r="C144" s="109"/>
      <c r="D144" s="109"/>
      <c r="E144" s="109"/>
      <c r="F144" s="109"/>
      <c r="G144" s="109"/>
      <c r="H144" s="109"/>
      <c r="I144" s="109"/>
      <c r="J144" s="109"/>
      <c r="K144" s="109"/>
      <c r="L144" s="109"/>
      <c r="M144" s="109"/>
    </row>
    <row r="145" spans="1:13" ht="12.75" customHeight="1" x14ac:dyDescent="0.55000000000000004">
      <c r="A145" s="109"/>
      <c r="B145" s="109"/>
      <c r="C145" s="109"/>
      <c r="D145" s="109"/>
      <c r="E145" s="109"/>
      <c r="F145" s="109"/>
      <c r="G145" s="109"/>
      <c r="H145" s="109"/>
      <c r="I145" s="109"/>
      <c r="J145" s="109"/>
      <c r="K145" s="109"/>
      <c r="L145" s="109"/>
      <c r="M145" s="109"/>
    </row>
    <row r="146" spans="1:13" ht="12.75" customHeight="1" x14ac:dyDescent="0.55000000000000004">
      <c r="A146" s="109"/>
      <c r="B146" s="109"/>
      <c r="C146" s="109"/>
      <c r="D146" s="109"/>
      <c r="E146" s="109"/>
      <c r="F146" s="109"/>
      <c r="G146" s="109"/>
      <c r="H146" s="109"/>
      <c r="I146" s="109"/>
      <c r="J146" s="109"/>
      <c r="K146" s="109"/>
      <c r="L146" s="109"/>
      <c r="M146" s="109"/>
    </row>
    <row r="147" spans="1:13" ht="12.75" customHeight="1" x14ac:dyDescent="0.55000000000000004">
      <c r="A147" s="109"/>
      <c r="B147" s="109"/>
      <c r="C147" s="109"/>
      <c r="D147" s="109"/>
      <c r="E147" s="109"/>
      <c r="F147" s="109"/>
      <c r="G147" s="109"/>
      <c r="H147" s="109"/>
      <c r="I147" s="109"/>
      <c r="J147" s="109"/>
      <c r="K147" s="109"/>
      <c r="L147" s="109"/>
      <c r="M147" s="109"/>
    </row>
    <row r="148" spans="1:13" ht="12.75" customHeight="1" x14ac:dyDescent="0.55000000000000004">
      <c r="A148" s="109"/>
      <c r="B148" s="109"/>
      <c r="C148" s="109"/>
      <c r="D148" s="109"/>
      <c r="E148" s="109"/>
      <c r="F148" s="109"/>
      <c r="G148" s="109"/>
      <c r="H148" s="109"/>
      <c r="I148" s="109"/>
      <c r="J148" s="109"/>
      <c r="K148" s="109"/>
      <c r="L148" s="109"/>
      <c r="M148" s="109"/>
    </row>
    <row r="149" spans="1:13" ht="12.75" customHeight="1" x14ac:dyDescent="0.55000000000000004">
      <c r="A149" s="109"/>
      <c r="B149" s="109"/>
      <c r="C149" s="109"/>
      <c r="D149" s="109"/>
      <c r="E149" s="109"/>
      <c r="F149" s="109"/>
      <c r="G149" s="109"/>
      <c r="H149" s="109"/>
      <c r="I149" s="109"/>
      <c r="J149" s="109"/>
      <c r="K149" s="109"/>
      <c r="L149" s="109"/>
      <c r="M149" s="109"/>
    </row>
    <row r="150" spans="1:13" ht="12.75" customHeight="1" x14ac:dyDescent="0.55000000000000004">
      <c r="A150" s="109"/>
      <c r="B150" s="109"/>
      <c r="C150" s="109"/>
      <c r="D150" s="109"/>
      <c r="E150" s="109"/>
      <c r="F150" s="109"/>
      <c r="G150" s="109"/>
      <c r="H150" s="109"/>
      <c r="I150" s="109"/>
      <c r="J150" s="109"/>
      <c r="K150" s="109"/>
      <c r="L150" s="109"/>
      <c r="M150" s="109"/>
    </row>
    <row r="151" spans="1:13" ht="12.75" customHeight="1" x14ac:dyDescent="0.55000000000000004">
      <c r="A151" s="109"/>
      <c r="B151" s="109"/>
      <c r="C151" s="109"/>
      <c r="D151" s="109"/>
      <c r="E151" s="109"/>
      <c r="F151" s="109"/>
      <c r="G151" s="109"/>
      <c r="H151" s="109"/>
      <c r="I151" s="109"/>
      <c r="J151" s="109"/>
      <c r="K151" s="109"/>
      <c r="L151" s="109"/>
      <c r="M151" s="109"/>
    </row>
    <row r="152" spans="1:13" ht="12.75" customHeight="1" x14ac:dyDescent="0.55000000000000004">
      <c r="A152" s="109"/>
      <c r="B152" s="109"/>
      <c r="C152" s="109"/>
      <c r="D152" s="109"/>
      <c r="E152" s="109"/>
      <c r="F152" s="109"/>
      <c r="G152" s="109"/>
      <c r="H152" s="109"/>
      <c r="I152" s="109"/>
      <c r="J152" s="109"/>
      <c r="K152" s="109"/>
      <c r="L152" s="109"/>
      <c r="M152" s="109"/>
    </row>
    <row r="153" spans="1:13" ht="12.75" customHeight="1" x14ac:dyDescent="0.55000000000000004">
      <c r="A153" s="109"/>
      <c r="B153" s="109"/>
      <c r="C153" s="109"/>
      <c r="D153" s="109"/>
      <c r="E153" s="109"/>
      <c r="F153" s="109"/>
      <c r="G153" s="109"/>
      <c r="H153" s="109"/>
      <c r="I153" s="109"/>
      <c r="J153" s="109"/>
      <c r="K153" s="109"/>
      <c r="L153" s="109"/>
      <c r="M153" s="109"/>
    </row>
    <row r="154" spans="1:13" ht="12.75" customHeight="1" x14ac:dyDescent="0.55000000000000004">
      <c r="A154" s="109"/>
      <c r="B154" s="109"/>
      <c r="C154" s="109"/>
      <c r="D154" s="109"/>
      <c r="E154" s="109"/>
      <c r="F154" s="109"/>
      <c r="G154" s="109"/>
      <c r="H154" s="109"/>
      <c r="I154" s="109"/>
      <c r="J154" s="109"/>
      <c r="K154" s="109"/>
      <c r="L154" s="109"/>
      <c r="M154" s="109"/>
    </row>
    <row r="155" spans="1:13" ht="12.75" customHeight="1" x14ac:dyDescent="0.55000000000000004">
      <c r="A155" s="109"/>
      <c r="B155" s="109"/>
      <c r="C155" s="109"/>
      <c r="D155" s="109"/>
      <c r="E155" s="109"/>
      <c r="F155" s="109"/>
      <c r="G155" s="109"/>
      <c r="H155" s="109"/>
      <c r="I155" s="109"/>
      <c r="J155" s="109"/>
      <c r="K155" s="109"/>
      <c r="L155" s="109"/>
      <c r="M155" s="109"/>
    </row>
    <row r="156" spans="1:13" ht="12.75" customHeight="1" x14ac:dyDescent="0.55000000000000004">
      <c r="A156" s="109"/>
      <c r="B156" s="109"/>
      <c r="C156" s="109"/>
      <c r="D156" s="109"/>
      <c r="E156" s="109"/>
      <c r="F156" s="109"/>
      <c r="G156" s="109"/>
      <c r="H156" s="109"/>
      <c r="I156" s="109"/>
      <c r="J156" s="109"/>
      <c r="K156" s="109"/>
      <c r="L156" s="109"/>
      <c r="M156" s="109"/>
    </row>
    <row r="157" spans="1:13" ht="12.75" customHeight="1" x14ac:dyDescent="0.55000000000000004">
      <c r="A157" s="109"/>
      <c r="B157" s="109"/>
      <c r="C157" s="109"/>
      <c r="D157" s="109"/>
      <c r="E157" s="109"/>
      <c r="F157" s="109"/>
      <c r="G157" s="109"/>
      <c r="H157" s="109"/>
      <c r="I157" s="109"/>
      <c r="J157" s="109"/>
      <c r="K157" s="109"/>
      <c r="L157" s="109"/>
      <c r="M157" s="109"/>
    </row>
    <row r="158" spans="1:13" ht="12.75" customHeight="1" x14ac:dyDescent="0.55000000000000004">
      <c r="A158" s="109"/>
      <c r="B158" s="109"/>
      <c r="C158" s="109"/>
      <c r="D158" s="109"/>
      <c r="E158" s="109"/>
      <c r="F158" s="109"/>
      <c r="G158" s="109"/>
      <c r="H158" s="109"/>
      <c r="I158" s="109"/>
      <c r="J158" s="109"/>
      <c r="K158" s="109"/>
      <c r="L158" s="109"/>
      <c r="M158" s="109"/>
    </row>
    <row r="159" spans="1:13" ht="12.75" customHeight="1" x14ac:dyDescent="0.55000000000000004">
      <c r="A159" s="109"/>
      <c r="B159" s="109"/>
      <c r="C159" s="109"/>
      <c r="D159" s="109"/>
      <c r="E159" s="109"/>
      <c r="F159" s="109"/>
      <c r="G159" s="109"/>
      <c r="H159" s="109"/>
      <c r="I159" s="109"/>
      <c r="J159" s="109"/>
      <c r="K159" s="109"/>
      <c r="L159" s="109"/>
      <c r="M159" s="109"/>
    </row>
    <row r="160" spans="1:13" ht="12.75" customHeight="1" x14ac:dyDescent="0.55000000000000004">
      <c r="A160" s="109"/>
      <c r="B160" s="109"/>
      <c r="C160" s="109"/>
      <c r="D160" s="109"/>
      <c r="E160" s="109"/>
      <c r="F160" s="109"/>
      <c r="G160" s="109"/>
      <c r="H160" s="109"/>
      <c r="I160" s="109"/>
      <c r="J160" s="109"/>
      <c r="K160" s="109"/>
      <c r="L160" s="109"/>
      <c r="M160" s="109"/>
    </row>
    <row r="161" spans="1:13" ht="12.75" customHeight="1" x14ac:dyDescent="0.55000000000000004">
      <c r="A161" s="109"/>
      <c r="B161" s="109"/>
      <c r="C161" s="109"/>
      <c r="D161" s="109"/>
      <c r="E161" s="109"/>
      <c r="F161" s="109"/>
      <c r="G161" s="109"/>
      <c r="H161" s="109"/>
      <c r="I161" s="109"/>
      <c r="J161" s="109"/>
      <c r="K161" s="109"/>
      <c r="L161" s="109"/>
      <c r="M161" s="109"/>
    </row>
    <row r="162" spans="1:13" ht="12.75" customHeight="1" x14ac:dyDescent="0.55000000000000004">
      <c r="A162" s="109"/>
      <c r="B162" s="109"/>
      <c r="C162" s="109"/>
      <c r="D162" s="109"/>
      <c r="E162" s="109"/>
      <c r="F162" s="109"/>
      <c r="G162" s="109"/>
      <c r="H162" s="109"/>
      <c r="I162" s="109"/>
      <c r="J162" s="109"/>
      <c r="K162" s="109"/>
      <c r="L162" s="109"/>
      <c r="M162" s="109"/>
    </row>
    <row r="163" spans="1:13" ht="12.75" customHeight="1" x14ac:dyDescent="0.55000000000000004">
      <c r="A163" s="109"/>
      <c r="B163" s="109"/>
      <c r="C163" s="109"/>
      <c r="D163" s="109"/>
      <c r="E163" s="109"/>
      <c r="F163" s="109"/>
      <c r="G163" s="109"/>
      <c r="H163" s="109"/>
      <c r="I163" s="109"/>
      <c r="J163" s="109"/>
      <c r="K163" s="109"/>
      <c r="L163" s="109"/>
      <c r="M163" s="109"/>
    </row>
    <row r="164" spans="1:13" ht="12.75" customHeight="1" x14ac:dyDescent="0.55000000000000004">
      <c r="A164" s="109"/>
      <c r="B164" s="109"/>
      <c r="C164" s="109"/>
      <c r="D164" s="109"/>
      <c r="E164" s="109"/>
      <c r="F164" s="109"/>
      <c r="G164" s="109"/>
      <c r="H164" s="109"/>
      <c r="I164" s="109"/>
      <c r="J164" s="109"/>
      <c r="K164" s="109"/>
      <c r="L164" s="109"/>
      <c r="M164" s="109"/>
    </row>
    <row r="165" spans="1:13" ht="12.75" customHeight="1" x14ac:dyDescent="0.55000000000000004">
      <c r="A165" s="109"/>
      <c r="B165" s="109"/>
      <c r="C165" s="109"/>
      <c r="D165" s="109"/>
      <c r="E165" s="109"/>
      <c r="F165" s="109"/>
      <c r="G165" s="109"/>
      <c r="H165" s="109"/>
      <c r="I165" s="109"/>
      <c r="J165" s="109"/>
      <c r="K165" s="109"/>
      <c r="L165" s="109"/>
      <c r="M165" s="109"/>
    </row>
    <row r="166" spans="1:13" ht="12.75" customHeight="1" x14ac:dyDescent="0.55000000000000004">
      <c r="A166" s="109"/>
      <c r="B166" s="109"/>
      <c r="C166" s="109"/>
      <c r="D166" s="109"/>
      <c r="E166" s="109"/>
      <c r="F166" s="109"/>
      <c r="G166" s="109"/>
      <c r="H166" s="109"/>
      <c r="I166" s="109"/>
      <c r="J166" s="109"/>
      <c r="K166" s="109"/>
      <c r="L166" s="109"/>
      <c r="M166" s="109"/>
    </row>
    <row r="167" spans="1:13" ht="12.75" customHeight="1" x14ac:dyDescent="0.55000000000000004">
      <c r="A167" s="109"/>
      <c r="B167" s="109"/>
      <c r="C167" s="109"/>
      <c r="D167" s="109"/>
      <c r="E167" s="109"/>
      <c r="F167" s="109"/>
      <c r="G167" s="109"/>
      <c r="H167" s="109"/>
      <c r="I167" s="109"/>
      <c r="J167" s="109"/>
      <c r="K167" s="109"/>
      <c r="L167" s="109"/>
      <c r="M167" s="109"/>
    </row>
    <row r="168" spans="1:13" ht="12.75" customHeight="1" x14ac:dyDescent="0.55000000000000004">
      <c r="A168" s="109"/>
      <c r="B168" s="109"/>
      <c r="C168" s="109"/>
      <c r="D168" s="109"/>
      <c r="E168" s="109"/>
      <c r="F168" s="109"/>
      <c r="G168" s="109"/>
      <c r="H168" s="109"/>
      <c r="I168" s="109"/>
      <c r="J168" s="109"/>
      <c r="K168" s="109"/>
      <c r="L168" s="109"/>
      <c r="M168" s="109"/>
    </row>
    <row r="169" spans="1:13" ht="12.75" customHeight="1" x14ac:dyDescent="0.55000000000000004">
      <c r="A169" s="109"/>
      <c r="B169" s="109"/>
      <c r="C169" s="109"/>
      <c r="D169" s="109"/>
      <c r="E169" s="109"/>
      <c r="F169" s="109"/>
      <c r="G169" s="109"/>
      <c r="H169" s="109"/>
      <c r="I169" s="109"/>
      <c r="J169" s="109"/>
      <c r="K169" s="109"/>
      <c r="L169" s="109"/>
      <c r="M169" s="109"/>
    </row>
    <row r="170" spans="1:13" ht="12.75" customHeight="1" x14ac:dyDescent="0.55000000000000004">
      <c r="A170" s="109"/>
      <c r="B170" s="109"/>
      <c r="C170" s="109"/>
      <c r="D170" s="109"/>
      <c r="E170" s="109"/>
      <c r="F170" s="109"/>
      <c r="G170" s="109"/>
      <c r="H170" s="109"/>
      <c r="I170" s="109"/>
      <c r="J170" s="109"/>
      <c r="K170" s="109"/>
      <c r="L170" s="109"/>
      <c r="M170" s="109"/>
    </row>
    <row r="171" spans="1:13" ht="12.75" customHeight="1" x14ac:dyDescent="0.55000000000000004">
      <c r="A171" s="109"/>
      <c r="B171" s="109"/>
      <c r="C171" s="109"/>
      <c r="D171" s="109"/>
      <c r="E171" s="109"/>
      <c r="F171" s="109"/>
      <c r="G171" s="109"/>
      <c r="H171" s="109"/>
      <c r="I171" s="109"/>
      <c r="J171" s="109"/>
      <c r="K171" s="109"/>
      <c r="L171" s="109"/>
      <c r="M171" s="109"/>
    </row>
    <row r="172" spans="1:13" ht="12.75" customHeight="1" x14ac:dyDescent="0.55000000000000004">
      <c r="A172" s="109"/>
      <c r="B172" s="109"/>
      <c r="C172" s="109"/>
      <c r="D172" s="109"/>
      <c r="E172" s="109"/>
      <c r="F172" s="109"/>
      <c r="G172" s="109"/>
      <c r="H172" s="109"/>
      <c r="I172" s="109"/>
      <c r="J172" s="109"/>
      <c r="K172" s="109"/>
      <c r="L172" s="109"/>
      <c r="M172" s="109"/>
    </row>
    <row r="173" spans="1:13" ht="12.75" customHeight="1" x14ac:dyDescent="0.55000000000000004">
      <c r="A173" s="109"/>
      <c r="B173" s="109"/>
      <c r="C173" s="109"/>
      <c r="D173" s="109"/>
      <c r="E173" s="109"/>
      <c r="F173" s="109"/>
      <c r="G173" s="109"/>
      <c r="H173" s="109"/>
      <c r="I173" s="109"/>
      <c r="J173" s="109"/>
      <c r="K173" s="109"/>
      <c r="L173" s="109"/>
      <c r="M173" s="109"/>
    </row>
    <row r="174" spans="1:13" ht="12.75" customHeight="1" x14ac:dyDescent="0.55000000000000004">
      <c r="A174" s="109"/>
      <c r="B174" s="109"/>
      <c r="C174" s="109"/>
      <c r="D174" s="109"/>
      <c r="E174" s="109"/>
      <c r="F174" s="109"/>
      <c r="G174" s="109"/>
      <c r="H174" s="109"/>
      <c r="I174" s="109"/>
      <c r="J174" s="109"/>
      <c r="K174" s="109"/>
      <c r="L174" s="109"/>
      <c r="M174" s="109"/>
    </row>
    <row r="175" spans="1:13" ht="12.75" customHeight="1" x14ac:dyDescent="0.55000000000000004">
      <c r="A175" s="109"/>
      <c r="B175" s="109"/>
      <c r="C175" s="109"/>
      <c r="D175" s="109"/>
      <c r="E175" s="109"/>
      <c r="F175" s="109"/>
      <c r="G175" s="109"/>
      <c r="H175" s="109"/>
      <c r="I175" s="109"/>
      <c r="J175" s="109"/>
      <c r="K175" s="109"/>
      <c r="L175" s="109"/>
      <c r="M175" s="109"/>
    </row>
    <row r="176" spans="1:13" ht="12.75" customHeight="1" x14ac:dyDescent="0.55000000000000004">
      <c r="A176" s="109"/>
      <c r="B176" s="109"/>
      <c r="C176" s="109"/>
      <c r="D176" s="109"/>
      <c r="E176" s="109"/>
      <c r="F176" s="109"/>
      <c r="G176" s="109"/>
      <c r="H176" s="109"/>
      <c r="I176" s="109"/>
      <c r="J176" s="109"/>
      <c r="K176" s="109"/>
      <c r="L176" s="109"/>
      <c r="M176" s="109"/>
    </row>
    <row r="177" spans="1:13" ht="12.75" customHeight="1" x14ac:dyDescent="0.55000000000000004">
      <c r="A177" s="109"/>
      <c r="B177" s="109"/>
      <c r="C177" s="109"/>
      <c r="D177" s="109"/>
      <c r="E177" s="109"/>
      <c r="F177" s="109"/>
      <c r="G177" s="109"/>
      <c r="H177" s="109"/>
      <c r="I177" s="109"/>
      <c r="J177" s="109"/>
      <c r="K177" s="109"/>
      <c r="L177" s="109"/>
      <c r="M177" s="109"/>
    </row>
    <row r="178" spans="1:13" ht="12.75" customHeight="1" x14ac:dyDescent="0.55000000000000004">
      <c r="A178" s="109"/>
      <c r="B178" s="109"/>
      <c r="C178" s="109"/>
      <c r="D178" s="109"/>
      <c r="E178" s="109"/>
      <c r="F178" s="109"/>
      <c r="G178" s="109"/>
      <c r="H178" s="109"/>
      <c r="I178" s="109"/>
      <c r="J178" s="109"/>
      <c r="K178" s="109"/>
      <c r="L178" s="109"/>
      <c r="M178" s="109"/>
    </row>
    <row r="179" spans="1:13" ht="12.75" customHeight="1" x14ac:dyDescent="0.55000000000000004">
      <c r="A179" s="109"/>
      <c r="B179" s="109"/>
      <c r="C179" s="109"/>
      <c r="D179" s="109"/>
      <c r="E179" s="109"/>
      <c r="F179" s="109"/>
      <c r="G179" s="109"/>
      <c r="H179" s="109"/>
      <c r="I179" s="109"/>
      <c r="J179" s="109"/>
      <c r="K179" s="109"/>
      <c r="L179" s="109"/>
      <c r="M179" s="109"/>
    </row>
    <row r="180" spans="1:13" ht="12.75" customHeight="1" x14ac:dyDescent="0.55000000000000004">
      <c r="A180" s="109"/>
      <c r="B180" s="109"/>
      <c r="C180" s="109"/>
      <c r="D180" s="109"/>
      <c r="E180" s="109"/>
      <c r="F180" s="109"/>
      <c r="G180" s="109"/>
      <c r="H180" s="109"/>
      <c r="I180" s="109"/>
      <c r="J180" s="109"/>
      <c r="K180" s="109"/>
      <c r="L180" s="109"/>
      <c r="M180" s="109"/>
    </row>
    <row r="181" spans="1:13" ht="12.75" customHeight="1" x14ac:dyDescent="0.55000000000000004">
      <c r="A181" s="109"/>
      <c r="B181" s="109"/>
      <c r="C181" s="109"/>
      <c r="D181" s="109"/>
      <c r="E181" s="109"/>
      <c r="F181" s="109"/>
      <c r="G181" s="109"/>
      <c r="H181" s="109"/>
      <c r="I181" s="109"/>
      <c r="J181" s="109"/>
      <c r="K181" s="109"/>
      <c r="L181" s="109"/>
      <c r="M181" s="109"/>
    </row>
    <row r="182" spans="1:13" ht="12.75" customHeight="1" x14ac:dyDescent="0.55000000000000004">
      <c r="A182" s="109"/>
      <c r="B182" s="109"/>
      <c r="C182" s="109"/>
      <c r="D182" s="109"/>
      <c r="E182" s="109"/>
      <c r="F182" s="109"/>
      <c r="G182" s="109"/>
      <c r="H182" s="109"/>
      <c r="I182" s="109"/>
      <c r="J182" s="109"/>
      <c r="K182" s="109"/>
      <c r="L182" s="109"/>
      <c r="M182" s="109"/>
    </row>
    <row r="183" spans="1:13" ht="12.75" customHeight="1" x14ac:dyDescent="0.55000000000000004">
      <c r="A183" s="109"/>
      <c r="B183" s="109"/>
      <c r="C183" s="109"/>
      <c r="D183" s="109"/>
      <c r="E183" s="109"/>
      <c r="F183" s="109"/>
      <c r="G183" s="109"/>
      <c r="H183" s="109"/>
      <c r="I183" s="109"/>
      <c r="J183" s="109"/>
      <c r="K183" s="109"/>
      <c r="L183" s="109"/>
      <c r="M183" s="109"/>
    </row>
    <row r="184" spans="1:13" ht="12.75" customHeight="1" x14ac:dyDescent="0.55000000000000004">
      <c r="A184" s="109"/>
      <c r="B184" s="109"/>
      <c r="C184" s="109"/>
      <c r="D184" s="109"/>
      <c r="E184" s="109"/>
      <c r="F184" s="109"/>
      <c r="G184" s="109"/>
      <c r="H184" s="109"/>
      <c r="I184" s="109"/>
      <c r="J184" s="109"/>
      <c r="K184" s="109"/>
      <c r="L184" s="109"/>
      <c r="M184" s="109"/>
    </row>
    <row r="185" spans="1:13" ht="12.75" customHeight="1" x14ac:dyDescent="0.55000000000000004">
      <c r="A185" s="109"/>
      <c r="B185" s="109"/>
      <c r="C185" s="109"/>
      <c r="D185" s="109"/>
      <c r="E185" s="109"/>
      <c r="F185" s="109"/>
      <c r="G185" s="109"/>
      <c r="H185" s="109"/>
      <c r="I185" s="109"/>
      <c r="J185" s="109"/>
      <c r="K185" s="109"/>
      <c r="L185" s="109"/>
      <c r="M185" s="109"/>
    </row>
    <row r="186" spans="1:13" ht="12.75" customHeight="1" x14ac:dyDescent="0.55000000000000004">
      <c r="A186" s="109"/>
      <c r="B186" s="109"/>
      <c r="C186" s="109"/>
      <c r="D186" s="109"/>
      <c r="E186" s="109"/>
      <c r="F186" s="109"/>
      <c r="G186" s="109"/>
      <c r="H186" s="109"/>
      <c r="I186" s="109"/>
      <c r="J186" s="109"/>
      <c r="K186" s="109"/>
      <c r="L186" s="109"/>
      <c r="M186" s="109"/>
    </row>
    <row r="187" spans="1:13" ht="12.75" customHeight="1" x14ac:dyDescent="0.55000000000000004">
      <c r="A187" s="109"/>
      <c r="B187" s="109"/>
      <c r="C187" s="109"/>
      <c r="D187" s="109"/>
      <c r="E187" s="109"/>
      <c r="F187" s="109"/>
      <c r="G187" s="109"/>
      <c r="H187" s="109"/>
      <c r="I187" s="109"/>
      <c r="J187" s="109"/>
      <c r="K187" s="109"/>
      <c r="L187" s="109"/>
      <c r="M187" s="109"/>
    </row>
    <row r="188" spans="1:13" ht="12.75" customHeight="1" x14ac:dyDescent="0.55000000000000004">
      <c r="A188" s="109"/>
      <c r="B188" s="109"/>
      <c r="C188" s="109"/>
      <c r="D188" s="109"/>
      <c r="E188" s="109"/>
      <c r="F188" s="109"/>
      <c r="G188" s="109"/>
      <c r="H188" s="109"/>
      <c r="I188" s="109"/>
      <c r="J188" s="109"/>
      <c r="K188" s="109"/>
      <c r="L188" s="109"/>
      <c r="M188" s="109"/>
    </row>
    <row r="189" spans="1:13" ht="12.75" customHeight="1" x14ac:dyDescent="0.55000000000000004">
      <c r="A189" s="109"/>
      <c r="B189" s="109"/>
      <c r="C189" s="109"/>
      <c r="D189" s="109"/>
      <c r="E189" s="109"/>
      <c r="F189" s="109"/>
      <c r="G189" s="109"/>
      <c r="H189" s="109"/>
      <c r="I189" s="109"/>
      <c r="J189" s="109"/>
      <c r="K189" s="109"/>
      <c r="L189" s="109"/>
      <c r="M189" s="109"/>
    </row>
    <row r="190" spans="1:13" ht="12.75" customHeight="1" x14ac:dyDescent="0.55000000000000004">
      <c r="A190" s="109"/>
      <c r="B190" s="109"/>
      <c r="C190" s="109"/>
      <c r="D190" s="109"/>
      <c r="E190" s="109"/>
      <c r="F190" s="109"/>
      <c r="G190" s="109"/>
      <c r="H190" s="109"/>
      <c r="I190" s="109"/>
      <c r="J190" s="109"/>
      <c r="K190" s="109"/>
      <c r="L190" s="109"/>
      <c r="M190" s="109"/>
    </row>
    <row r="191" spans="1:13" ht="12.75" customHeight="1" x14ac:dyDescent="0.55000000000000004">
      <c r="A191" s="109"/>
      <c r="B191" s="109"/>
      <c r="C191" s="109"/>
      <c r="D191" s="109"/>
      <c r="E191" s="109"/>
      <c r="F191" s="109"/>
      <c r="G191" s="109"/>
      <c r="H191" s="109"/>
      <c r="I191" s="109"/>
      <c r="J191" s="109"/>
      <c r="K191" s="109"/>
      <c r="L191" s="109"/>
      <c r="M191" s="109"/>
    </row>
    <row r="192" spans="1:13" ht="12.75" customHeight="1" x14ac:dyDescent="0.55000000000000004">
      <c r="A192" s="109"/>
      <c r="B192" s="109"/>
      <c r="C192" s="109"/>
      <c r="D192" s="109"/>
      <c r="E192" s="109"/>
      <c r="F192" s="109"/>
      <c r="G192" s="109"/>
      <c r="H192" s="109"/>
      <c r="I192" s="109"/>
      <c r="J192" s="109"/>
      <c r="K192" s="109"/>
      <c r="L192" s="109"/>
      <c r="M192" s="109"/>
    </row>
    <row r="193" spans="1:13" ht="12.75" customHeight="1" x14ac:dyDescent="0.55000000000000004">
      <c r="A193" s="109"/>
      <c r="B193" s="109"/>
      <c r="C193" s="109"/>
      <c r="D193" s="109"/>
      <c r="E193" s="109"/>
      <c r="F193" s="109"/>
      <c r="G193" s="109"/>
      <c r="H193" s="109"/>
      <c r="I193" s="109"/>
      <c r="J193" s="109"/>
      <c r="K193" s="109"/>
      <c r="L193" s="109"/>
      <c r="M193" s="109"/>
    </row>
    <row r="194" spans="1:13" ht="12.75" customHeight="1" x14ac:dyDescent="0.55000000000000004">
      <c r="A194" s="109"/>
      <c r="B194" s="109"/>
      <c r="C194" s="109"/>
      <c r="D194" s="109"/>
      <c r="E194" s="109"/>
      <c r="F194" s="109"/>
      <c r="G194" s="109"/>
      <c r="H194" s="109"/>
      <c r="I194" s="109"/>
      <c r="J194" s="109"/>
      <c r="K194" s="109"/>
      <c r="L194" s="109"/>
      <c r="M194" s="109"/>
    </row>
    <row r="195" spans="1:13" ht="12.75" customHeight="1" x14ac:dyDescent="0.55000000000000004">
      <c r="A195" s="109"/>
      <c r="B195" s="109"/>
      <c r="C195" s="109"/>
      <c r="D195" s="109"/>
      <c r="E195" s="109"/>
      <c r="F195" s="109"/>
      <c r="G195" s="109"/>
      <c r="H195" s="109"/>
      <c r="I195" s="109"/>
      <c r="J195" s="109"/>
      <c r="K195" s="109"/>
      <c r="L195" s="109"/>
      <c r="M195" s="109"/>
    </row>
    <row r="196" spans="1:13" ht="12.75" customHeight="1" x14ac:dyDescent="0.55000000000000004">
      <c r="A196" s="109"/>
      <c r="B196" s="109"/>
      <c r="C196" s="109"/>
      <c r="D196" s="109"/>
      <c r="E196" s="109"/>
      <c r="F196" s="109"/>
      <c r="G196" s="109"/>
      <c r="H196" s="109"/>
      <c r="I196" s="109"/>
      <c r="J196" s="109"/>
      <c r="K196" s="109"/>
      <c r="L196" s="109"/>
      <c r="M196" s="109"/>
    </row>
    <row r="197" spans="1:13" ht="12.75" customHeight="1" x14ac:dyDescent="0.55000000000000004">
      <c r="A197" s="109"/>
      <c r="B197" s="109"/>
      <c r="C197" s="109"/>
      <c r="D197" s="109"/>
      <c r="E197" s="109"/>
      <c r="F197" s="109"/>
      <c r="G197" s="109"/>
      <c r="H197" s="109"/>
      <c r="I197" s="109"/>
      <c r="J197" s="109"/>
      <c r="K197" s="109"/>
      <c r="L197" s="109"/>
      <c r="M197" s="109"/>
    </row>
    <row r="198" spans="1:13" ht="12.75" customHeight="1" x14ac:dyDescent="0.55000000000000004">
      <c r="A198" s="109"/>
      <c r="B198" s="109"/>
      <c r="C198" s="109"/>
      <c r="D198" s="109"/>
      <c r="E198" s="109"/>
      <c r="F198" s="109"/>
      <c r="G198" s="109"/>
      <c r="H198" s="109"/>
      <c r="I198" s="109"/>
      <c r="J198" s="109"/>
      <c r="K198" s="109"/>
      <c r="L198" s="109"/>
      <c r="M198" s="109"/>
    </row>
    <row r="199" spans="1:13" ht="12.75" customHeight="1" x14ac:dyDescent="0.55000000000000004">
      <c r="A199" s="109"/>
      <c r="B199" s="109"/>
      <c r="C199" s="109"/>
      <c r="D199" s="109"/>
      <c r="E199" s="109"/>
      <c r="F199" s="109"/>
      <c r="G199" s="109"/>
      <c r="H199" s="109"/>
      <c r="I199" s="109"/>
      <c r="J199" s="109"/>
      <c r="K199" s="109"/>
      <c r="L199" s="109"/>
      <c r="M199" s="109"/>
    </row>
    <row r="200" spans="1:13" ht="12.75" customHeight="1" x14ac:dyDescent="0.55000000000000004">
      <c r="A200" s="109"/>
      <c r="B200" s="109"/>
      <c r="C200" s="109"/>
      <c r="D200" s="109"/>
      <c r="E200" s="109"/>
      <c r="F200" s="109"/>
      <c r="G200" s="109"/>
      <c r="H200" s="109"/>
      <c r="I200" s="109"/>
      <c r="J200" s="109"/>
      <c r="K200" s="109"/>
      <c r="L200" s="109"/>
      <c r="M200" s="109"/>
    </row>
    <row r="201" spans="1:13" ht="12.75" customHeight="1" x14ac:dyDescent="0.55000000000000004">
      <c r="A201" s="109"/>
      <c r="B201" s="109"/>
      <c r="C201" s="109"/>
      <c r="D201" s="109"/>
      <c r="E201" s="109"/>
      <c r="F201" s="109"/>
      <c r="G201" s="109"/>
      <c r="H201" s="109"/>
      <c r="I201" s="109"/>
      <c r="J201" s="109"/>
      <c r="K201" s="109"/>
      <c r="L201" s="109"/>
      <c r="M201" s="109"/>
    </row>
    <row r="202" spans="1:13" ht="12.75" customHeight="1" x14ac:dyDescent="0.55000000000000004">
      <c r="A202" s="109"/>
      <c r="B202" s="109"/>
      <c r="C202" s="109"/>
      <c r="D202" s="109"/>
      <c r="E202" s="109"/>
      <c r="F202" s="109"/>
      <c r="G202" s="109"/>
      <c r="H202" s="109"/>
      <c r="I202" s="109"/>
      <c r="J202" s="109"/>
      <c r="K202" s="109"/>
      <c r="L202" s="109"/>
      <c r="M202" s="109"/>
    </row>
    <row r="203" spans="1:13" ht="12.75" customHeight="1" x14ac:dyDescent="0.55000000000000004">
      <c r="A203" s="109"/>
      <c r="B203" s="109"/>
      <c r="C203" s="109"/>
      <c r="D203" s="109"/>
      <c r="E203" s="109"/>
      <c r="F203" s="109"/>
      <c r="G203" s="109"/>
      <c r="H203" s="109"/>
      <c r="I203" s="109"/>
      <c r="J203" s="109"/>
      <c r="K203" s="109"/>
      <c r="L203" s="109"/>
      <c r="M203" s="109"/>
    </row>
    <row r="204" spans="1:13" ht="12.75" customHeight="1" x14ac:dyDescent="0.55000000000000004">
      <c r="A204" s="109"/>
      <c r="B204" s="109"/>
      <c r="C204" s="109"/>
      <c r="D204" s="109"/>
      <c r="E204" s="109"/>
      <c r="F204" s="109"/>
      <c r="G204" s="109"/>
      <c r="H204" s="109"/>
      <c r="I204" s="109"/>
      <c r="J204" s="109"/>
      <c r="K204" s="109"/>
      <c r="L204" s="109"/>
      <c r="M204" s="109"/>
    </row>
    <row r="205" spans="1:13" ht="12.75" customHeight="1" x14ac:dyDescent="0.55000000000000004">
      <c r="A205" s="109"/>
      <c r="B205" s="109"/>
      <c r="C205" s="109"/>
      <c r="D205" s="109"/>
      <c r="E205" s="109"/>
      <c r="F205" s="109"/>
      <c r="G205" s="109"/>
      <c r="H205" s="109"/>
      <c r="I205" s="109"/>
      <c r="J205" s="109"/>
      <c r="K205" s="109"/>
      <c r="L205" s="109"/>
      <c r="M205" s="109"/>
    </row>
    <row r="206" spans="1:13" ht="12.75" customHeight="1" x14ac:dyDescent="0.55000000000000004">
      <c r="A206" s="109"/>
      <c r="B206" s="109"/>
      <c r="C206" s="109"/>
      <c r="D206" s="109"/>
      <c r="E206" s="109"/>
      <c r="F206" s="109"/>
      <c r="G206" s="109"/>
      <c r="H206" s="109"/>
      <c r="I206" s="109"/>
      <c r="J206" s="109"/>
      <c r="K206" s="109"/>
      <c r="L206" s="109"/>
      <c r="M206" s="109"/>
    </row>
    <row r="207" spans="1:13" ht="12.75" customHeight="1" x14ac:dyDescent="0.55000000000000004">
      <c r="A207" s="109"/>
      <c r="B207" s="109"/>
      <c r="C207" s="109"/>
      <c r="D207" s="109"/>
      <c r="E207" s="109"/>
      <c r="F207" s="109"/>
      <c r="G207" s="109"/>
      <c r="H207" s="109"/>
      <c r="I207" s="109"/>
      <c r="J207" s="109"/>
      <c r="K207" s="109"/>
      <c r="L207" s="109"/>
      <c r="M207" s="109"/>
    </row>
    <row r="208" spans="1:13" ht="12.75" customHeight="1" x14ac:dyDescent="0.55000000000000004">
      <c r="A208" s="109"/>
      <c r="B208" s="109"/>
      <c r="C208" s="109"/>
      <c r="D208" s="109"/>
      <c r="E208" s="109"/>
      <c r="F208" s="109"/>
      <c r="G208" s="109"/>
      <c r="H208" s="109"/>
      <c r="I208" s="109"/>
      <c r="J208" s="109"/>
      <c r="K208" s="109"/>
      <c r="L208" s="109"/>
      <c r="M208" s="109"/>
    </row>
    <row r="209" spans="1:13" ht="12.75" customHeight="1" x14ac:dyDescent="0.55000000000000004">
      <c r="A209" s="109"/>
      <c r="B209" s="109"/>
      <c r="C209" s="109"/>
      <c r="D209" s="109"/>
      <c r="E209" s="109"/>
      <c r="F209" s="109"/>
      <c r="G209" s="109"/>
      <c r="H209" s="109"/>
      <c r="I209" s="109"/>
      <c r="J209" s="109"/>
      <c r="K209" s="109"/>
      <c r="L209" s="109"/>
      <c r="M209" s="109"/>
    </row>
    <row r="210" spans="1:13" ht="12.75" customHeight="1" x14ac:dyDescent="0.55000000000000004">
      <c r="A210" s="109"/>
      <c r="B210" s="109"/>
      <c r="C210" s="109"/>
      <c r="D210" s="109"/>
      <c r="E210" s="109"/>
      <c r="F210" s="109"/>
      <c r="G210" s="109"/>
      <c r="H210" s="109"/>
      <c r="I210" s="109"/>
      <c r="J210" s="109"/>
      <c r="K210" s="109"/>
      <c r="L210" s="109"/>
      <c r="M210" s="109"/>
    </row>
    <row r="211" spans="1:13" ht="12.75" customHeight="1" x14ac:dyDescent="0.55000000000000004">
      <c r="A211" s="109"/>
      <c r="B211" s="109"/>
      <c r="C211" s="109"/>
      <c r="D211" s="109"/>
      <c r="E211" s="109"/>
      <c r="F211" s="109"/>
      <c r="G211" s="109"/>
      <c r="H211" s="109"/>
      <c r="I211" s="109"/>
      <c r="J211" s="109"/>
      <c r="K211" s="109"/>
      <c r="L211" s="109"/>
      <c r="M211" s="109"/>
    </row>
    <row r="212" spans="1:13" ht="12.75" customHeight="1" x14ac:dyDescent="0.55000000000000004">
      <c r="A212" s="109"/>
      <c r="B212" s="109"/>
      <c r="C212" s="109"/>
      <c r="D212" s="109"/>
      <c r="E212" s="109"/>
      <c r="F212" s="109"/>
      <c r="G212" s="109"/>
      <c r="H212" s="109"/>
      <c r="I212" s="109"/>
      <c r="J212" s="109"/>
      <c r="K212" s="109"/>
      <c r="L212" s="109"/>
      <c r="M212" s="109"/>
    </row>
    <row r="213" spans="1:13" ht="12.75" customHeight="1" x14ac:dyDescent="0.55000000000000004">
      <c r="A213" s="109"/>
      <c r="B213" s="109"/>
      <c r="C213" s="109"/>
      <c r="D213" s="109"/>
      <c r="E213" s="109"/>
      <c r="F213" s="109"/>
      <c r="G213" s="109"/>
      <c r="H213" s="109"/>
      <c r="I213" s="109"/>
      <c r="J213" s="109"/>
      <c r="K213" s="109"/>
      <c r="L213" s="109"/>
      <c r="M213" s="109"/>
    </row>
    <row r="214" spans="1:13" ht="12.75" customHeight="1" x14ac:dyDescent="0.55000000000000004">
      <c r="A214" s="109"/>
      <c r="B214" s="109"/>
      <c r="C214" s="109"/>
      <c r="D214" s="109"/>
      <c r="E214" s="109"/>
      <c r="F214" s="109"/>
      <c r="G214" s="109"/>
      <c r="H214" s="109"/>
      <c r="I214" s="109"/>
      <c r="J214" s="109"/>
      <c r="K214" s="109"/>
      <c r="L214" s="109"/>
      <c r="M214" s="109"/>
    </row>
    <row r="215" spans="1:13" ht="12.75" customHeight="1" x14ac:dyDescent="0.55000000000000004">
      <c r="A215" s="109"/>
      <c r="B215" s="109"/>
      <c r="C215" s="109"/>
      <c r="D215" s="109"/>
      <c r="E215" s="109"/>
      <c r="F215" s="109"/>
      <c r="G215" s="109"/>
      <c r="H215" s="109"/>
      <c r="I215" s="109"/>
      <c r="J215" s="109"/>
      <c r="K215" s="109"/>
      <c r="L215" s="109"/>
      <c r="M215" s="109"/>
    </row>
    <row r="216" spans="1:13" ht="12.75" customHeight="1" x14ac:dyDescent="0.55000000000000004">
      <c r="A216" s="109"/>
      <c r="B216" s="109"/>
      <c r="C216" s="109"/>
      <c r="D216" s="109"/>
      <c r="E216" s="109"/>
      <c r="F216" s="109"/>
      <c r="G216" s="109"/>
      <c r="H216" s="109"/>
      <c r="I216" s="109"/>
      <c r="J216" s="109"/>
      <c r="K216" s="109"/>
      <c r="L216" s="109"/>
      <c r="M216" s="109"/>
    </row>
    <row r="217" spans="1:13" ht="12.75" customHeight="1" x14ac:dyDescent="0.55000000000000004">
      <c r="A217" s="109"/>
      <c r="B217" s="109"/>
      <c r="C217" s="109"/>
      <c r="D217" s="109"/>
      <c r="E217" s="109"/>
      <c r="F217" s="109"/>
      <c r="G217" s="109"/>
      <c r="H217" s="109"/>
      <c r="I217" s="109"/>
      <c r="J217" s="109"/>
      <c r="K217" s="109"/>
      <c r="L217" s="109"/>
      <c r="M217" s="109"/>
    </row>
    <row r="218" spans="1:13" ht="12.75" customHeight="1" x14ac:dyDescent="0.55000000000000004">
      <c r="A218" s="109"/>
      <c r="B218" s="109"/>
      <c r="C218" s="109"/>
      <c r="D218" s="109"/>
      <c r="E218" s="109"/>
      <c r="F218" s="109"/>
      <c r="G218" s="109"/>
      <c r="H218" s="109"/>
      <c r="I218" s="109"/>
      <c r="J218" s="109"/>
      <c r="K218" s="109"/>
      <c r="L218" s="109"/>
      <c r="M218" s="109"/>
    </row>
    <row r="219" spans="1:13" ht="12.75" customHeight="1" x14ac:dyDescent="0.55000000000000004">
      <c r="A219" s="109"/>
      <c r="B219" s="109"/>
      <c r="C219" s="109"/>
      <c r="D219" s="109"/>
      <c r="E219" s="109"/>
      <c r="F219" s="109"/>
      <c r="G219" s="109"/>
      <c r="H219" s="109"/>
      <c r="I219" s="109"/>
      <c r="J219" s="109"/>
      <c r="K219" s="109"/>
      <c r="L219" s="109"/>
      <c r="M219" s="109"/>
    </row>
    <row r="220" spans="1:13" ht="12.75" customHeight="1" x14ac:dyDescent="0.55000000000000004">
      <c r="A220" s="109"/>
      <c r="B220" s="109"/>
      <c r="C220" s="109"/>
      <c r="D220" s="109"/>
      <c r="E220" s="109"/>
      <c r="F220" s="109"/>
      <c r="G220" s="109"/>
      <c r="H220" s="109"/>
      <c r="I220" s="109"/>
      <c r="J220" s="109"/>
      <c r="K220" s="109"/>
      <c r="L220" s="109"/>
      <c r="M220" s="109"/>
    </row>
    <row r="221" spans="1:13" ht="12.75" customHeight="1" x14ac:dyDescent="0.55000000000000004">
      <c r="A221" s="109"/>
      <c r="B221" s="109"/>
      <c r="C221" s="109"/>
      <c r="D221" s="109"/>
      <c r="E221" s="109"/>
      <c r="F221" s="109"/>
      <c r="G221" s="109"/>
      <c r="H221" s="109"/>
      <c r="I221" s="109"/>
      <c r="J221" s="109"/>
      <c r="K221" s="109"/>
      <c r="L221" s="109"/>
      <c r="M221" s="109"/>
    </row>
    <row r="222" spans="1:13" ht="12.75" customHeight="1" x14ac:dyDescent="0.55000000000000004">
      <c r="A222" s="109"/>
      <c r="B222" s="109"/>
      <c r="C222" s="109"/>
      <c r="D222" s="109"/>
      <c r="E222" s="109"/>
      <c r="F222" s="109"/>
      <c r="G222" s="109"/>
      <c r="H222" s="109"/>
      <c r="I222" s="109"/>
      <c r="J222" s="109"/>
      <c r="K222" s="109"/>
      <c r="L222" s="109"/>
      <c r="M222" s="109"/>
    </row>
    <row r="223" spans="1:13" ht="12.75" customHeight="1" x14ac:dyDescent="0.55000000000000004">
      <c r="A223" s="109"/>
      <c r="B223" s="109"/>
      <c r="C223" s="109"/>
      <c r="D223" s="109"/>
      <c r="E223" s="109"/>
      <c r="F223" s="109"/>
      <c r="G223" s="109"/>
      <c r="H223" s="109"/>
      <c r="I223" s="109"/>
      <c r="J223" s="109"/>
      <c r="K223" s="109"/>
      <c r="L223" s="109"/>
      <c r="M223" s="109"/>
    </row>
    <row r="224" spans="1:13" ht="12.75" customHeight="1" x14ac:dyDescent="0.55000000000000004">
      <c r="A224" s="109"/>
      <c r="B224" s="109"/>
      <c r="C224" s="109"/>
      <c r="D224" s="109"/>
      <c r="E224" s="109"/>
      <c r="F224" s="109"/>
      <c r="G224" s="109"/>
      <c r="H224" s="109"/>
      <c r="I224" s="109"/>
      <c r="J224" s="109"/>
      <c r="K224" s="109"/>
      <c r="L224" s="109"/>
      <c r="M224" s="109"/>
    </row>
    <row r="225" spans="1:13" ht="12.75" customHeight="1" x14ac:dyDescent="0.55000000000000004">
      <c r="A225" s="109"/>
      <c r="B225" s="109"/>
      <c r="C225" s="109"/>
      <c r="D225" s="109"/>
      <c r="E225" s="109"/>
      <c r="F225" s="109"/>
      <c r="G225" s="109"/>
      <c r="H225" s="109"/>
      <c r="I225" s="109"/>
      <c r="J225" s="109"/>
      <c r="K225" s="109"/>
      <c r="L225" s="109"/>
      <c r="M225" s="109"/>
    </row>
    <row r="226" spans="1:13" ht="12.75" customHeight="1" x14ac:dyDescent="0.55000000000000004">
      <c r="A226" s="109"/>
      <c r="B226" s="109"/>
      <c r="C226" s="109"/>
      <c r="D226" s="109"/>
      <c r="E226" s="109"/>
      <c r="F226" s="109"/>
      <c r="G226" s="109"/>
      <c r="H226" s="109"/>
      <c r="I226" s="109"/>
      <c r="J226" s="109"/>
      <c r="K226" s="109"/>
      <c r="L226" s="109"/>
      <c r="M226" s="109"/>
    </row>
    <row r="227" spans="1:13" ht="12.75" customHeight="1" x14ac:dyDescent="0.55000000000000004">
      <c r="A227" s="109"/>
      <c r="B227" s="109"/>
      <c r="C227" s="109"/>
      <c r="D227" s="109"/>
      <c r="E227" s="109"/>
      <c r="F227" s="109"/>
      <c r="G227" s="109"/>
      <c r="H227" s="109"/>
      <c r="I227" s="109"/>
      <c r="J227" s="109"/>
      <c r="K227" s="109"/>
      <c r="L227" s="109"/>
      <c r="M227" s="109"/>
    </row>
    <row r="228" spans="1:13" ht="12.75" customHeight="1" x14ac:dyDescent="0.55000000000000004">
      <c r="A228" s="109"/>
      <c r="B228" s="109"/>
      <c r="C228" s="109"/>
      <c r="D228" s="109"/>
      <c r="E228" s="109"/>
      <c r="F228" s="109"/>
      <c r="G228" s="109"/>
      <c r="H228" s="109"/>
      <c r="I228" s="109"/>
      <c r="J228" s="109"/>
      <c r="K228" s="109"/>
      <c r="L228" s="109"/>
      <c r="M228" s="109"/>
    </row>
    <row r="229" spans="1:13" ht="12.75" customHeight="1" x14ac:dyDescent="0.55000000000000004">
      <c r="A229" s="109"/>
      <c r="B229" s="109"/>
      <c r="C229" s="109"/>
      <c r="D229" s="109"/>
      <c r="E229" s="109"/>
      <c r="F229" s="109"/>
      <c r="G229" s="109"/>
      <c r="H229" s="109"/>
      <c r="I229" s="109"/>
      <c r="J229" s="109"/>
      <c r="K229" s="109"/>
      <c r="L229" s="109"/>
      <c r="M229" s="109"/>
    </row>
    <row r="230" spans="1:13" ht="12.75" customHeight="1" x14ac:dyDescent="0.55000000000000004">
      <c r="A230" s="109"/>
      <c r="B230" s="109"/>
      <c r="C230" s="109"/>
      <c r="D230" s="109"/>
      <c r="E230" s="109"/>
      <c r="F230" s="109"/>
      <c r="G230" s="109"/>
      <c r="H230" s="109"/>
      <c r="I230" s="109"/>
      <c r="J230" s="109"/>
      <c r="K230" s="109"/>
      <c r="L230" s="109"/>
      <c r="M230" s="109"/>
    </row>
  </sheetData>
  <sheetProtection password="C630" sheet="1" objects="1" scenarios="1" selectLockedCells="1"/>
  <sortState ref="B16:L40">
    <sortCondition ref="B16"/>
  </sortState>
  <mergeCells count="17">
    <mergeCell ref="B11:H11"/>
    <mergeCell ref="I11:L11"/>
    <mergeCell ref="B2:H2"/>
    <mergeCell ref="J2:L2"/>
    <mergeCell ref="B4:C4"/>
    <mergeCell ref="D4:G4"/>
    <mergeCell ref="B7:B8"/>
    <mergeCell ref="C7:G7"/>
    <mergeCell ref="H7:L7"/>
    <mergeCell ref="I3:L6"/>
    <mergeCell ref="B44:G44"/>
    <mergeCell ref="B46:G46"/>
    <mergeCell ref="H46:L46"/>
    <mergeCell ref="B12:L12"/>
    <mergeCell ref="B13:L13"/>
    <mergeCell ref="C14:G14"/>
    <mergeCell ref="H14:L14"/>
  </mergeCells>
  <conditionalFormatting sqref="D8:L8">
    <cfRule type="expression" dxfId="23" priority="18" stopIfTrue="1">
      <formula>D9=""</formula>
    </cfRule>
  </conditionalFormatting>
  <conditionalFormatting sqref="B41">
    <cfRule type="expression" dxfId="22" priority="17" stopIfTrue="1">
      <formula>OR(B41=B40,B41=B42)</formula>
    </cfRule>
  </conditionalFormatting>
  <conditionalFormatting sqref="B4:C4">
    <cfRule type="expression" dxfId="21" priority="16" stopIfTrue="1">
      <formula>$D$4=1</formula>
    </cfRule>
  </conditionalFormatting>
  <conditionalFormatting sqref="E42">
    <cfRule type="expression" dxfId="20" priority="14" stopIfTrue="1">
      <formula>$C$52="           Data Entry Required Above"</formula>
    </cfRule>
  </conditionalFormatting>
  <conditionalFormatting sqref="B42">
    <cfRule type="expression" dxfId="19" priority="15" stopIfTrue="1">
      <formula>$C$52="       Data Entry Required Above"</formula>
    </cfRule>
  </conditionalFormatting>
  <conditionalFormatting sqref="A16:A40">
    <cfRule type="expression" dxfId="18" priority="11" stopIfTrue="1">
      <formula>B16=""</formula>
    </cfRule>
  </conditionalFormatting>
  <conditionalFormatting sqref="B40">
    <cfRule type="expression" dxfId="17" priority="21" stopIfTrue="1">
      <formula>B40=B39</formula>
    </cfRule>
  </conditionalFormatting>
  <conditionalFormatting sqref="B17:B39">
    <cfRule type="expression" dxfId="16" priority="26" stopIfTrue="1">
      <formula>OR(B17=B16,B17=B18)</formula>
    </cfRule>
  </conditionalFormatting>
  <conditionalFormatting sqref="C8">
    <cfRule type="expression" dxfId="15" priority="4" stopIfTrue="1">
      <formula>C9=""</formula>
    </cfRule>
  </conditionalFormatting>
  <conditionalFormatting sqref="B7:B8">
    <cfRule type="expression" dxfId="14" priority="3" stopIfTrue="1">
      <formula>$B$9=""</formula>
    </cfRule>
  </conditionalFormatting>
  <conditionalFormatting sqref="I3:L6">
    <cfRule type="expression" dxfId="13" priority="2" stopIfTrue="1">
      <formula>$I$3="Data entry required to add WP"</formula>
    </cfRule>
  </conditionalFormatting>
  <conditionalFormatting sqref="J2:L2">
    <cfRule type="expression" dxfId="12" priority="1" stopIfTrue="1">
      <formula>$O$10=25</formula>
    </cfRule>
  </conditionalFormatting>
  <dataValidations count="10">
    <dataValidation type="custom" operator="equal" allowBlank="1" showInputMessage="1" showErrorMessage="1" error="E or W" sqref="L10">
      <formula1>OR(L10=P13,L10=P14)</formula1>
    </dataValidation>
    <dataValidation type="custom" allowBlank="1" showInputMessage="1" showErrorMessage="1" error="N or S" sqref="G10">
      <formula1>OR(G10=O13,G10=O14)</formula1>
    </dataValidation>
    <dataValidation type="whole" allowBlank="1" showInputMessage="1" showErrorMessage="1" error="o to 59" sqref="F9:F10">
      <formula1>0</formula1>
      <formula2>59</formula2>
    </dataValidation>
    <dataValidation type="list" operator="equal" allowBlank="1" showDropDown="1" showInputMessage="1" showErrorMessage="1" error="E or W" sqref="L9">
      <formula1>"e,E,w,W"</formula1>
    </dataValidation>
    <dataValidation type="list" allowBlank="1" showDropDown="1" showInputMessage="1" showErrorMessage="1" error="N or S" sqref="G9">
      <formula1>"n,N,s,S"</formula1>
    </dataValidation>
    <dataValidation type="whole" allowBlank="1" showInputMessage="1" showErrorMessage="1" error="0 to 59" sqref="I9:I10 K9:K10 D9:D10">
      <formula1>0</formula1>
      <formula2>59</formula2>
    </dataValidation>
    <dataValidation type="decimal" allowBlank="1" showInputMessage="1" showErrorMessage="1" error="0 to .999" sqref="J9:J10 E9:E10">
      <formula1>0</formula1>
      <formula2>0.999</formula2>
    </dataValidation>
    <dataValidation type="textLength" allowBlank="1" showInputMessage="1" showErrorMessage="1" error="4 character maximum" sqref="B9">
      <formula1>1</formula1>
      <formula2>4</formula2>
    </dataValidation>
    <dataValidation type="whole" allowBlank="1" showInputMessage="1" showErrorMessage="1" error="0 to 90" sqref="C9">
      <formula1>0</formula1>
      <formula2>90</formula2>
    </dataValidation>
    <dataValidation type="whole" allowBlank="1" showInputMessage="1" showErrorMessage="1" error="0 to 180" sqref="H9">
      <formula1>0</formula1>
      <formula2>180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rop Down 1">
              <controlPr defaultSize="0" autoLine="0" autoPict="0" macro="[0]!ADDwp">
                <anchor moveWithCells="1">
                  <from>
                    <xdr:col>3</xdr:col>
                    <xdr:colOff>0</xdr:colOff>
                    <xdr:row>3</xdr:row>
                    <xdr:rowOff>0</xdr:rowOff>
                  </from>
                  <to>
                    <xdr:col>7</xdr:col>
                    <xdr:colOff>11430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6" tint="0.39997558519241921"/>
  </sheetPr>
  <dimension ref="A1:M78"/>
  <sheetViews>
    <sheetView showGridLines="0" showRowColHeaders="0" zoomScale="130" zoomScaleNormal="130" workbookViewId="0">
      <selection activeCell="E8" sqref="E8:F8"/>
    </sheetView>
  </sheetViews>
  <sheetFormatPr defaultRowHeight="12.75" customHeight="1" x14ac:dyDescent="0.55000000000000004"/>
  <cols>
    <col min="1" max="1" width="21.68359375" customWidth="1"/>
    <col min="2" max="4" width="11.68359375" customWidth="1"/>
    <col min="5" max="6" width="14.68359375" customWidth="1"/>
    <col min="7" max="8" width="6.68359375" customWidth="1"/>
    <col min="9" max="10" width="11.68359375" customWidth="1"/>
  </cols>
  <sheetData>
    <row r="1" spans="1:13" s="1" customFormat="1" ht="15" x14ac:dyDescent="0.25">
      <c r="A1" s="2"/>
      <c r="B1" s="6"/>
      <c r="C1" s="6"/>
      <c r="D1" s="6"/>
      <c r="E1" s="6"/>
      <c r="F1" s="6"/>
      <c r="G1" s="6"/>
      <c r="H1" s="6"/>
      <c r="I1" s="6"/>
      <c r="J1" s="64"/>
      <c r="K1" s="2"/>
      <c r="L1" s="2"/>
      <c r="M1" s="2"/>
    </row>
    <row r="2" spans="1:13" s="1" customFormat="1" ht="18" customHeight="1" x14ac:dyDescent="0.25">
      <c r="A2" s="82"/>
      <c r="B2" s="161" t="s">
        <v>30</v>
      </c>
      <c r="C2" s="162"/>
      <c r="D2" s="162"/>
      <c r="E2" s="162"/>
      <c r="F2" s="162"/>
      <c r="G2" s="162"/>
      <c r="H2" s="162"/>
      <c r="I2" s="162"/>
      <c r="J2" s="163"/>
      <c r="K2" s="66"/>
      <c r="L2" s="2"/>
      <c r="M2" s="2"/>
    </row>
    <row r="3" spans="1:13" s="1" customFormat="1" ht="14.1" customHeight="1" x14ac:dyDescent="0.25">
      <c r="A3" s="67"/>
      <c r="B3" s="164" t="s">
        <v>31</v>
      </c>
      <c r="C3" s="165"/>
      <c r="D3" s="165"/>
      <c r="E3" s="165"/>
      <c r="F3" s="165"/>
      <c r="G3" s="165"/>
      <c r="H3" s="165"/>
      <c r="I3" s="165"/>
      <c r="J3" s="166"/>
      <c r="K3" s="66"/>
      <c r="L3" s="2"/>
      <c r="M3" s="2"/>
    </row>
    <row r="4" spans="1:13" s="14" customFormat="1" ht="12" customHeight="1" thickBot="1" x14ac:dyDescent="0.25">
      <c r="A4" s="40"/>
      <c r="B4" s="96"/>
      <c r="C4" s="96"/>
      <c r="D4" s="96"/>
      <c r="E4" s="101"/>
      <c r="F4" s="101"/>
      <c r="G4" s="96"/>
      <c r="H4" s="96"/>
      <c r="I4" s="96"/>
      <c r="J4" s="96"/>
      <c r="K4" s="85"/>
      <c r="L4" s="40"/>
      <c r="M4" s="40"/>
    </row>
    <row r="5" spans="1:13" s="14" customFormat="1" ht="10" customHeight="1" x14ac:dyDescent="0.5">
      <c r="A5" s="40"/>
      <c r="B5" s="176" t="s">
        <v>60</v>
      </c>
      <c r="C5" s="177"/>
      <c r="D5" s="97"/>
      <c r="E5" s="172" t="s">
        <v>59</v>
      </c>
      <c r="F5" s="173"/>
      <c r="G5" s="102"/>
      <c r="H5" s="97"/>
      <c r="I5" s="97"/>
      <c r="J5" s="97"/>
      <c r="K5" s="85"/>
      <c r="L5" s="40" t="s">
        <v>11</v>
      </c>
      <c r="M5" s="11"/>
    </row>
    <row r="6" spans="1:13" s="14" customFormat="1" ht="10" customHeight="1" thickBot="1" x14ac:dyDescent="0.55000000000000004">
      <c r="B6" s="178"/>
      <c r="C6" s="179"/>
      <c r="D6" s="97"/>
      <c r="E6" s="174"/>
      <c r="F6" s="175"/>
      <c r="G6" s="102"/>
      <c r="H6" s="97"/>
      <c r="I6" s="97"/>
      <c r="J6" s="97"/>
      <c r="K6" s="85"/>
      <c r="L6" s="40" t="str">
        <f>IF(OR(A54=0,AND(A53&lt;&gt;A54,A53=0)),"                INITIAL DATA ENTRY","                 ADD CALIBRATION")</f>
        <v xml:space="preserve">                INITIAL DATA ENTRY</v>
      </c>
      <c r="M6" s="11"/>
    </row>
    <row r="7" spans="1:13" s="14" customFormat="1" ht="12" customHeight="1" thickBot="1" x14ac:dyDescent="0.25">
      <c r="A7" s="40"/>
      <c r="B7" s="70"/>
      <c r="C7" s="70"/>
      <c r="D7" s="70"/>
      <c r="E7" s="70"/>
      <c r="F7" s="70"/>
      <c r="G7" s="70"/>
      <c r="H7" s="70"/>
      <c r="I7" s="70"/>
      <c r="J7" s="38"/>
      <c r="K7" s="85"/>
      <c r="L7" s="40" t="str">
        <f>IF(L6="                Initial data entry","","      VIEW / UPDATE CALIBRATION")</f>
        <v/>
      </c>
      <c r="M7" s="11"/>
    </row>
    <row r="8" spans="1:13" s="14" customFormat="1" ht="18.25" customHeight="1" thickBot="1" x14ac:dyDescent="0.25">
      <c r="A8" s="40"/>
      <c r="B8" s="167" t="str">
        <f>IF(A54&lt;&gt;A53,CONCATENATE(A53," Calibrations saved"),IF(A54=1,CONCATENATE(A54," Calibration saved"),CONCATENATE(A54," Calibrations saved")))</f>
        <v>0 Calibrations saved</v>
      </c>
      <c r="C8" s="168"/>
      <c r="D8" s="100" t="s">
        <v>58</v>
      </c>
      <c r="E8" s="169">
        <v>1</v>
      </c>
      <c r="F8" s="169"/>
      <c r="G8" s="72"/>
      <c r="H8" s="72"/>
      <c r="I8" s="170" t="s">
        <v>57</v>
      </c>
      <c r="J8" s="171"/>
      <c r="K8" s="85"/>
      <c r="L8" s="40" t="str">
        <f>IF(L7="      VIEW / UPDATE CALIBRATION","              DELETE CALIBRATION","")</f>
        <v/>
      </c>
      <c r="M8" s="40"/>
    </row>
    <row r="9" spans="1:13" s="14" customFormat="1" ht="12" customHeight="1" x14ac:dyDescent="0.2">
      <c r="A9" s="40"/>
      <c r="B9" s="86"/>
      <c r="C9" s="73"/>
      <c r="D9" s="72"/>
      <c r="E9" s="68"/>
      <c r="F9" s="68"/>
      <c r="G9" s="72"/>
      <c r="H9" s="72"/>
      <c r="I9" s="72"/>
      <c r="J9" s="38"/>
      <c r="K9" s="85"/>
      <c r="L9" s="11"/>
      <c r="M9" s="40"/>
    </row>
    <row r="10" spans="1:13" s="14" customFormat="1" ht="18" customHeight="1" x14ac:dyDescent="0.25">
      <c r="A10" s="40"/>
      <c r="B10" s="104" t="str">
        <f>IF($E$10=2,K12,IF($E$10=3,K13,IF($E$10=4,K14,IF($E$10=5,K15,IF($E$10=6,$K$16,"")))))</f>
        <v/>
      </c>
      <c r="C10" s="104" t="str">
        <f>IF(AND($E$8=3,$E$10=2),RIGHT(M15,7),IF(AND($E$8=3,$E$10=3),RIGHT(M16,7),IF(AND($E$8=3,$E$10=4),RIGHT(M17,7),IF(AND($E$8=3,$E$10=5),RIGHT(M18,7),IF(AND($E$8=3,$E$10=6),RIGHT(M19,7),"")))))</f>
        <v/>
      </c>
      <c r="D10" s="100" t="s">
        <v>58</v>
      </c>
      <c r="E10" s="150">
        <v>1</v>
      </c>
      <c r="F10" s="150"/>
      <c r="G10" s="71"/>
      <c r="H10"/>
      <c r="I10"/>
      <c r="J10"/>
      <c r="K10" s="53"/>
      <c r="L10" s="40"/>
      <c r="M10" s="40"/>
    </row>
    <row r="11" spans="1:13" s="1" customFormat="1" ht="12" customHeight="1" thickBot="1" x14ac:dyDescent="0.3">
      <c r="A11" s="40"/>
      <c r="B11" s="40" t="str">
        <f>IF($E$10=7,K17,IF($E$10=8,K18,IF($E$10=9,K19,IF($E$10=10,K20,IF($E$10=11,K21,"")))))</f>
        <v/>
      </c>
      <c r="C11" s="94"/>
      <c r="D11" s="70"/>
      <c r="E11" s="70"/>
      <c r="F11" s="70"/>
      <c r="G11" s="70"/>
      <c r="H11" s="70"/>
      <c r="I11"/>
      <c r="J11"/>
      <c r="K11" s="53"/>
      <c r="L11" s="3"/>
    </row>
    <row r="12" spans="1:13" s="1" customFormat="1" ht="18" customHeight="1" thickBot="1" x14ac:dyDescent="0.3">
      <c r="A12" s="40"/>
      <c r="B12" s="40" t="str">
        <f>IF($E$10=12,K22,IF($E$10=13,K23,IF($E$10=14,K24,IF($E$10=15,K25,IF($E$10=16,K26,"")))))</f>
        <v/>
      </c>
      <c r="C12" s="94" t="str">
        <f>IF(AND($E$8=3,$E$10=7),RIGHT(M20,7),IF(AND($E$8=3,$E$10=8),RIGHT(M21,7),IF(AND($E$8=3,$E$10=9),RIGHT(M22,7),IF(AND($E$8=3,$E$10=10),RIGHT(M23,7),IF(AND($E$8=3,$E$10=11),RIGHT(M24,7),"")))))</f>
        <v/>
      </c>
      <c r="E12" s="83" t="s">
        <v>35</v>
      </c>
      <c r="F12" s="95"/>
      <c r="G12" s="72"/>
      <c r="H12"/>
      <c r="I12" s="72"/>
      <c r="J12" s="72"/>
      <c r="K12" s="2" t="s">
        <v>38</v>
      </c>
      <c r="L12" s="3"/>
    </row>
    <row r="13" spans="1:13" s="1" customFormat="1" ht="28" customHeight="1" thickBot="1" x14ac:dyDescent="0.25">
      <c r="A13" s="84" t="s">
        <v>29</v>
      </c>
      <c r="B13" s="105" t="str">
        <f>IF($E$10=17,K27,IF($E$10=18,K28,IF($E$10=19,K29,IF($E$10=20,K30,""))))</f>
        <v/>
      </c>
      <c r="C13" s="147" t="str">
        <f>IF(AND(B16&lt;&gt;"",$E$8=3),"Saved calibration data for this FR is shown below. Update as needed",IF($E$8=4,"Review the calibration proposed for deletion below; scroll down to save or delete it",IF($E$8&lt;3,"Enter the date this FR was last calibrated and the units used for calibration","")))</f>
        <v>Enter the date this FR was last calibrated and the units used for calibration</v>
      </c>
      <c r="D13" s="147"/>
      <c r="E13" s="147"/>
      <c r="F13" s="147"/>
      <c r="G13" s="147"/>
      <c r="H13" s="147"/>
      <c r="I13" s="147"/>
      <c r="J13" s="37"/>
      <c r="K13" s="2" t="s">
        <v>37</v>
      </c>
      <c r="L13" s="3"/>
    </row>
    <row r="14" spans="1:13" s="1" customFormat="1" ht="18" customHeight="1" thickBot="1" x14ac:dyDescent="0.3">
      <c r="A14" s="111" t="s">
        <v>66</v>
      </c>
      <c r="B14" s="98" t="str">
        <f>IF($E$10=21,K31,IF($E$10=22,K32,IF($E$10=23,K33,IF($E$10=24,K34,""))))</f>
        <v/>
      </c>
      <c r="C14" s="98" t="str">
        <f>IF($E$8=1,"",MATCH(C15,$B55:$K$55,0)+1)</f>
        <v/>
      </c>
      <c r="D14"/>
      <c r="E14" s="63" t="s">
        <v>56</v>
      </c>
      <c r="F14" s="107"/>
      <c r="G14" s="75"/>
      <c r="H14"/>
      <c r="I14"/>
      <c r="J14" s="37"/>
      <c r="K14" s="2" t="s">
        <v>64</v>
      </c>
      <c r="L14" s="3"/>
      <c r="M14" s="40" t="str">
        <f>IF($E$8=4,"                   FR TO DELETE","               FR TO VIEW / UPDATE")</f>
        <v xml:space="preserve">               FR TO VIEW / UPDATE</v>
      </c>
    </row>
    <row r="15" spans="1:13" s="1" customFormat="1" ht="12" customHeight="1" x14ac:dyDescent="0.35">
      <c r="A15" s="112" t="s">
        <v>67</v>
      </c>
      <c r="B15" s="81"/>
      <c r="C15" s="105" t="str">
        <f>IF(AND(C10="",C12=""),B16,IF(C10&lt;&gt;"",C10,C12))</f>
        <v/>
      </c>
      <c r="D15"/>
      <c r="E15"/>
      <c r="F15"/>
      <c r="G15" s="76"/>
      <c r="H15"/>
      <c r="I15"/>
      <c r="J15" s="37"/>
      <c r="K15" s="2" t="s">
        <v>39</v>
      </c>
      <c r="L15" s="3"/>
      <c r="M15" s="40" t="str">
        <f>IF($B$58&lt;&gt;"",CONCATENATE("                       ",$B$55),"")</f>
        <v/>
      </c>
    </row>
    <row r="16" spans="1:13" s="1" customFormat="1" ht="18" customHeight="1" x14ac:dyDescent="0.25">
      <c r="A16" s="113" t="s">
        <v>68</v>
      </c>
      <c r="B16" s="40" t="str">
        <f>IF(B10&lt;&gt;"",CONCATENATE(B10," ",F12),IF(B11&lt;&gt;"",CONCATENATE(B11," ",F12),IF(B12&lt;&gt;"",CONCATENATE(B12," ",F12),IF(B13&lt;&gt;"",CONCATENATE(B13," ",F12),IF(B14&lt;&gt;"",CONCATENATE(B14," ",F12),"")))))</f>
        <v/>
      </c>
      <c r="C16" s="40" t="str">
        <f>IF(OR(COUNTIF($M$15:$M$24,B17),AND($E$8=3,$A$53&gt;0)),"dupe","")</f>
        <v/>
      </c>
      <c r="D16" s="103" t="str">
        <f>IF(AND(SUM(E8,E10)&gt;2,E10&lt;25,F12&lt;&gt;"",F14&lt;&gt;"",C16=""),"OK","")</f>
        <v/>
      </c>
      <c r="E16" s="63" t="s">
        <v>27</v>
      </c>
      <c r="F16" s="77">
        <v>1</v>
      </c>
      <c r="G16" s="75"/>
      <c r="H16"/>
      <c r="I16"/>
      <c r="J16" s="37"/>
      <c r="K16" s="2" t="s">
        <v>40</v>
      </c>
      <c r="L16" s="3"/>
      <c r="M16" s="40" t="str">
        <f>IF($C$58&lt;&gt;"",CONCATENATE("                       ",$C$55),"")</f>
        <v/>
      </c>
    </row>
    <row r="17" spans="1:13" s="1" customFormat="1" ht="8.1" customHeight="1" x14ac:dyDescent="0.35">
      <c r="A17" s="112" t="s">
        <v>69</v>
      </c>
      <c r="B17" s="99" t="str">
        <f>CONCATENATE("                       ",B16)</f>
        <v xml:space="preserve">                       </v>
      </c>
      <c r="C17" s="81"/>
      <c r="D17"/>
      <c r="E17"/>
      <c r="F17" s="51"/>
      <c r="G17" s="76"/>
      <c r="H17" s="74"/>
      <c r="I17"/>
      <c r="J17" s="37"/>
      <c r="K17" s="2" t="s">
        <v>41</v>
      </c>
      <c r="L17" s="3"/>
      <c r="M17" s="40" t="str">
        <f>IF($D$58&lt;&gt;"",CONCATENATE("                       ",$D$55),"")</f>
        <v/>
      </c>
    </row>
    <row r="18" spans="1:13" s="1" customFormat="1" ht="28" customHeight="1" x14ac:dyDescent="0.2">
      <c r="A18" s="114" t="s">
        <v>70</v>
      </c>
      <c r="B18" s="160" t="str">
        <f>"In ascending order, enter all pairs of 'LAB' and 'FR' altitudes compared during calibration."&amp;CHAR(10)&amp;" Leave unused lines blank."</f>
        <v>In ascending order, enter all pairs of 'LAB' and 'FR' altitudes compared during calibration.
 Leave unused lines blank.</v>
      </c>
      <c r="C18" s="160"/>
      <c r="D18" s="160"/>
      <c r="E18" s="160"/>
      <c r="F18" s="160"/>
      <c r="G18" s="160"/>
      <c r="H18" s="160"/>
      <c r="I18" s="160"/>
      <c r="J18" s="160"/>
      <c r="K18" s="2" t="s">
        <v>42</v>
      </c>
      <c r="L18" s="3"/>
      <c r="M18" s="40" t="str">
        <f>IF($E$58&lt;&gt;"",CONCATENATE("                       ",$E$55),"")</f>
        <v/>
      </c>
    </row>
    <row r="19" spans="1:13" s="1" customFormat="1" ht="8.1" customHeight="1" thickBot="1" x14ac:dyDescent="0.4">
      <c r="A19" s="112" t="s">
        <v>71</v>
      </c>
      <c r="B19" s="63"/>
      <c r="C19" s="62"/>
      <c r="D19"/>
      <c r="E19"/>
      <c r="F19"/>
      <c r="G19" s="76"/>
      <c r="H19" s="74"/>
      <c r="I19"/>
      <c r="J19" s="37"/>
      <c r="K19" s="2" t="s">
        <v>43</v>
      </c>
      <c r="L19" s="3"/>
      <c r="M19" s="40" t="str">
        <f>IF($F$58&lt;&gt;"",CONCATENATE("                       ",$F$55),"")</f>
        <v/>
      </c>
    </row>
    <row r="20" spans="1:13" s="1" customFormat="1" ht="18" customHeight="1" thickBot="1" x14ac:dyDescent="0.3">
      <c r="A20" s="115" t="s">
        <v>72</v>
      </c>
      <c r="C20" s="78"/>
      <c r="D20"/>
      <c r="E20" s="151" t="s">
        <v>28</v>
      </c>
      <c r="F20" s="152"/>
      <c r="G20" s="75"/>
      <c r="I20"/>
      <c r="K20" s="2" t="s">
        <v>44</v>
      </c>
      <c r="L20" s="3"/>
      <c r="M20" s="40" t="str">
        <f>IF($G$58&lt;&gt;"",CONCATENATE("                       ",$G$55),"")</f>
        <v/>
      </c>
    </row>
    <row r="21" spans="1:13" s="1" customFormat="1" ht="15" customHeight="1" thickBot="1" x14ac:dyDescent="0.3">
      <c r="A21" s="116" t="s">
        <v>73</v>
      </c>
      <c r="B21" s="59"/>
      <c r="C21" s="59"/>
      <c r="D21"/>
      <c r="E21" s="61" t="s">
        <v>24</v>
      </c>
      <c r="F21" s="60" t="s">
        <v>25</v>
      </c>
      <c r="G21"/>
      <c r="H21"/>
      <c r="I21"/>
      <c r="K21" s="2" t="s">
        <v>62</v>
      </c>
      <c r="L21" s="3"/>
      <c r="M21" s="40" t="str">
        <f>IF($H$58&lt;&gt;"",CONCATENATE("                       ",$H$55),"")</f>
        <v/>
      </c>
    </row>
    <row r="22" spans="1:13" s="1" customFormat="1" ht="16" customHeight="1" x14ac:dyDescent="0.25">
      <c r="A22" s="113" t="s">
        <v>74</v>
      </c>
      <c r="B22" s="69"/>
      <c r="C22" s="69"/>
      <c r="D22" s="51"/>
      <c r="E22" s="87"/>
      <c r="F22" s="88"/>
      <c r="G22"/>
      <c r="H22"/>
      <c r="I22"/>
      <c r="K22" s="2" t="s">
        <v>45</v>
      </c>
      <c r="L22" s="3"/>
      <c r="M22" s="40" t="str">
        <f>IF($I$58&lt;&gt;"",CONCATENATE("                       ",$I$55),"")</f>
        <v/>
      </c>
    </row>
    <row r="23" spans="1:13" s="1" customFormat="1" ht="16" customHeight="1" x14ac:dyDescent="0.25">
      <c r="A23" s="115" t="s">
        <v>75</v>
      </c>
      <c r="D23" s="51"/>
      <c r="E23" s="90"/>
      <c r="F23" s="89"/>
      <c r="G23"/>
      <c r="H23"/>
      <c r="I23"/>
      <c r="K23" s="2" t="s">
        <v>46</v>
      </c>
      <c r="L23" s="3"/>
      <c r="M23" s="40" t="str">
        <f>IF($J$58&lt;&gt;"",CONCATENATE("                       ",$J$55),"")</f>
        <v/>
      </c>
    </row>
    <row r="24" spans="1:13" s="1" customFormat="1" ht="15" x14ac:dyDescent="0.55000000000000004">
      <c r="A24" s="113" t="s">
        <v>76</v>
      </c>
      <c r="D24"/>
      <c r="E24" s="90"/>
      <c r="F24" s="89"/>
      <c r="G24"/>
      <c r="H24"/>
      <c r="I24"/>
      <c r="J24" s="37"/>
      <c r="K24" s="2" t="s">
        <v>65</v>
      </c>
      <c r="L24" s="2"/>
      <c r="M24" s="40" t="str">
        <f>IF($K$58&lt;&gt;"",CONCATENATE("                       ",$K$55),"")</f>
        <v/>
      </c>
    </row>
    <row r="25" spans="1:13" s="1" customFormat="1" ht="15" x14ac:dyDescent="0.55000000000000004">
      <c r="A25" s="117" t="s">
        <v>77</v>
      </c>
      <c r="D25"/>
      <c r="E25" s="91"/>
      <c r="F25" s="90"/>
      <c r="G25"/>
      <c r="H25"/>
      <c r="I25"/>
      <c r="J25" s="37"/>
      <c r="K25" s="2" t="s">
        <v>47</v>
      </c>
      <c r="L25" s="2"/>
      <c r="M25" s="2"/>
    </row>
    <row r="26" spans="1:13" s="1" customFormat="1" ht="15" x14ac:dyDescent="0.55000000000000004">
      <c r="A26" s="113" t="s">
        <v>78</v>
      </c>
      <c r="D26"/>
      <c r="E26" s="91"/>
      <c r="F26" s="90"/>
      <c r="G26"/>
      <c r="H26"/>
      <c r="I26"/>
      <c r="J26" s="37"/>
      <c r="K26" s="2" t="s">
        <v>48</v>
      </c>
      <c r="L26" s="2"/>
      <c r="M26" s="2"/>
    </row>
    <row r="27" spans="1:13" s="1" customFormat="1" ht="15.3" thickBot="1" x14ac:dyDescent="0.6">
      <c r="A27" s="111" t="s">
        <v>79</v>
      </c>
      <c r="D27"/>
      <c r="E27" s="91"/>
      <c r="F27" s="90"/>
      <c r="G27"/>
      <c r="H27"/>
      <c r="I27"/>
      <c r="J27" s="37"/>
      <c r="K27" s="2" t="s">
        <v>49</v>
      </c>
      <c r="L27" s="2"/>
      <c r="M27" s="2"/>
    </row>
    <row r="28" spans="1:13" s="1" customFormat="1" ht="14.7" thickBot="1" x14ac:dyDescent="0.6">
      <c r="A28" s="113" t="s">
        <v>80</v>
      </c>
      <c r="D28"/>
      <c r="E28" s="91"/>
      <c r="F28" s="90"/>
      <c r="G28"/>
      <c r="H28"/>
      <c r="I28" s="158" t="s">
        <v>57</v>
      </c>
      <c r="J28" s="159"/>
      <c r="K28" s="2" t="s">
        <v>63</v>
      </c>
      <c r="L28" s="2"/>
      <c r="M28" s="2"/>
    </row>
    <row r="29" spans="1:13" s="1" customFormat="1" ht="15" x14ac:dyDescent="0.55000000000000004">
      <c r="A29" s="113" t="s">
        <v>81</v>
      </c>
      <c r="D29"/>
      <c r="E29" s="91"/>
      <c r="F29" s="90"/>
      <c r="G29"/>
      <c r="H29"/>
      <c r="I29"/>
      <c r="J29" s="37"/>
      <c r="K29" s="2" t="s">
        <v>50</v>
      </c>
      <c r="L29" s="2"/>
      <c r="M29" s="2"/>
    </row>
    <row r="30" spans="1:13" s="1" customFormat="1" ht="15" x14ac:dyDescent="0.55000000000000004">
      <c r="A30" s="113" t="s">
        <v>82</v>
      </c>
      <c r="D30"/>
      <c r="E30" s="91"/>
      <c r="F30" s="90"/>
      <c r="G30"/>
      <c r="H30"/>
      <c r="I30"/>
      <c r="J30" s="37"/>
      <c r="K30" s="2" t="s">
        <v>51</v>
      </c>
      <c r="L30" s="2"/>
      <c r="M30" s="2"/>
    </row>
    <row r="31" spans="1:13" s="1" customFormat="1" ht="15" x14ac:dyDescent="0.55000000000000004">
      <c r="A31" s="113" t="s">
        <v>83</v>
      </c>
      <c r="D31"/>
      <c r="E31" s="91"/>
      <c r="F31" s="90"/>
      <c r="G31"/>
      <c r="H31"/>
      <c r="I31"/>
      <c r="J31" s="37"/>
      <c r="K31" s="2" t="s">
        <v>52</v>
      </c>
      <c r="L31" s="2"/>
      <c r="M31" s="2"/>
    </row>
    <row r="32" spans="1:13" s="1" customFormat="1" ht="15" x14ac:dyDescent="0.55000000000000004">
      <c r="A32" s="118" t="s">
        <v>84</v>
      </c>
      <c r="D32"/>
      <c r="E32" s="91"/>
      <c r="F32" s="90"/>
      <c r="G32"/>
      <c r="H32"/>
      <c r="I32"/>
      <c r="J32" s="37"/>
      <c r="K32" s="2" t="s">
        <v>53</v>
      </c>
      <c r="L32" s="2"/>
      <c r="M32" s="2"/>
    </row>
    <row r="33" spans="1:13" s="1" customFormat="1" ht="15" x14ac:dyDescent="0.55000000000000004">
      <c r="A33" s="113" t="s">
        <v>85</v>
      </c>
      <c r="D33"/>
      <c r="E33" s="91"/>
      <c r="F33" s="90"/>
      <c r="G33"/>
      <c r="H33"/>
      <c r="I33"/>
      <c r="J33" s="37"/>
      <c r="K33" s="2" t="s">
        <v>54</v>
      </c>
      <c r="L33" s="2"/>
      <c r="M33" s="2"/>
    </row>
    <row r="34" spans="1:13" s="1" customFormat="1" ht="15" x14ac:dyDescent="0.55000000000000004">
      <c r="A34" s="113" t="s">
        <v>86</v>
      </c>
      <c r="D34"/>
      <c r="E34" s="91"/>
      <c r="F34" s="90"/>
      <c r="G34"/>
      <c r="H34"/>
      <c r="I34"/>
      <c r="J34" s="37"/>
      <c r="K34" s="2" t="s">
        <v>55</v>
      </c>
      <c r="L34" s="2"/>
      <c r="M34" s="2"/>
    </row>
    <row r="35" spans="1:13" s="1" customFormat="1" ht="15" x14ac:dyDescent="0.55000000000000004">
      <c r="A35" s="113" t="s">
        <v>87</v>
      </c>
      <c r="D35"/>
      <c r="E35" s="91"/>
      <c r="F35" s="90"/>
      <c r="G35"/>
      <c r="H35"/>
      <c r="I35"/>
      <c r="J35" s="37"/>
      <c r="K35" s="2"/>
      <c r="L35" s="2"/>
      <c r="M35" s="2"/>
    </row>
    <row r="36" spans="1:13" s="1" customFormat="1" ht="15" x14ac:dyDescent="0.55000000000000004">
      <c r="A36" s="113" t="s">
        <v>88</v>
      </c>
      <c r="D36"/>
      <c r="E36" s="90"/>
      <c r="F36" s="89"/>
      <c r="G36"/>
      <c r="H36"/>
      <c r="I36"/>
      <c r="J36" s="37"/>
      <c r="K36" s="2"/>
      <c r="L36" s="2"/>
      <c r="M36" s="2"/>
    </row>
    <row r="37" spans="1:13" s="1" customFormat="1" ht="15" x14ac:dyDescent="0.55000000000000004">
      <c r="A37" s="58"/>
      <c r="D37"/>
      <c r="E37" s="90"/>
      <c r="F37" s="89"/>
      <c r="G37"/>
      <c r="H37"/>
      <c r="I37"/>
      <c r="J37" s="37"/>
      <c r="K37" s="2"/>
      <c r="L37" s="2"/>
      <c r="M37" s="2"/>
    </row>
    <row r="38" spans="1:13" s="1" customFormat="1" ht="15" x14ac:dyDescent="0.55000000000000004">
      <c r="A38" s="58"/>
      <c r="D38"/>
      <c r="E38" s="91"/>
      <c r="F38" s="90"/>
      <c r="G38"/>
      <c r="H38"/>
      <c r="I38"/>
      <c r="J38" s="37"/>
      <c r="K38" s="2"/>
      <c r="L38" s="2"/>
      <c r="M38" s="2"/>
    </row>
    <row r="39" spans="1:13" s="1" customFormat="1" ht="15" x14ac:dyDescent="0.55000000000000004">
      <c r="A39" s="58"/>
      <c r="D39"/>
      <c r="E39" s="91"/>
      <c r="F39" s="90"/>
      <c r="G39"/>
      <c r="H39"/>
      <c r="I39"/>
      <c r="J39" s="37"/>
      <c r="K39" s="2"/>
      <c r="L39" s="2"/>
      <c r="M39" s="2"/>
    </row>
    <row r="40" spans="1:13" s="1" customFormat="1" ht="15" x14ac:dyDescent="0.55000000000000004">
      <c r="A40" s="106"/>
      <c r="D40"/>
      <c r="E40" s="91"/>
      <c r="F40" s="90"/>
      <c r="G40"/>
      <c r="H40"/>
      <c r="I40"/>
      <c r="J40" s="37"/>
      <c r="K40" s="2"/>
      <c r="L40" s="2"/>
      <c r="M40" s="2"/>
    </row>
    <row r="41" spans="1:13" s="1" customFormat="1" ht="15" x14ac:dyDescent="0.55000000000000004">
      <c r="A41" s="37" t="s">
        <v>32</v>
      </c>
      <c r="D41"/>
      <c r="E41" s="91"/>
      <c r="F41" s="90"/>
      <c r="G41"/>
      <c r="H41"/>
      <c r="I41"/>
      <c r="J41" s="37"/>
      <c r="K41" s="2"/>
      <c r="L41" s="2"/>
      <c r="M41" s="2"/>
    </row>
    <row r="42" spans="1:13" s="1" customFormat="1" ht="15.3" thickBot="1" x14ac:dyDescent="0.6">
      <c r="A42" s="37" t="s">
        <v>33</v>
      </c>
      <c r="D42"/>
      <c r="E42" s="92"/>
      <c r="F42" s="93"/>
      <c r="G42"/>
      <c r="H42"/>
      <c r="I42"/>
      <c r="J42" s="37"/>
      <c r="K42" s="2"/>
      <c r="L42" s="2"/>
      <c r="M42" s="2"/>
    </row>
    <row r="43" spans="1:13" s="1" customFormat="1" ht="15" x14ac:dyDescent="0.55000000000000004">
      <c r="A43" s="37" t="s">
        <v>34</v>
      </c>
      <c r="D43"/>
      <c r="G43"/>
      <c r="H43"/>
      <c r="I43"/>
      <c r="J43" s="37"/>
      <c r="K43" s="2"/>
      <c r="L43" s="2"/>
      <c r="M43" s="2"/>
    </row>
    <row r="44" spans="1:13" s="1" customFormat="1" ht="2.1" customHeight="1" x14ac:dyDescent="0.55000000000000004">
      <c r="A44" s="38"/>
      <c r="D44"/>
      <c r="E44" s="79"/>
      <c r="F44" s="79"/>
      <c r="G44"/>
      <c r="H44"/>
      <c r="I44"/>
      <c r="J44" s="37"/>
      <c r="K44" s="2"/>
      <c r="L44" s="2"/>
      <c r="M44" s="2"/>
    </row>
    <row r="45" spans="1:13" s="1" customFormat="1" ht="2.1" customHeight="1" x14ac:dyDescent="0.55000000000000004">
      <c r="A45" s="38"/>
      <c r="D45"/>
      <c r="E45" s="80"/>
      <c r="F45" s="80"/>
      <c r="G45"/>
      <c r="H45"/>
      <c r="I45"/>
      <c r="J45" s="37"/>
      <c r="K45" s="2"/>
      <c r="L45" s="2"/>
      <c r="M45" s="2"/>
    </row>
    <row r="46" spans="1:13" s="1" customFormat="1" ht="2.1" customHeight="1" x14ac:dyDescent="0.55000000000000004">
      <c r="A46" s="58"/>
      <c r="D46"/>
      <c r="E46" s="153"/>
      <c r="F46" s="153"/>
      <c r="G46"/>
      <c r="H46"/>
      <c r="I46"/>
      <c r="J46" s="37"/>
      <c r="K46" s="2"/>
      <c r="L46" s="2"/>
      <c r="M46" s="2"/>
    </row>
    <row r="47" spans="1:13" s="1" customFormat="1" ht="2.1" customHeight="1" x14ac:dyDescent="0.55000000000000004">
      <c r="A47" s="119"/>
      <c r="B47" s="35"/>
      <c r="C47" s="34"/>
      <c r="D47" s="35"/>
      <c r="E47" s="35"/>
      <c r="F47" s="34"/>
      <c r="G47" s="35"/>
      <c r="H47" s="35"/>
    </row>
    <row r="48" spans="1:13" s="1" customFormat="1" ht="17.100000000000001" customHeight="1" x14ac:dyDescent="0.55000000000000004">
      <c r="A48" s="58"/>
      <c r="B48" s="52" t="s">
        <v>26</v>
      </c>
      <c r="C48" s="52"/>
      <c r="D48" s="52"/>
      <c r="E48" s="7"/>
      <c r="F48" s="31"/>
      <c r="G48" s="157" t="str">
        <f>B8</f>
        <v>0 Calibrations saved</v>
      </c>
      <c r="H48" s="157"/>
      <c r="I48" s="157"/>
      <c r="J48" s="157"/>
    </row>
    <row r="49" spans="1:13" s="1" customFormat="1" ht="4" customHeight="1" x14ac:dyDescent="0.55000000000000004">
      <c r="A49" s="58"/>
    </row>
    <row r="50" spans="1:13" s="1" customFormat="1" ht="17.100000000000001" customHeight="1" x14ac:dyDescent="0.55000000000000004">
      <c r="A50" s="58"/>
      <c r="B50" s="148"/>
      <c r="C50" s="148"/>
      <c r="D50" s="148"/>
      <c r="E50" s="148"/>
      <c r="F50" s="32"/>
      <c r="G50" s="32"/>
      <c r="H50" s="156"/>
      <c r="I50" s="156"/>
      <c r="J50" s="32"/>
    </row>
    <row r="51" spans="1:13" s="1" customFormat="1" ht="4" customHeight="1" thickBot="1" x14ac:dyDescent="0.6">
      <c r="A51" s="58"/>
      <c r="B51" s="1" t="s">
        <v>18</v>
      </c>
      <c r="D51" s="1">
        <v>0</v>
      </c>
      <c r="G51" s="1" t="s">
        <v>19</v>
      </c>
    </row>
    <row r="52" spans="1:13" s="1" customFormat="1" ht="17.100000000000001" customHeight="1" thickBot="1" x14ac:dyDescent="0.6">
      <c r="A52" s="58"/>
      <c r="B52" s="149"/>
      <c r="C52" s="149"/>
      <c r="D52" s="149"/>
      <c r="E52" s="149"/>
      <c r="F52" s="65"/>
      <c r="G52" s="65"/>
      <c r="H52" s="65"/>
      <c r="I52" s="154" t="s">
        <v>61</v>
      </c>
      <c r="J52" s="155"/>
    </row>
    <row r="53" spans="1:13" s="1" customFormat="1" ht="14.4" x14ac:dyDescent="0.55000000000000004">
      <c r="A53" s="106">
        <f>IF(AND(A54=1,B57=""),0,A54)</f>
        <v>0</v>
      </c>
      <c r="B53" s="110"/>
      <c r="C53" s="2"/>
      <c r="D53" s="2"/>
      <c r="E53" s="2"/>
      <c r="F53" s="2"/>
      <c r="G53" s="2"/>
      <c r="H53" s="2"/>
      <c r="I53" s="2"/>
      <c r="J53" s="2"/>
      <c r="K53" s="2"/>
    </row>
    <row r="54" spans="1:13" s="1" customFormat="1" ht="14.4" x14ac:dyDescent="0.55000000000000004">
      <c r="A54" s="120">
        <f>IF(B55="",0,SUM(B54:K54))</f>
        <v>0</v>
      </c>
      <c r="B54" s="106" t="str">
        <f t="shared" ref="B54:K54" si="0">IF(B58&lt;&gt;"",1,"X")</f>
        <v>X</v>
      </c>
      <c r="C54" s="106" t="str">
        <f t="shared" si="0"/>
        <v>X</v>
      </c>
      <c r="D54" s="106" t="str">
        <f t="shared" si="0"/>
        <v>X</v>
      </c>
      <c r="E54" s="106" t="str">
        <f t="shared" si="0"/>
        <v>X</v>
      </c>
      <c r="F54" s="106" t="str">
        <f t="shared" si="0"/>
        <v>X</v>
      </c>
      <c r="G54" s="106" t="str">
        <f t="shared" si="0"/>
        <v>X</v>
      </c>
      <c r="H54" s="106" t="str">
        <f t="shared" si="0"/>
        <v>X</v>
      </c>
      <c r="I54" s="106" t="str">
        <f t="shared" si="0"/>
        <v>X</v>
      </c>
      <c r="J54" s="106" t="str">
        <f t="shared" si="0"/>
        <v>X</v>
      </c>
      <c r="K54" s="106" t="str">
        <f t="shared" si="0"/>
        <v>X</v>
      </c>
      <c r="L54" s="64"/>
      <c r="M54" s="64"/>
    </row>
    <row r="55" spans="1:13" s="1" customFormat="1" ht="14.4" x14ac:dyDescent="0.55000000000000004">
      <c r="A55" s="103">
        <f>10-A54</f>
        <v>10</v>
      </c>
      <c r="B55" s="2"/>
      <c r="C55" s="2"/>
      <c r="D55" s="2"/>
      <c r="E55" s="2"/>
      <c r="F55" s="2"/>
      <c r="G55" s="2"/>
      <c r="H55" s="2"/>
      <c r="I55" s="2"/>
      <c r="J55" s="2"/>
      <c r="K55" s="2"/>
    </row>
    <row r="56" spans="1:13" ht="12.75" customHeight="1" x14ac:dyDescent="0.55000000000000004">
      <c r="A56" s="109"/>
      <c r="B56" s="103"/>
      <c r="C56" s="103"/>
      <c r="D56" s="103"/>
      <c r="E56" s="103"/>
      <c r="F56" s="103"/>
      <c r="G56" s="103"/>
      <c r="H56" s="103"/>
      <c r="I56" s="103"/>
      <c r="J56" s="103"/>
      <c r="K56" s="103"/>
    </row>
    <row r="57" spans="1:13" ht="12.75" customHeight="1" x14ac:dyDescent="0.55000000000000004">
      <c r="A57" s="109"/>
      <c r="B57" s="103"/>
      <c r="C57" s="103"/>
      <c r="D57" s="103"/>
      <c r="E57" s="103"/>
      <c r="F57" s="103"/>
      <c r="G57" s="103"/>
      <c r="H57" s="103"/>
      <c r="I57" s="103"/>
      <c r="J57" s="103"/>
      <c r="K57" s="103"/>
    </row>
    <row r="58" spans="1:13" ht="12.75" customHeight="1" x14ac:dyDescent="0.55000000000000004">
      <c r="A58" s="109"/>
      <c r="B58" s="103"/>
      <c r="C58" s="103"/>
      <c r="D58" s="103"/>
      <c r="E58" s="103"/>
      <c r="F58" s="103"/>
      <c r="G58" s="103"/>
      <c r="H58" s="103"/>
      <c r="I58" s="103"/>
      <c r="J58" s="103"/>
      <c r="K58" s="103"/>
    </row>
    <row r="59" spans="1:13" ht="12.75" customHeight="1" x14ac:dyDescent="0.55000000000000004">
      <c r="A59" s="109"/>
      <c r="B59" s="103"/>
      <c r="C59" s="103"/>
      <c r="D59" s="103"/>
      <c r="E59" s="103"/>
      <c r="F59" s="103"/>
      <c r="G59" s="103"/>
      <c r="H59" s="103"/>
      <c r="I59" s="103"/>
      <c r="J59" s="103"/>
      <c r="K59" s="103"/>
    </row>
    <row r="60" spans="1:13" ht="12.75" customHeight="1" x14ac:dyDescent="0.55000000000000004">
      <c r="A60" s="109"/>
      <c r="B60" s="103"/>
      <c r="C60" s="103"/>
      <c r="D60" s="103"/>
      <c r="E60" s="103"/>
      <c r="F60" s="103"/>
      <c r="G60" s="103"/>
      <c r="H60" s="103"/>
      <c r="I60" s="103"/>
      <c r="J60" s="103"/>
      <c r="K60" s="103"/>
    </row>
    <row r="61" spans="1:13" ht="12.75" customHeight="1" x14ac:dyDescent="0.55000000000000004">
      <c r="A61" s="109"/>
      <c r="B61" s="103"/>
      <c r="C61" s="103"/>
      <c r="D61" s="103"/>
      <c r="E61" s="103"/>
      <c r="F61" s="103"/>
      <c r="G61" s="103"/>
      <c r="H61" s="103"/>
      <c r="I61" s="103"/>
      <c r="J61" s="103"/>
      <c r="K61" s="103"/>
    </row>
    <row r="62" spans="1:13" ht="12.75" customHeight="1" x14ac:dyDescent="0.55000000000000004">
      <c r="A62" s="109"/>
      <c r="B62" s="103"/>
      <c r="C62" s="103"/>
      <c r="D62" s="103"/>
      <c r="E62" s="103"/>
      <c r="F62" s="103"/>
      <c r="G62" s="103"/>
      <c r="H62" s="103"/>
      <c r="I62" s="103"/>
      <c r="J62" s="103"/>
      <c r="K62" s="103"/>
    </row>
    <row r="63" spans="1:13" ht="12.75" customHeight="1" x14ac:dyDescent="0.55000000000000004">
      <c r="A63" s="109"/>
      <c r="B63" s="103"/>
      <c r="C63" s="103"/>
      <c r="D63" s="103"/>
      <c r="E63" s="103"/>
      <c r="F63" s="103"/>
      <c r="G63" s="103"/>
      <c r="H63" s="103"/>
      <c r="I63" s="103"/>
      <c r="J63" s="103"/>
      <c r="K63" s="103"/>
    </row>
    <row r="64" spans="1:13" ht="12.75" customHeight="1" x14ac:dyDescent="0.55000000000000004">
      <c r="A64" s="109"/>
      <c r="B64" s="103"/>
      <c r="C64" s="103"/>
      <c r="D64" s="103"/>
      <c r="E64" s="103"/>
      <c r="F64" s="103"/>
      <c r="G64" s="103"/>
      <c r="H64" s="103"/>
      <c r="I64" s="103"/>
      <c r="J64" s="103"/>
      <c r="K64" s="103"/>
    </row>
    <row r="65" spans="1:11" ht="12.75" customHeight="1" x14ac:dyDescent="0.55000000000000004">
      <c r="A65" s="109"/>
      <c r="B65" s="103"/>
      <c r="C65" s="103"/>
      <c r="D65" s="103"/>
      <c r="E65" s="103"/>
      <c r="F65" s="103"/>
      <c r="G65" s="103"/>
      <c r="H65" s="103"/>
      <c r="I65" s="103"/>
      <c r="J65" s="103"/>
      <c r="K65" s="103"/>
    </row>
    <row r="66" spans="1:11" ht="12.75" customHeight="1" x14ac:dyDescent="0.55000000000000004">
      <c r="A66" s="109"/>
      <c r="B66" s="103"/>
      <c r="C66" s="103"/>
      <c r="D66" s="103"/>
      <c r="E66" s="103"/>
      <c r="F66" s="103"/>
      <c r="G66" s="103"/>
      <c r="H66" s="103"/>
      <c r="I66" s="103"/>
      <c r="J66" s="103"/>
      <c r="K66" s="103"/>
    </row>
    <row r="67" spans="1:11" ht="12.75" customHeight="1" x14ac:dyDescent="0.55000000000000004">
      <c r="A67" s="109"/>
      <c r="B67" s="103"/>
      <c r="C67" s="103"/>
      <c r="D67" s="103"/>
      <c r="E67" s="103"/>
      <c r="F67" s="103"/>
      <c r="G67" s="103"/>
      <c r="H67" s="103"/>
      <c r="I67" s="103"/>
      <c r="J67" s="103"/>
      <c r="K67" s="103"/>
    </row>
    <row r="68" spans="1:11" ht="12.75" customHeight="1" x14ac:dyDescent="0.55000000000000004">
      <c r="A68" s="109"/>
      <c r="B68" s="103"/>
      <c r="C68" s="103"/>
      <c r="D68" s="103"/>
      <c r="E68" s="103"/>
      <c r="F68" s="103"/>
      <c r="G68" s="103"/>
      <c r="H68" s="103"/>
      <c r="I68" s="103"/>
      <c r="J68" s="103"/>
      <c r="K68" s="103"/>
    </row>
    <row r="69" spans="1:11" ht="12.75" customHeight="1" x14ac:dyDescent="0.55000000000000004">
      <c r="A69" s="109"/>
      <c r="B69" s="103"/>
      <c r="C69" s="103"/>
      <c r="D69" s="103"/>
      <c r="E69" s="103"/>
      <c r="F69" s="103"/>
      <c r="G69" s="103"/>
      <c r="H69" s="103"/>
      <c r="I69" s="103"/>
      <c r="J69" s="103"/>
      <c r="K69" s="103"/>
    </row>
    <row r="70" spans="1:11" ht="12.75" customHeight="1" x14ac:dyDescent="0.55000000000000004">
      <c r="A70" s="109"/>
      <c r="B70" s="103"/>
      <c r="C70" s="103"/>
      <c r="D70" s="103"/>
      <c r="E70" s="103"/>
      <c r="F70" s="103"/>
      <c r="G70" s="103"/>
      <c r="H70" s="103"/>
      <c r="I70" s="103"/>
      <c r="J70" s="103"/>
      <c r="K70" s="103"/>
    </row>
    <row r="71" spans="1:11" ht="12.75" customHeight="1" x14ac:dyDescent="0.55000000000000004">
      <c r="B71" s="103"/>
      <c r="C71" s="103"/>
      <c r="D71" s="103"/>
      <c r="E71" s="103"/>
      <c r="F71" s="103"/>
      <c r="G71" s="103"/>
      <c r="H71" s="103"/>
      <c r="I71" s="103"/>
      <c r="J71" s="103"/>
      <c r="K71" s="103"/>
    </row>
    <row r="72" spans="1:11" ht="12.75" customHeight="1" x14ac:dyDescent="0.55000000000000004">
      <c r="B72" s="103"/>
      <c r="C72" s="103"/>
      <c r="D72" s="103"/>
      <c r="E72" s="103"/>
      <c r="F72" s="103"/>
      <c r="G72" s="103"/>
      <c r="H72" s="103"/>
      <c r="I72" s="103"/>
      <c r="J72" s="103"/>
      <c r="K72" s="103"/>
    </row>
    <row r="73" spans="1:11" ht="12.75" customHeight="1" x14ac:dyDescent="0.55000000000000004">
      <c r="B73" s="103"/>
      <c r="C73" s="103"/>
      <c r="D73" s="103"/>
      <c r="E73" s="103"/>
      <c r="F73" s="103"/>
      <c r="G73" s="103"/>
      <c r="H73" s="103"/>
      <c r="I73" s="103"/>
      <c r="J73" s="103"/>
      <c r="K73" s="103"/>
    </row>
    <row r="74" spans="1:11" ht="12.75" customHeight="1" x14ac:dyDescent="0.55000000000000004">
      <c r="A74" s="121"/>
      <c r="B74" s="103"/>
      <c r="C74" s="103"/>
      <c r="D74" s="103"/>
      <c r="E74" s="103"/>
      <c r="F74" s="103"/>
      <c r="G74" s="103"/>
      <c r="H74" s="103"/>
      <c r="I74" s="103"/>
      <c r="J74" s="103"/>
      <c r="K74" s="103"/>
    </row>
    <row r="75" spans="1:11" ht="12.75" customHeight="1" x14ac:dyDescent="0.55000000000000004">
      <c r="B75" s="103"/>
      <c r="C75" s="103"/>
      <c r="D75" s="103"/>
      <c r="E75" s="103"/>
      <c r="F75" s="103"/>
      <c r="G75" s="103"/>
      <c r="H75" s="103"/>
      <c r="I75" s="103"/>
      <c r="J75" s="103"/>
      <c r="K75" s="103"/>
    </row>
    <row r="76" spans="1:11" ht="12.75" customHeight="1" x14ac:dyDescent="0.55000000000000004">
      <c r="B76" s="103"/>
      <c r="C76" s="103"/>
      <c r="D76" s="103"/>
      <c r="E76" s="103"/>
      <c r="F76" s="103"/>
      <c r="G76" s="103"/>
      <c r="H76" s="103"/>
      <c r="I76" s="103"/>
      <c r="J76" s="103"/>
      <c r="K76" s="103"/>
    </row>
    <row r="77" spans="1:11" ht="12.75" customHeight="1" x14ac:dyDescent="0.55000000000000004">
      <c r="B77" s="103"/>
      <c r="C77" s="103"/>
      <c r="D77" s="103"/>
      <c r="E77" s="103"/>
      <c r="F77" s="103"/>
      <c r="G77" s="103"/>
      <c r="H77" s="103"/>
      <c r="I77" s="103"/>
      <c r="J77" s="103"/>
      <c r="K77" s="103"/>
    </row>
    <row r="78" spans="1:11" ht="12.75" customHeight="1" x14ac:dyDescent="0.55000000000000004">
      <c r="A78" s="121"/>
      <c r="B78" s="103"/>
      <c r="C78" s="103"/>
      <c r="D78" s="103"/>
      <c r="E78" s="103"/>
      <c r="F78" s="103"/>
      <c r="G78" s="103"/>
      <c r="H78" s="103"/>
      <c r="I78" s="103"/>
      <c r="J78" s="103"/>
      <c r="K78" s="103"/>
    </row>
  </sheetData>
  <sheetProtection password="C630" sheet="1" objects="1" scenarios="1" selectLockedCells="1"/>
  <sortState ref="A14:A36">
    <sortCondition ref="A14:A36"/>
  </sortState>
  <mergeCells count="18">
    <mergeCell ref="B2:J2"/>
    <mergeCell ref="B3:J3"/>
    <mergeCell ref="B8:C8"/>
    <mergeCell ref="E8:F8"/>
    <mergeCell ref="I8:J8"/>
    <mergeCell ref="E5:F6"/>
    <mergeCell ref="B5:C6"/>
    <mergeCell ref="C13:I13"/>
    <mergeCell ref="B50:E50"/>
    <mergeCell ref="B52:E52"/>
    <mergeCell ref="E10:F10"/>
    <mergeCell ref="E20:F20"/>
    <mergeCell ref="E46:F46"/>
    <mergeCell ref="I52:J52"/>
    <mergeCell ref="H50:I50"/>
    <mergeCell ref="G48:J48"/>
    <mergeCell ref="I28:J28"/>
    <mergeCell ref="B18:J18"/>
  </mergeCells>
  <conditionalFormatting sqref="B47">
    <cfRule type="expression" dxfId="11" priority="53" stopIfTrue="1">
      <formula>OR(B47=#REF!,B47=B48)</formula>
    </cfRule>
  </conditionalFormatting>
  <conditionalFormatting sqref="E46:F46">
    <cfRule type="expression" dxfId="10" priority="64" stopIfTrue="1">
      <formula>AND(E46="Click to save FR #1",SUM(E$22:E$29)&gt;500)</formula>
    </cfRule>
  </conditionalFormatting>
  <conditionalFormatting sqref="E48">
    <cfRule type="expression" dxfId="9" priority="65" stopIfTrue="1">
      <formula>#REF!="           Data Entry Required Above"</formula>
    </cfRule>
  </conditionalFormatting>
  <conditionalFormatting sqref="B48">
    <cfRule type="expression" dxfId="8" priority="66" stopIfTrue="1">
      <formula>#REF!="       Data Entry Required Above"</formula>
    </cfRule>
  </conditionalFormatting>
  <conditionalFormatting sqref="C13">
    <cfRule type="expression" dxfId="7" priority="8">
      <formula>$E$8=4</formula>
    </cfRule>
  </conditionalFormatting>
  <conditionalFormatting sqref="D8">
    <cfRule type="expression" dxfId="6" priority="7" stopIfTrue="1">
      <formula>$E$8=1</formula>
    </cfRule>
  </conditionalFormatting>
  <conditionalFormatting sqref="D10">
    <cfRule type="expression" dxfId="5" priority="6" stopIfTrue="1">
      <formula>$E$10=1</formula>
    </cfRule>
  </conditionalFormatting>
  <conditionalFormatting sqref="E12">
    <cfRule type="expression" dxfId="4" priority="5" stopIfTrue="1">
      <formula>$F$12=""</formula>
    </cfRule>
  </conditionalFormatting>
  <conditionalFormatting sqref="E14">
    <cfRule type="expression" dxfId="3" priority="4" stopIfTrue="1">
      <formula>$F$14=""</formula>
    </cfRule>
  </conditionalFormatting>
  <conditionalFormatting sqref="E16">
    <cfRule type="expression" dxfId="2" priority="3" stopIfTrue="1">
      <formula>$F$16=1</formula>
    </cfRule>
  </conditionalFormatting>
  <conditionalFormatting sqref="E23:E41">
    <cfRule type="expression" dxfId="1" priority="2" stopIfTrue="1">
      <formula>AND(E25&lt;&gt;"",OR(E23&lt;E22,E23&gt;E24))</formula>
    </cfRule>
  </conditionalFormatting>
  <conditionalFormatting sqref="F23:F41">
    <cfRule type="expression" dxfId="0" priority="1" stopIfTrue="1">
      <formula>AND(F25&lt;&gt;"",OR(F23&lt;F22,F23&gt;F24))</formula>
    </cfRule>
  </conditionalFormatting>
  <dataValidations count="2">
    <dataValidation type="textLength" operator="equal" allowBlank="1" showInputMessage="1" showErrorMessage="1" error="Three characters are required" sqref="F12">
      <formula1>3</formula1>
    </dataValidation>
    <dataValidation type="date" allowBlank="1" showInputMessage="1" showErrorMessage="1" error="                  Invalid date" sqref="F14">
      <formula1>35065</formula1>
      <formula2>TODAY()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Drop Down 2">
              <controlPr defaultSize="0" autoLine="0" autoPict="0" macro="[0]!MoveC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982980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Drop Down 10">
              <controlPr defaultSize="0" autoLine="0" autoPict="0" macro="[0]!AddAmendCal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5</xdr:col>
                    <xdr:colOff>982980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" name="Drop Down 28">
              <controlPr defaultSize="0" autoLine="0" autoPict="0" macro="[0]!Caltyp">
                <anchor mov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5</xdr:col>
                    <xdr:colOff>982980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7" name="Drop Down 30">
              <controlPr defaultSize="0" autoLine="0" autoPict="0" macro="[0]!ViewCal">
                <anchor mov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5</xdr:col>
                    <xdr:colOff>982980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Saved Way Points</vt:lpstr>
      <vt:lpstr>Calibration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JLR</dc:creator>
  <cp:lastModifiedBy>Owner</cp:lastModifiedBy>
  <dcterms:created xsi:type="dcterms:W3CDTF">2011-09-09T02:54:14Z</dcterms:created>
  <dcterms:modified xsi:type="dcterms:W3CDTF">2017-09-19T19:14:42Z</dcterms:modified>
</cp:coreProperties>
</file>